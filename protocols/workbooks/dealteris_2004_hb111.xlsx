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Deployment log" sheetId="2" state="visible" r:id="rId4"/>
    <sheet name="Sessile cover" sheetId="3" state="visible" r:id="rId5"/>
    <sheet name="Associated fauna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<sst xmlns="http://schemas.openxmlformats.org/spreadsheetml/2006/main" count="60" uniqueCount="55">
  <si>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Epibiont Monitoring on Shellfish Aquaculture Gear</t>
  </si>
  <si>
    <t xml:space="preserve">Stats workbook — dealteris_2004_hb111 (H&amp;B 1.1.1 epibiota).</t>
  </si>
  <si>
    <t xml:space="preserve">How to use this workbook:</t>
  </si>
  <si>
    <t xml:space="preserve">• Enter your field data in the three yellow-header sheets. Row 2 (shaded) is an EXAMPLE — overwrite or delete it.</t>
  </si>
  <si>
    <t xml:space="preserve">• Type only in the data rows; do not edit the Summary sheet (its cells are formulas).</t>
  </si>
  <si>
    <t xml:space="preserve">• 'Sessile cover' = one row per quadrat, % cover (0–100) per group. 'Associated fauna' = one row per taxon, with its count.</t>
  </si>
  <si>
    <t xml:space="preserve">• The Summary sheet updates automatically: mean sessile cover per group, total fauna abundance, taxa richness, and Shannon diversity.</t>
  </si>
  <si>
    <t xml:space="preserve">• The rigorous cross-habitat/seasonal comparison (ANOVA) in the source paper is a partner-supported step, done outside this workbook.</t>
  </si>
  <si>
    <t xml:space="preserve">• These data-entry columns match the field datasheet exactly.</t>
  </si>
  <si>
    <t xml:space="preserve">Site</t>
  </si>
  <si>
    <t xml:space="preserve">Gear unit ID</t>
  </si>
  <si>
    <t xml:space="preserve">Season</t>
  </si>
  <si>
    <t xml:space="preserve">Date</t>
  </si>
  <si>
    <t xml:space="preserve">Observer</t>
  </si>
  <si>
    <t xml:space="preserve">Temp (°C)</t>
  </si>
  <si>
    <t xml:space="preserve">Salinity (ppt)</t>
  </si>
  <si>
    <t xml:space="preserve">DO (mg/L)</t>
  </si>
  <si>
    <t xml:space="preserve">Surface area (cm²)</t>
  </si>
  <si>
    <t xml:space="preserve">Gear type</t>
  </si>
  <si>
    <t xml:space="preserve">Notes</t>
  </si>
  <si>
    <t xml:space="preserve">Pt Judith Pond</t>
  </si>
  <si>
    <t xml:space="preserve">SAG-01</t>
  </si>
  <si>
    <t xml:space="preserve">Summer</t>
  </si>
  <si>
    <t xml:space="preserve">2024-07-15</t>
  </si>
  <si>
    <t xml:space="preserve">J. Smith</t>
  </si>
  <si>
    <t xml:space="preserve">Rack-and-bag oyster cage</t>
  </si>
  <si>
    <t xml:space="preserve">cleaned 5 wks prior</t>
  </si>
  <si>
    <t xml:space="preserve">Quadrat #</t>
  </si>
  <si>
    <t xml:space="preserve">Porifera (sponges) %</t>
  </si>
  <si>
    <t xml:space="preserve">Hydrozoa (hydroids) %</t>
  </si>
  <si>
    <t xml:space="preserve">Bryozoa %</t>
  </si>
  <si>
    <t xml:space="preserve">Ascidiacea (tunicates) %</t>
  </si>
  <si>
    <t xml:space="preserve">Algae %</t>
  </si>
  <si>
    <t xml:space="preserve">Other %</t>
  </si>
  <si>
    <t xml:space="preserve">Taxon</t>
  </si>
  <si>
    <t xml:space="preserve">Group (fish/crust./mollusc)</t>
  </si>
  <si>
    <t xml:space="preserve">Count</t>
  </si>
  <si>
    <t xml:space="preserve">Mean size (mm)</t>
  </si>
  <si>
    <t xml:space="preserve">pi (auto)</t>
  </si>
  <si>
    <t xml:space="preserve">H' term (auto)</t>
  </si>
  <si>
    <t xml:space="preserve">Tautoga onitis (tautog)</t>
  </si>
  <si>
    <t xml:space="preserve">fish</t>
  </si>
  <si>
    <t xml:space="preserve">Summary (auto-calculated)</t>
  </si>
  <si>
    <t xml:space="preserve">dealteris_2004_hb111 — updates from the data-entry sheets.</t>
  </si>
  <si>
    <t xml:space="preserve">Sessile-epibiont cover (mean % by group)</t>
  </si>
  <si>
    <t xml:space="preserve">  Porifera (sponges)</t>
  </si>
  <si>
    <t xml:space="preserve">  Hydrozoa (hydroids)</t>
  </si>
  <si>
    <t xml:space="preserve">  Bryozoa</t>
  </si>
  <si>
    <t xml:space="preserve">  Ascidiacea (tunicates)</t>
  </si>
  <si>
    <t xml:space="preserve">  Algae</t>
  </si>
  <si>
    <t xml:space="preserve">  Other</t>
  </si>
  <si>
    <t xml:space="preserve">Associated fauna</t>
  </si>
  <si>
    <t xml:space="preserve">  Total abundance (individuals)</t>
  </si>
  <si>
    <t xml:space="preserve">  Taxa richness (no. of taxa)</t>
  </si>
  <si>
    <t xml:space="preserve">  Shannon diversity (H')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</si>
</sst>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3A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2F5D3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D3A"/>
        <bgColor rgb="FF5A5A5A"/>
      </patternFill>
    </fill>
    <fill>
      <patternFill patternType="solid">
        <fgColor rgb="FFFFF2CC"/>
        <bgColor rgb="FFFFFFFF"/>
      </patternFill>
    </fill>
    <fill>
      <patternFill patternType="solid">
        <fgColor rgb="FF8A8A8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3C7"/>
      </left>
      <right style="thin">
        <color rgb="FFC7D3C7"/>
      </right>
      <top style="thin">
        <color rgb="FFC7D3C7"/>
      </top>
      <bottom style="thin">
        <color rgb="FFC7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7D3C7"/>
      <rgbColor rgb="FF8A8A8A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customFormat="false" ht="23.85" hidden="false" customHeight="fals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n">
        <v>22.5</v>
      </c>
      <c r="G2" s="6" t="n">
        <v>30.2</v>
      </c>
      <c r="H2" s="6" t="n">
        <v>6.8</v>
      </c>
      <c r="I2" s="6" t="n">
        <v>195000</v>
      </c>
      <c r="J2" s="6" t="s">
        <v>25</v>
      </c>
      <c r="K2" s="6" t="s">
        <v>26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8" min="7" style="0" width="10"/>
  </cols>
  <sheetData>
    <row r="1" customFormat="false" ht="30" hidden="false" customHeight="true" outlineLevel="0" collapsed="false">
      <c r="A1" s="5" t="s">
        <v>10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</row>
    <row r="2" customFormat="false" ht="15" hidden="false" customHeight="false" outlineLevel="0" collapsed="false">
      <c r="A2" s="6" t="s">
        <v>21</v>
      </c>
      <c r="B2" s="6" t="n">
        <v>1</v>
      </c>
      <c r="C2" s="6" t="n">
        <v>12</v>
      </c>
      <c r="D2" s="6" t="n">
        <v>8</v>
      </c>
      <c r="E2" s="6" t="n">
        <v>25</v>
      </c>
      <c r="F2" s="6" t="n">
        <v>15</v>
      </c>
      <c r="G2" s="6" t="n">
        <v>5</v>
      </c>
      <c r="H2" s="6" t="n">
        <v>2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30" hidden="false" customHeight="true" outlineLevel="0" collapsed="false">
      <c r="A1" s="5" t="s">
        <v>10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19</v>
      </c>
      <c r="G1" s="8" t="s">
        <v>38</v>
      </c>
      <c r="H1" s="8" t="s">
        <v>39</v>
      </c>
    </row>
    <row r="2" customFormat="false" ht="15" hidden="false" customHeight="false" outlineLevel="0" collapsed="false">
      <c r="A2" s="6" t="s">
        <v>21</v>
      </c>
      <c r="B2" s="6" t="s">
        <v>40</v>
      </c>
      <c r="C2" s="6" t="s">
        <v>41</v>
      </c>
      <c r="D2" s="6" t="n">
        <v>6</v>
      </c>
      <c r="E2" s="6" t="n">
        <v>45</v>
      </c>
      <c r="F2" s="6"/>
      <c r="G2" s="9" t="n">
        <f aca="false">IFERROR(D2/SUM($D$2:$D$200),0)</f>
        <v>1</v>
      </c>
      <c r="H2" s="9" t="n">
        <f aca="false">IFERROR(-G2*LN(G2),0)</f>
        <v>-0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10" t="n">
        <f aca="false">IFERROR(D3/SUM($D$2:$D$200),0)</f>
        <v>0</v>
      </c>
      <c r="H3" s="10" t="n">
        <f aca="false">IFERROR(-G3*LN(G3),0)</f>
        <v>0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10" t="n">
        <f aca="false">IFERROR(D4/SUM($D$2:$D$200),0)</f>
        <v>0</v>
      </c>
      <c r="H4" s="10" t="n">
        <f aca="false">IFERROR(-G4*LN(G4),0)</f>
        <v>0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10" t="n">
        <f aca="false">IFERROR(D5/SUM($D$2:$D$200),0)</f>
        <v>0</v>
      </c>
      <c r="H5" s="10" t="n">
        <f aca="false">IFERROR(-G5*LN(G5),0)</f>
        <v>0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10" t="n">
        <f aca="false">IFERROR(D6/SUM($D$2:$D$200),0)</f>
        <v>0</v>
      </c>
      <c r="H6" s="10" t="n">
        <f aca="false">IFERROR(-G6*LN(G6),0)</f>
        <v>0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10" t="n">
        <f aca="false">IFERROR(D7/SUM($D$2:$D$200),0)</f>
        <v>0</v>
      </c>
      <c r="H7" s="10" t="n">
        <f aca="false">IFERROR(-G7*LN(G7),0)</f>
        <v>0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10" t="n">
        <f aca="false">IFERROR(D8/SUM($D$2:$D$200),0)</f>
        <v>0</v>
      </c>
      <c r="H8" s="10" t="n">
        <f aca="false">IFERROR(-G8*LN(G8),0)</f>
        <v>0</v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10" t="n">
        <f aca="false">IFERROR(D9/SUM($D$2:$D$200),0)</f>
        <v>0</v>
      </c>
      <c r="H9" s="10" t="n">
        <f aca="false">IFERROR(-G9*LN(G9),0)</f>
        <v>0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10" t="n">
        <f aca="false">IFERROR(D10/SUM($D$2:$D$200),0)</f>
        <v>0</v>
      </c>
      <c r="H10" s="10" t="n">
        <f aca="false">IFERROR(-G10*LN(G10),0)</f>
        <v>0</v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10" t="n">
        <f aca="false">IFERROR(D11/SUM($D$2:$D$200),0)</f>
        <v>0</v>
      </c>
      <c r="H11" s="10" t="n">
        <f aca="false">IFERROR(-G11*LN(G11),0)</f>
        <v>0</v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10" t="n">
        <f aca="false">IFERROR(D12/SUM($D$2:$D$200),0)</f>
        <v>0</v>
      </c>
      <c r="H12" s="10" t="n">
        <f aca="false">IFERROR(-G12*LN(G12),0)</f>
        <v>0</v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10" t="n">
        <f aca="false">IFERROR(D13/SUM($D$2:$D$200),0)</f>
        <v>0</v>
      </c>
      <c r="H13" s="10" t="n">
        <f aca="false">IFERROR(-G13*LN(G13),0)</f>
        <v>0</v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10" t="n">
        <f aca="false">IFERROR(D14/SUM($D$2:$D$200),0)</f>
        <v>0</v>
      </c>
      <c r="H14" s="10" t="n">
        <f aca="false">IFERROR(-G14*LN(G14),0)</f>
        <v>0</v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10" t="n">
        <f aca="false">IFERROR(D15/SUM($D$2:$D$200),0)</f>
        <v>0</v>
      </c>
      <c r="H15" s="10" t="n">
        <f aca="false">IFERROR(-G15*LN(G15),0)</f>
        <v>0</v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10" t="n">
        <f aca="false">IFERROR(D16/SUM($D$2:$D$200),0)</f>
        <v>0</v>
      </c>
      <c r="H16" s="10" t="n">
        <f aca="false">IFERROR(-G16*LN(G16),0)</f>
        <v>0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10" t="n">
        <f aca="false">IFERROR(D17/SUM($D$2:$D$200),0)</f>
        <v>0</v>
      </c>
      <c r="H17" s="10" t="n">
        <f aca="false">IFERROR(-G17*LN(G17),0)</f>
        <v>0</v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10" t="n">
        <f aca="false">IFERROR(D18/SUM($D$2:$D$200),0)</f>
        <v>0</v>
      </c>
      <c r="H18" s="10" t="n">
        <f aca="false">IFERROR(-G18*LN(G18),0)</f>
        <v>0</v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10" t="n">
        <f aca="false">IFERROR(D19/SUM($D$2:$D$200),0)</f>
        <v>0</v>
      </c>
      <c r="H19" s="10" t="n">
        <f aca="false">IFERROR(-G19*LN(G19),0)</f>
        <v>0</v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10" t="n">
        <f aca="false">IFERROR(D20/SUM($D$2:$D$200),0)</f>
        <v>0</v>
      </c>
      <c r="H20" s="10" t="n">
        <f aca="false">IFERROR(-G20*LN(G20),0)</f>
        <v>0</v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10" t="n">
        <f aca="false">IFERROR(D21/SUM($D$2:$D$200),0)</f>
        <v>0</v>
      </c>
      <c r="H21" s="10" t="n">
        <f aca="false">IFERROR(-G21*LN(G21),0)</f>
        <v>0</v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10" t="n">
        <f aca="false">IFERROR(D22/SUM($D$2:$D$200),0)</f>
        <v>0</v>
      </c>
      <c r="H22" s="10" t="n">
        <f aca="false">IFERROR(-G22*LN(G22),0)</f>
        <v>0</v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10" t="n">
        <f aca="false">IFERROR(D23/SUM($D$2:$D$200),0)</f>
        <v>0</v>
      </c>
      <c r="H23" s="10" t="n">
        <f aca="false">IFERROR(-G23*LN(G23),0)</f>
        <v>0</v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10" t="n">
        <f aca="false">IFERROR(D24/SUM($D$2:$D$200),0)</f>
        <v>0</v>
      </c>
      <c r="H24" s="10" t="n">
        <f aca="false">IFERROR(-G24*LN(G24),0)</f>
        <v>0</v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10" t="n">
        <f aca="false">IFERROR(D25/SUM($D$2:$D$200),0)</f>
        <v>0</v>
      </c>
      <c r="H25" s="10" t="n">
        <f aca="false">IFERROR(-G25*LN(G25),0)</f>
        <v>0</v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10" t="n">
        <f aca="false">IFERROR(D26/SUM($D$2:$D$200),0)</f>
        <v>0</v>
      </c>
      <c r="H26" s="10" t="n">
        <f aca="false">IFERROR(-G26*LN(G26),0)</f>
        <v>0</v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10" t="n">
        <f aca="false">IFERROR(D27/SUM($D$2:$D$200),0)</f>
        <v>0</v>
      </c>
      <c r="H27" s="10" t="n">
        <f aca="false">IFERROR(-G27*LN(G27),0)</f>
        <v>0</v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10" t="n">
        <f aca="false">IFERROR(D28/SUM($D$2:$D$200),0)</f>
        <v>0</v>
      </c>
      <c r="H28" s="10" t="n">
        <f aca="false">IFERROR(-G28*LN(G28),0)</f>
        <v>0</v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10" t="n">
        <f aca="false">IFERROR(D29/SUM($D$2:$D$200),0)</f>
        <v>0</v>
      </c>
      <c r="H29" s="10" t="n">
        <f aca="false">IFERROR(-G29*LN(G29),0)</f>
        <v>0</v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10" t="n">
        <f aca="false">IFERROR(D30/SUM($D$2:$D$200),0)</f>
        <v>0</v>
      </c>
      <c r="H30" s="10" t="n">
        <f aca="false">IFERROR(-G30*LN(G30),0)</f>
        <v>0</v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10" t="n">
        <f aca="false">IFERROR(D31/SUM($D$2:$D$200),0)</f>
        <v>0</v>
      </c>
      <c r="H31" s="10" t="n">
        <f aca="false">IFERROR(-G31*LN(G31),0)</f>
        <v>0</v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10" t="n">
        <f aca="false">IFERROR(D32/SUM($D$2:$D$200),0)</f>
        <v>0</v>
      </c>
      <c r="H32" s="10" t="n">
        <f aca="false">IFERROR(-G32*LN(G32),0)</f>
        <v>0</v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10" t="n">
        <f aca="false">IFERROR(D33/SUM($D$2:$D$200),0)</f>
        <v>0</v>
      </c>
      <c r="H33" s="10" t="n">
        <f aca="false">IFERROR(-G33*LN(G33),0)</f>
        <v>0</v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10" t="n">
        <f aca="false">IFERROR(D34/SUM($D$2:$D$200),0)</f>
        <v>0</v>
      </c>
      <c r="H34" s="10" t="n">
        <f aca="false">IFERROR(-G34*LN(G34),0)</f>
        <v>0</v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10" t="n">
        <f aca="false">IFERROR(D35/SUM($D$2:$D$200),0)</f>
        <v>0</v>
      </c>
      <c r="H35" s="10" t="n">
        <f aca="false">IFERROR(-G35*LN(G35),0)</f>
        <v>0</v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10" t="n">
        <f aca="false">IFERROR(D36/SUM($D$2:$D$200),0)</f>
        <v>0</v>
      </c>
      <c r="H36" s="10" t="n">
        <f aca="false">IFERROR(-G36*LN(G36),0)</f>
        <v>0</v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10" t="n">
        <f aca="false">IFERROR(D37/SUM($D$2:$D$200),0)</f>
        <v>0</v>
      </c>
      <c r="H37" s="10" t="n">
        <f aca="false">IFERROR(-G37*LN(G37),0)</f>
        <v>0</v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10" t="n">
        <f aca="false">IFERROR(D38/SUM($D$2:$D$200),0)</f>
        <v>0</v>
      </c>
      <c r="H38" s="10" t="n">
        <f aca="false">IFERROR(-G38*LN(G38),0)</f>
        <v>0</v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10" t="n">
        <f aca="false">IFERROR(D39/SUM($D$2:$D$200),0)</f>
        <v>0</v>
      </c>
      <c r="H39" s="10" t="n">
        <f aca="false">IFERROR(-G39*LN(G39),0)</f>
        <v>0</v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10" t="n">
        <f aca="false">IFERROR(D40/SUM($D$2:$D$200),0)</f>
        <v>0</v>
      </c>
      <c r="H40" s="10" t="n">
        <f aca="false">IFERROR(-G40*LN(G40),0)</f>
        <v>0</v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10" t="n">
        <f aca="false">IFERROR(D41/SUM($D$2:$D$200),0)</f>
        <v>0</v>
      </c>
      <c r="H41" s="10" t="n">
        <f aca="false">IFERROR(-G41*LN(G41),0)</f>
        <v>0</v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10" t="n">
        <f aca="false">IFERROR(D42/SUM($D$2:$D$200),0)</f>
        <v>0</v>
      </c>
      <c r="H42" s="10" t="n">
        <f aca="false">IFERROR(-G42*LN(G42),0)</f>
        <v>0</v>
      </c>
    </row>
    <row r="43" customFormat="false" ht="15" hidden="false" customHeight="false" outlineLevel="0" collapsed="false">
      <c r="G43" s="2" t="n">
        <f aca="false">IFERROR(D43/SUM($D$2:$D$200),0)</f>
        <v>0</v>
      </c>
      <c r="H43" s="2" t="n">
        <f aca="false">IFERROR(-G43*LN(G43),0)</f>
        <v>0</v>
      </c>
    </row>
    <row r="44" customFormat="false" ht="15" hidden="false" customHeight="false" outlineLevel="0" collapsed="false">
      <c r="G44" s="2" t="n">
        <f aca="false">IFERROR(D44/SUM($D$2:$D$200),0)</f>
        <v>0</v>
      </c>
      <c r="H44" s="2" t="n">
        <f aca="false">IFERROR(-G44*LN(G44),0)</f>
        <v>0</v>
      </c>
    </row>
    <row r="45" customFormat="false" ht="15" hidden="false" customHeight="false" outlineLevel="0" collapsed="false">
      <c r="G45" s="2" t="n">
        <f aca="false">IFERROR(D45/SUM($D$2:$D$200),0)</f>
        <v>0</v>
      </c>
      <c r="H45" s="2" t="n">
        <f aca="false">IFERROR(-G45*LN(G45),0)</f>
        <v>0</v>
      </c>
    </row>
    <row r="46" customFormat="false" ht="15" hidden="false" customHeight="false" outlineLevel="0" collapsed="false">
      <c r="G46" s="2" t="n">
        <f aca="false">IFERROR(D46/SUM($D$2:$D$200),0)</f>
        <v>0</v>
      </c>
      <c r="H46" s="2" t="n">
        <f aca="false">IFERROR(-G46*LN(G46),0)</f>
        <v>0</v>
      </c>
    </row>
    <row r="47" customFormat="false" ht="15" hidden="false" customHeight="false" outlineLevel="0" collapsed="false">
      <c r="G47" s="2" t="n">
        <f aca="false">IFERROR(D47/SUM($D$2:$D$200),0)</f>
        <v>0</v>
      </c>
      <c r="H47" s="2" t="n">
        <f aca="false">IFERROR(-G47*LN(G47),0)</f>
        <v>0</v>
      </c>
    </row>
    <row r="48" customFormat="false" ht="15" hidden="false" customHeight="false" outlineLevel="0" collapsed="false">
      <c r="G48" s="2" t="n">
        <f aca="false">IFERROR(D48/SUM($D$2:$D$200),0)</f>
        <v>0</v>
      </c>
      <c r="H48" s="2" t="n">
        <f aca="false">IFERROR(-G48*LN(G48),0)</f>
        <v>0</v>
      </c>
    </row>
    <row r="49" customFormat="false" ht="15" hidden="false" customHeight="false" outlineLevel="0" collapsed="false">
      <c r="G49" s="2" t="n">
        <f aca="false">IFERROR(D49/SUM($D$2:$D$200),0)</f>
        <v>0</v>
      </c>
      <c r="H49" s="2" t="n">
        <f aca="false">IFERROR(-G49*LN(G49),0)</f>
        <v>0</v>
      </c>
    </row>
    <row r="50" customFormat="false" ht="15" hidden="false" customHeight="false" outlineLevel="0" collapsed="false">
      <c r="G50" s="2" t="n">
        <f aca="false">IFERROR(D50/SUM($D$2:$D$200),0)</f>
        <v>0</v>
      </c>
      <c r="H50" s="2" t="n">
        <f aca="false">IFERROR(-G50*LN(G50),0)</f>
        <v>0</v>
      </c>
    </row>
    <row r="51" customFormat="false" ht="15" hidden="false" customHeight="false" outlineLevel="0" collapsed="false">
      <c r="G51" s="2" t="n">
        <f aca="false">IFERROR(D51/SUM($D$2:$D$200),0)</f>
        <v>0</v>
      </c>
      <c r="H51" s="2" t="n">
        <f aca="false">IFERROR(-G51*LN(G51),0)</f>
        <v>0</v>
      </c>
    </row>
    <row r="52" customFormat="false" ht="15" hidden="false" customHeight="false" outlineLevel="0" collapsed="false">
      <c r="G52" s="2" t="n">
        <f aca="false">IFERROR(D52/SUM($D$2:$D$200),0)</f>
        <v>0</v>
      </c>
      <c r="H52" s="2" t="n">
        <f aca="false">IFERROR(-G52*LN(G52),0)</f>
        <v>0</v>
      </c>
    </row>
    <row r="53" customFormat="false" ht="15" hidden="false" customHeight="false" outlineLevel="0" collapsed="false">
      <c r="G53" s="2" t="n">
        <f aca="false">IFERROR(D53/SUM($D$2:$D$200),0)</f>
        <v>0</v>
      </c>
      <c r="H53" s="2" t="n">
        <f aca="false">IFERROR(-G53*LN(G53),0)</f>
        <v>0</v>
      </c>
    </row>
    <row r="54" customFormat="false" ht="15" hidden="false" customHeight="false" outlineLevel="0" collapsed="false">
      <c r="G54" s="2" t="n">
        <f aca="false">IFERROR(D54/SUM($D$2:$D$200),0)</f>
        <v>0</v>
      </c>
      <c r="H54" s="2" t="n">
        <f aca="false">IFERROR(-G54*LN(G54),0)</f>
        <v>0</v>
      </c>
    </row>
    <row r="55" customFormat="false" ht="15" hidden="false" customHeight="false" outlineLevel="0" collapsed="false">
      <c r="G55" s="2" t="n">
        <f aca="false">IFERROR(D55/SUM($D$2:$D$200),0)</f>
        <v>0</v>
      </c>
      <c r="H55" s="2" t="n">
        <f aca="false">IFERROR(-G55*LN(G55),0)</f>
        <v>0</v>
      </c>
    </row>
    <row r="56" customFormat="false" ht="15" hidden="false" customHeight="false" outlineLevel="0" collapsed="false">
      <c r="G56" s="2" t="n">
        <f aca="false">IFERROR(D56/SUM($D$2:$D$200),0)</f>
        <v>0</v>
      </c>
      <c r="H56" s="2" t="n">
        <f aca="false">IFERROR(-G56*LN(G56),0)</f>
        <v>0</v>
      </c>
    </row>
    <row r="57" customFormat="false" ht="15" hidden="false" customHeight="false" outlineLevel="0" collapsed="false">
      <c r="G57" s="2" t="n">
        <f aca="false">IFERROR(D57/SUM($D$2:$D$200),0)</f>
        <v>0</v>
      </c>
      <c r="H57" s="2" t="n">
        <f aca="false">IFERROR(-G57*LN(G57),0)</f>
        <v>0</v>
      </c>
    </row>
    <row r="58" customFormat="false" ht="15" hidden="false" customHeight="false" outlineLevel="0" collapsed="false">
      <c r="G58" s="2" t="n">
        <f aca="false">IFERROR(D58/SUM($D$2:$D$200),0)</f>
        <v>0</v>
      </c>
      <c r="H58" s="2" t="n">
        <f aca="false">IFERROR(-G58*LN(G58),0)</f>
        <v>0</v>
      </c>
    </row>
    <row r="59" customFormat="false" ht="15" hidden="false" customHeight="false" outlineLevel="0" collapsed="false">
      <c r="G59" s="2" t="n">
        <f aca="false">IFERROR(D59/SUM($D$2:$D$200),0)</f>
        <v>0</v>
      </c>
      <c r="H59" s="2" t="n">
        <f aca="false">IFERROR(-G59*LN(G59),0)</f>
        <v>0</v>
      </c>
    </row>
    <row r="60" customFormat="false" ht="15" hidden="false" customHeight="false" outlineLevel="0" collapsed="false">
      <c r="G60" s="2" t="n">
        <f aca="false">IFERROR(D60/SUM($D$2:$D$200),0)</f>
        <v>0</v>
      </c>
      <c r="H60" s="2" t="n">
        <f aca="false">IFERROR(-G60*LN(G60),0)</f>
        <v>0</v>
      </c>
    </row>
    <row r="61" customFormat="false" ht="15" hidden="false" customHeight="false" outlineLevel="0" collapsed="false">
      <c r="G61" s="2" t="n">
        <f aca="false">IFERROR(D61/SUM($D$2:$D$200),0)</f>
        <v>0</v>
      </c>
      <c r="H61" s="2" t="n">
        <f aca="false">IFERROR(-G61*LN(G61),0)</f>
        <v>0</v>
      </c>
    </row>
    <row r="62" customFormat="false" ht="15" hidden="false" customHeight="false" outlineLevel="0" collapsed="false">
      <c r="G62" s="2" t="n">
        <f aca="false">IFERROR(D62/SUM($D$2:$D$200),0)</f>
        <v>0</v>
      </c>
      <c r="H62" s="2" t="n">
        <f aca="false">IFERROR(-G62*LN(G62),0)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11" t="s">
        <v>44</v>
      </c>
    </row>
    <row r="6" customFormat="false" ht="15" hidden="false" customHeight="false" outlineLevel="0" collapsed="false">
      <c r="A6" s="4" t="s">
        <v>45</v>
      </c>
      <c r="B6" s="12" t="n">
        <f aca="false">IFERROR(AVERAGE('Sessile cover'!C2:C200),0)</f>
        <v>12</v>
      </c>
    </row>
    <row r="7" customFormat="false" ht="15" hidden="false" customHeight="false" outlineLevel="0" collapsed="false">
      <c r="A7" s="4" t="s">
        <v>46</v>
      </c>
      <c r="B7" s="12" t="n">
        <f aca="false">IFERROR(AVERAGE('Sessile cover'!D2:D200),0)</f>
        <v>8</v>
      </c>
    </row>
    <row r="8" customFormat="false" ht="15" hidden="false" customHeight="false" outlineLevel="0" collapsed="false">
      <c r="A8" s="4" t="s">
        <v>47</v>
      </c>
      <c r="B8" s="12" t="n">
        <f aca="false">IFERROR(AVERAGE('Sessile cover'!E2:E200),0)</f>
        <v>25</v>
      </c>
    </row>
    <row r="9" customFormat="false" ht="15" hidden="false" customHeight="false" outlineLevel="0" collapsed="false">
      <c r="A9" s="4" t="s">
        <v>48</v>
      </c>
      <c r="B9" s="12" t="n">
        <f aca="false">IFERROR(AVERAGE('Sessile cover'!F2:F200),0)</f>
        <v>15</v>
      </c>
    </row>
    <row r="10" customFormat="false" ht="15" hidden="false" customHeight="false" outlineLevel="0" collapsed="false">
      <c r="A10" s="4" t="s">
        <v>49</v>
      </c>
      <c r="B10" s="12" t="n">
        <f aca="false">IFERROR(AVERAGE('Sessile cover'!G2:G200),0)</f>
        <v>5</v>
      </c>
    </row>
    <row r="11" customFormat="false" ht="15" hidden="false" customHeight="false" outlineLevel="0" collapsed="false">
      <c r="A11" s="4" t="s">
        <v>50</v>
      </c>
      <c r="B11" s="12" t="n">
        <f aca="false">IFERROR(AVERAGE('Sessile cover'!H2:H200),0)</f>
        <v>2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11" t="s">
        <v>51</v>
      </c>
    </row>
    <row r="14" customFormat="false" ht="15" hidden="false" customHeight="false" outlineLevel="0" collapsed="false">
      <c r="A14" s="4" t="s">
        <v>52</v>
      </c>
      <c r="B14" s="12" t="n">
        <f aca="false">SUM('Associated fauna'!D2:D200)</f>
        <v>6</v>
      </c>
    </row>
    <row r="15" customFormat="false" ht="15" hidden="false" customHeight="false" outlineLevel="0" collapsed="false">
      <c r="A15" s="4" t="s">
        <v>53</v>
      </c>
      <c r="B15" s="12" t="n">
        <f aca="false">COUNTIF('Associated fauna'!D2:D200,"&gt;0")</f>
        <v>1</v>
      </c>
    </row>
    <row r="16" customFormat="false" ht="15" hidden="false" customHeight="false" outlineLevel="0" collapsed="false">
      <c r="A16" s="4" t="s">
        <v>54</v>
      </c>
      <c r="B16" s="12" t="n">
        <f aca="false">SUM('Associated fauna'!H2:H200)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2026-09-09T14:27:51Z</dcterms:created>
  <dc:creator>openpyxl</dc:creator>
  <dc:description/>
  <dc:language>en-US</dc:language>
  <cp:lastModifiedBy/>
  <dcterms:modified xsi:type="dcterms:W3CDTF">2026-09-09T14:27:51Z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