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gend" sheetId="1" state="visible" r:id="rId3"/>
    <sheet name="Deployment log" sheetId="2" state="visible" r:id="rId4"/>
    <sheet name="Fish catch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<sst xmlns="http://schemas.openxmlformats.org/spreadsheetml/2006/main" count="56" uniqueCount="52">
  <si>
    <t xml:space="preserve">SMURF Monitoring of Fish Recruitment</t>
  </si>
  <si>
    <t xml:space="preserve">Stats workbook — underwood_2023_hb221 (H&amp;B 2.2.1 recruitment).</t>
  </si>
  <si>
    <t xml:space="preserve">How to use this workbook:</t>
  </si>
  <si>
    <t xml:space="preserve">• Enter your field data in the two yellow-header sheets. Row 2 (shaded) is an EXAMPLE — overwrite or delete it.</t>
  </si>
  <si>
    <t xml:space="preserve">• 'Fish catch' = one row per fish (taxon, length, size class). 'Deployment log' = one row per SMURF per visit.</t>
  </si>
  <si>
    <t xml:space="preserve">• In the Summary sheet, the taxon tally lists each taxon you recorded — type each taxon name EXACTLY as in 'Fish catch'; counts, richness, and diversity fill in automatically.</t>
  </si>
  <si>
    <t xml:space="preserve">• Size class must be typed as Settler, Juvenile, or Adult (the Summary counts these).</t>
  </si>
  <si>
    <t xml:space="preserve">• The rigorous cross-habitat comparison (linear mixed models, NMDS) in the source is a partner-supported step, done outside this workbook.</t>
  </si>
  <si>
    <t xml:space="preserve">• These data-entry columns match the field datasheet exactly.</t>
  </si>
  <si>
    <t xml:space="preserve">Site</t>
  </si>
  <si>
    <t xml:space="preserve">SMURF ID</t>
  </si>
  <si>
    <t xml:space="preserve">Habitat (farm/reference)</t>
  </si>
  <si>
    <t xml:space="preserve">Depth (surface/seabed)</t>
  </si>
  <si>
    <t xml:space="preserve">Date</t>
  </si>
  <si>
    <t xml:space="preserve">Moon phase</t>
  </si>
  <si>
    <t xml:space="preserve">Observer</t>
  </si>
  <si>
    <t xml:space="preserve">Tidal range (m)</t>
  </si>
  <si>
    <t xml:space="preserve">Kelp biofouling (g)</t>
  </si>
  <si>
    <t xml:space="preserve">Notes</t>
  </si>
  <si>
    <t xml:space="preserve">Coromandel</t>
  </si>
  <si>
    <t xml:space="preserve">SMURF-01</t>
  </si>
  <si>
    <t xml:space="preserve">farm</t>
  </si>
  <si>
    <t xml:space="preserve">surface</t>
  </si>
  <si>
    <t xml:space="preserve">2024-12-16</t>
  </si>
  <si>
    <t xml:space="preserve">New moon</t>
  </si>
  <si>
    <t xml:space="preserve">L. Underwood</t>
  </si>
  <si>
    <t xml:space="preserve">co-culture block</t>
  </si>
  <si>
    <t xml:space="preserve">Taxon</t>
  </si>
  <si>
    <t xml:space="preserve">Total length (mm)</t>
  </si>
  <si>
    <t xml:space="preserve">Size class (settler/juvenile/adult)</t>
  </si>
  <si>
    <t xml:space="preserve">Fosterygion lapillum (common triplefin)</t>
  </si>
  <si>
    <t xml:space="preserve">Settler</t>
  </si>
  <si>
    <t xml:space="preserve">Summary (auto-calculated)</t>
  </si>
  <si>
    <t xml:space="preserve">underwood_2023_hb221 — updates from the data-entry sheets.</t>
  </si>
  <si>
    <t xml:space="preserve">Recruitment totals</t>
  </si>
  <si>
    <t xml:space="preserve">  Total recruits (fish caught)</t>
  </si>
  <si>
    <t xml:space="preserve">  Settlers</t>
  </si>
  <si>
    <t xml:space="preserve">  Juveniles</t>
  </si>
  <si>
    <t xml:space="preserve">  Adults</t>
  </si>
  <si>
    <t xml:space="preserve">Taxon tally  (type each taxon exactly as in 'Fish catch')</t>
  </si>
  <si>
    <t xml:space="preserve">Count</t>
  </si>
  <si>
    <t xml:space="preserve">pi (auto)</t>
  </si>
  <si>
    <t xml:space="preserve">H' term (auto)</t>
  </si>
  <si>
    <t xml:space="preserve">Fosterygion gymnotum (robust triplefin)</t>
  </si>
  <si>
    <t xml:space="preserve">Notolabrus celidotus (spotty)</t>
  </si>
  <si>
    <t xml:space="preserve">Trachurus spp. (mackerel)</t>
  </si>
  <si>
    <t xml:space="preserve">Dellichthys trnskii (clingfish)</t>
  </si>
  <si>
    <t xml:space="preserve">Parika scaber (leatherjacket)</t>
  </si>
  <si>
    <t xml:space="preserve">Pseudophycis barbata</t>
  </si>
  <si>
    <t xml:space="preserve">Ericentrus rubrus</t>
  </si>
  <si>
    <t xml:space="preserve">Taxa richness (no. of taxa)</t>
  </si>
  <si>
    <t xml:space="preserve">Shannon diversity (H')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</si>
</sst>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General"/>
    <numFmt numFmtId="167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D3A"/>
      <name val="Arial"/>
      <family val="0"/>
      <charset val="1"/>
    </font>
    <font>
      <i val="true"/>
      <sz val="9"/>
      <color rgb="FF5A5A5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7F6000"/>
      <name val="Arial"/>
      <family val="0"/>
      <charset val="1"/>
    </font>
    <font>
      <b val="true"/>
      <sz val="11"/>
      <color rgb="FF2F5D3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D3A"/>
        <bgColor rgb="FF5A5A5A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7D3C7"/>
      </left>
      <right style="thin">
        <color rgb="FFC7D3C7"/>
      </right>
      <top style="thin">
        <color rgb="FFC7D3C7"/>
      </top>
      <bottom style="thin">
        <color rgb="FFC7D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7D3C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5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D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5" hidden="false" customHeight="false" outlineLevel="0" collapsed="false">
      <c r="A8" s="4" t="s">
        <v>6</v>
      </c>
    </row>
    <row r="9" customFormat="false" ht="15" hidden="false" customHeight="false" outlineLevel="0" collapsed="false">
      <c r="A9" s="4" t="s">
        <v>7</v>
      </c>
    </row>
    <row r="10" customFormat="false" ht="15" hidden="false" customHeight="false" outlineLevel="0" collapsed="false">
      <c r="A10" s="4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4" min="3" style="0" width="18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14</v>
      </c>
      <c r="G1" s="5" t="s">
        <v>15</v>
      </c>
      <c r="H1" s="5" t="s">
        <v>16</v>
      </c>
      <c r="I1" s="5" t="s">
        <v>17</v>
      </c>
      <c r="J1" s="5" t="s">
        <v>18</v>
      </c>
    </row>
    <row r="2" customFormat="false" ht="15" hidden="false" customHeight="false" outlineLevel="0" collapsed="false">
      <c r="A2" s="6" t="s">
        <v>19</v>
      </c>
      <c r="B2" s="6" t="s">
        <v>20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n">
        <v>3.8</v>
      </c>
      <c r="I2" s="6" t="n">
        <v>120</v>
      </c>
      <c r="J2" s="6" t="s">
        <v>26</v>
      </c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26"/>
  </cols>
  <sheetData>
    <row r="1" customFormat="false" ht="30" hidden="false" customHeight="true" outlineLevel="0" collapsed="false">
      <c r="A1" s="5" t="s">
        <v>10</v>
      </c>
      <c r="B1" s="5" t="s">
        <v>27</v>
      </c>
      <c r="C1" s="5" t="s">
        <v>28</v>
      </c>
      <c r="D1" s="5" t="s">
        <v>29</v>
      </c>
    </row>
    <row r="2" customFormat="false" ht="23.85" hidden="false" customHeight="false" outlineLevel="0" collapsed="false">
      <c r="A2" s="6" t="s">
        <v>20</v>
      </c>
      <c r="B2" s="6" t="s">
        <v>30</v>
      </c>
      <c r="C2" s="6" t="n">
        <v>28</v>
      </c>
      <c r="D2" s="6" t="s">
        <v>31</v>
      </c>
    </row>
    <row r="3" customFormat="false" ht="15" hidden="false" customHeight="false" outlineLevel="0" collapsed="false">
      <c r="A3" s="7"/>
      <c r="B3" s="7"/>
      <c r="C3" s="7"/>
      <c r="D3" s="7"/>
    </row>
    <row r="4" customFormat="false" ht="15" hidden="false" customHeight="false" outlineLevel="0" collapsed="false">
      <c r="A4" s="7"/>
      <c r="B4" s="7"/>
      <c r="C4" s="7"/>
      <c r="D4" s="7"/>
    </row>
    <row r="5" customFormat="false" ht="15" hidden="false" customHeight="false" outlineLevel="0" collapsed="false">
      <c r="A5" s="7"/>
      <c r="B5" s="7"/>
      <c r="C5" s="7"/>
      <c r="D5" s="7"/>
    </row>
    <row r="6" customFormat="false" ht="15" hidden="false" customHeight="false" outlineLevel="0" collapsed="false">
      <c r="A6" s="7"/>
      <c r="B6" s="7"/>
      <c r="C6" s="7"/>
      <c r="D6" s="7"/>
    </row>
    <row r="7" customFormat="false" ht="15" hidden="false" customHeight="false" outlineLevel="0" collapsed="false">
      <c r="A7" s="7"/>
      <c r="B7" s="7"/>
      <c r="C7" s="7"/>
      <c r="D7" s="7"/>
    </row>
    <row r="8" customFormat="false" ht="15" hidden="false" customHeight="false" outlineLevel="0" collapsed="false">
      <c r="A8" s="7"/>
      <c r="B8" s="7"/>
      <c r="C8" s="7"/>
      <c r="D8" s="7"/>
    </row>
    <row r="9" customFormat="false" ht="15" hidden="false" customHeight="false" outlineLevel="0" collapsed="false">
      <c r="A9" s="7"/>
      <c r="B9" s="7"/>
      <c r="C9" s="7"/>
      <c r="D9" s="7"/>
    </row>
    <row r="10" customFormat="false" ht="15" hidden="false" customHeight="false" outlineLevel="0" collapsed="false">
      <c r="A10" s="7"/>
      <c r="B10" s="7"/>
      <c r="C10" s="7"/>
      <c r="D10" s="7"/>
    </row>
    <row r="11" customFormat="false" ht="15" hidden="false" customHeight="false" outlineLevel="0" collapsed="false">
      <c r="A11" s="7"/>
      <c r="B11" s="7"/>
      <c r="C11" s="7"/>
      <c r="D11" s="7"/>
    </row>
    <row r="12" customFormat="false" ht="15" hidden="false" customHeight="false" outlineLevel="0" collapsed="false">
      <c r="A12" s="7"/>
      <c r="B12" s="7"/>
      <c r="C12" s="7"/>
      <c r="D12" s="7"/>
    </row>
    <row r="13" customFormat="false" ht="15" hidden="false" customHeight="false" outlineLevel="0" collapsed="false">
      <c r="A13" s="7"/>
      <c r="B13" s="7"/>
      <c r="C13" s="7"/>
      <c r="D13" s="7"/>
    </row>
    <row r="14" customFormat="false" ht="15" hidden="false" customHeight="false" outlineLevel="0" collapsed="false">
      <c r="A14" s="7"/>
      <c r="B14" s="7"/>
      <c r="C14" s="7"/>
      <c r="D14" s="7"/>
    </row>
    <row r="15" customFormat="false" ht="15" hidden="false" customHeight="false" outlineLevel="0" collapsed="false">
      <c r="A15" s="7"/>
      <c r="B15" s="7"/>
      <c r="C15" s="7"/>
      <c r="D15" s="7"/>
    </row>
    <row r="16" customFormat="false" ht="15" hidden="false" customHeight="false" outlineLevel="0" collapsed="false">
      <c r="A16" s="7"/>
      <c r="B16" s="7"/>
      <c r="C16" s="7"/>
      <c r="D16" s="7"/>
    </row>
    <row r="17" customFormat="false" ht="15" hidden="false" customHeight="false" outlineLevel="0" collapsed="false">
      <c r="A17" s="7"/>
      <c r="B17" s="7"/>
      <c r="C17" s="7"/>
      <c r="D17" s="7"/>
    </row>
    <row r="18" customFormat="false" ht="15" hidden="false" customHeight="false" outlineLevel="0" collapsed="false">
      <c r="A18" s="7"/>
      <c r="B18" s="7"/>
      <c r="C18" s="7"/>
      <c r="D18" s="7"/>
    </row>
    <row r="19" customFormat="false" ht="15" hidden="false" customHeight="false" outlineLevel="0" collapsed="false">
      <c r="A19" s="7"/>
      <c r="B19" s="7"/>
      <c r="C19" s="7"/>
      <c r="D19" s="7"/>
    </row>
    <row r="20" customFormat="false" ht="15" hidden="false" customHeight="false" outlineLevel="0" collapsed="false">
      <c r="A20" s="7"/>
      <c r="B20" s="7"/>
      <c r="C20" s="7"/>
      <c r="D20" s="7"/>
    </row>
    <row r="21" customFormat="false" ht="15" hidden="false" customHeight="false" outlineLevel="0" collapsed="false">
      <c r="A21" s="7"/>
      <c r="B21" s="7"/>
      <c r="C21" s="7"/>
      <c r="D21" s="7"/>
    </row>
    <row r="22" customFormat="false" ht="15" hidden="false" customHeight="false" outlineLevel="0" collapsed="false">
      <c r="A22" s="7"/>
      <c r="B22" s="7"/>
      <c r="C22" s="7"/>
      <c r="D22" s="7"/>
    </row>
    <row r="23" customFormat="false" ht="15" hidden="false" customHeight="false" outlineLevel="0" collapsed="false">
      <c r="A23" s="7"/>
      <c r="B23" s="7"/>
      <c r="C23" s="7"/>
      <c r="D23" s="7"/>
    </row>
    <row r="24" customFormat="false" ht="15" hidden="false" customHeight="false" outlineLevel="0" collapsed="false">
      <c r="A24" s="7"/>
      <c r="B24" s="7"/>
      <c r="C24" s="7"/>
      <c r="D24" s="7"/>
    </row>
    <row r="25" customFormat="false" ht="15" hidden="false" customHeight="false" outlineLevel="0" collapsed="false">
      <c r="A25" s="7"/>
      <c r="B25" s="7"/>
      <c r="C25" s="7"/>
      <c r="D25" s="7"/>
    </row>
    <row r="26" customFormat="false" ht="15" hidden="false" customHeight="false" outlineLevel="0" collapsed="false">
      <c r="A26" s="7"/>
      <c r="B26" s="7"/>
      <c r="C26" s="7"/>
      <c r="D26" s="7"/>
    </row>
    <row r="27" customFormat="false" ht="15" hidden="false" customHeight="false" outlineLevel="0" collapsed="false">
      <c r="A27" s="7"/>
      <c r="B27" s="7"/>
      <c r="C27" s="7"/>
      <c r="D27" s="7"/>
    </row>
    <row r="28" customFormat="false" ht="15" hidden="false" customHeight="false" outlineLevel="0" collapsed="false">
      <c r="A28" s="7"/>
      <c r="B28" s="7"/>
      <c r="C28" s="7"/>
      <c r="D28" s="7"/>
    </row>
    <row r="29" customFormat="false" ht="15" hidden="false" customHeight="false" outlineLevel="0" collapsed="false">
      <c r="A29" s="7"/>
      <c r="B29" s="7"/>
      <c r="C29" s="7"/>
      <c r="D29" s="7"/>
    </row>
    <row r="30" customFormat="false" ht="15" hidden="false" customHeight="false" outlineLevel="0" collapsed="false">
      <c r="A30" s="7"/>
      <c r="B30" s="7"/>
      <c r="C30" s="7"/>
      <c r="D30" s="7"/>
    </row>
    <row r="31" customFormat="false" ht="15" hidden="false" customHeight="false" outlineLevel="0" collapsed="false">
      <c r="A31" s="7"/>
      <c r="B31" s="7"/>
      <c r="C31" s="7"/>
      <c r="D31" s="7"/>
    </row>
    <row r="32" customFormat="false" ht="15" hidden="false" customHeight="false" outlineLevel="0" collapsed="false">
      <c r="A32" s="7"/>
      <c r="B32" s="7"/>
      <c r="C32" s="7"/>
      <c r="D32" s="7"/>
    </row>
    <row r="33" customFormat="false" ht="15" hidden="false" customHeight="false" outlineLevel="0" collapsed="false">
      <c r="A33" s="7"/>
      <c r="B33" s="7"/>
      <c r="C33" s="7"/>
      <c r="D33" s="7"/>
    </row>
    <row r="34" customFormat="false" ht="15" hidden="false" customHeight="false" outlineLevel="0" collapsed="false">
      <c r="A34" s="7"/>
      <c r="B34" s="7"/>
      <c r="C34" s="7"/>
      <c r="D34" s="7"/>
    </row>
    <row r="35" customFormat="false" ht="15" hidden="false" customHeight="false" outlineLevel="0" collapsed="false">
      <c r="A35" s="7"/>
      <c r="B35" s="7"/>
      <c r="C35" s="7"/>
      <c r="D35" s="7"/>
    </row>
    <row r="36" customFormat="false" ht="15" hidden="false" customHeight="false" outlineLevel="0" collapsed="false">
      <c r="A36" s="7"/>
      <c r="B36" s="7"/>
      <c r="C36" s="7"/>
      <c r="D36" s="7"/>
    </row>
    <row r="37" customFormat="false" ht="15" hidden="false" customHeight="false" outlineLevel="0" collapsed="false">
      <c r="A37" s="7"/>
      <c r="B37" s="7"/>
      <c r="C37" s="7"/>
      <c r="D37" s="7"/>
    </row>
    <row r="38" customFormat="false" ht="15" hidden="false" customHeight="false" outlineLevel="0" collapsed="false">
      <c r="A38" s="7"/>
      <c r="B38" s="7"/>
      <c r="C38" s="7"/>
      <c r="D38" s="7"/>
    </row>
    <row r="39" customFormat="false" ht="15" hidden="false" customHeight="false" outlineLevel="0" collapsed="false">
      <c r="A39" s="7"/>
      <c r="B39" s="7"/>
      <c r="C39" s="7"/>
      <c r="D39" s="7"/>
    </row>
    <row r="40" customFormat="false" ht="15" hidden="false" customHeight="false" outlineLevel="0" collapsed="false">
      <c r="A40" s="7"/>
      <c r="B40" s="7"/>
      <c r="C40" s="7"/>
      <c r="D40" s="7"/>
    </row>
    <row r="41" customFormat="false" ht="15" hidden="false" customHeight="false" outlineLevel="0" collapsed="false">
      <c r="A41" s="7"/>
      <c r="B41" s="7"/>
      <c r="C41" s="7"/>
      <c r="D41" s="7"/>
    </row>
    <row r="42" customFormat="false" ht="15" hidden="false" customHeight="false" outlineLevel="0" collapsed="false">
      <c r="A42" s="7"/>
      <c r="B42" s="7"/>
      <c r="C42" s="7"/>
      <c r="D42" s="7"/>
    </row>
    <row r="43" customFormat="false" ht="15" hidden="false" customHeight="false" outlineLevel="0" collapsed="false">
      <c r="A43" s="7"/>
      <c r="B43" s="7"/>
      <c r="C43" s="7"/>
      <c r="D43" s="7"/>
    </row>
    <row r="44" customFormat="false" ht="15" hidden="false" customHeight="false" outlineLevel="0" collapsed="false">
      <c r="A44" s="7"/>
      <c r="B44" s="7"/>
      <c r="C44" s="7"/>
      <c r="D44" s="7"/>
    </row>
    <row r="45" customFormat="false" ht="15" hidden="false" customHeight="false" outlineLevel="0" collapsed="false">
      <c r="A45" s="7"/>
      <c r="B45" s="7"/>
      <c r="C45" s="7"/>
      <c r="D45" s="7"/>
    </row>
    <row r="46" customFormat="false" ht="15" hidden="false" customHeight="false" outlineLevel="0" collapsed="false">
      <c r="A46" s="7"/>
      <c r="B46" s="7"/>
      <c r="C46" s="7"/>
      <c r="D46" s="7"/>
    </row>
    <row r="47" customFormat="false" ht="15" hidden="false" customHeight="false" outlineLevel="0" collapsed="false">
      <c r="A47" s="7"/>
      <c r="B47" s="7"/>
      <c r="C47" s="7"/>
      <c r="D47" s="7"/>
    </row>
    <row r="48" customFormat="false" ht="15" hidden="false" customHeight="false" outlineLevel="0" collapsed="false">
      <c r="A48" s="7"/>
      <c r="B48" s="7"/>
      <c r="C48" s="7"/>
      <c r="D48" s="7"/>
    </row>
    <row r="49" customFormat="false" ht="15" hidden="false" customHeight="false" outlineLevel="0" collapsed="false">
      <c r="A49" s="7"/>
      <c r="B49" s="7"/>
      <c r="C49" s="7"/>
      <c r="D49" s="7"/>
    </row>
    <row r="50" customFormat="false" ht="15" hidden="false" customHeight="false" outlineLevel="0" collapsed="false">
      <c r="A50" s="7"/>
      <c r="B50" s="7"/>
      <c r="C50" s="7"/>
      <c r="D50" s="7"/>
    </row>
    <row r="51" customFormat="false" ht="15" hidden="false" customHeight="false" outlineLevel="0" collapsed="false">
      <c r="A51" s="7"/>
      <c r="B51" s="7"/>
      <c r="C51" s="7"/>
      <c r="D51" s="7"/>
    </row>
    <row r="52" customFormat="false" ht="15" hidden="false" customHeight="false" outlineLevel="0" collapsed="false">
      <c r="A52" s="7"/>
      <c r="B52" s="7"/>
      <c r="C52" s="7"/>
      <c r="D52" s="7"/>
    </row>
    <row r="53" customFormat="false" ht="15" hidden="false" customHeight="false" outlineLevel="0" collapsed="false">
      <c r="A53" s="7"/>
      <c r="B53" s="7"/>
      <c r="C53" s="7"/>
      <c r="D53" s="7"/>
    </row>
    <row r="54" customFormat="false" ht="15" hidden="false" customHeight="false" outlineLevel="0" collapsed="false">
      <c r="A54" s="7"/>
      <c r="B54" s="7"/>
      <c r="C54" s="7"/>
      <c r="D54" s="7"/>
    </row>
    <row r="55" customFormat="false" ht="15" hidden="false" customHeight="false" outlineLevel="0" collapsed="false">
      <c r="A55" s="7"/>
      <c r="B55" s="7"/>
      <c r="C55" s="7"/>
      <c r="D55" s="7"/>
    </row>
    <row r="56" customFormat="false" ht="15" hidden="false" customHeight="false" outlineLevel="0" collapsed="false">
      <c r="A56" s="7"/>
      <c r="B56" s="7"/>
      <c r="C56" s="7"/>
      <c r="D56" s="7"/>
    </row>
    <row r="57" customFormat="false" ht="15" hidden="false" customHeight="false" outlineLevel="0" collapsed="false">
      <c r="A57" s="7"/>
      <c r="B57" s="7"/>
      <c r="C57" s="7"/>
      <c r="D57" s="7"/>
    </row>
    <row r="58" customFormat="false" ht="15" hidden="false" customHeight="false" outlineLevel="0" collapsed="false">
      <c r="A58" s="7"/>
      <c r="B58" s="7"/>
      <c r="C58" s="7"/>
      <c r="D58" s="7"/>
    </row>
    <row r="59" customFormat="false" ht="15" hidden="false" customHeight="false" outlineLevel="0" collapsed="false">
      <c r="A59" s="7"/>
      <c r="B59" s="7"/>
      <c r="C59" s="7"/>
      <c r="D59" s="7"/>
    </row>
    <row r="60" customFormat="false" ht="15" hidden="false" customHeight="false" outlineLevel="0" collapsed="false">
      <c r="A60" s="7"/>
      <c r="B60" s="7"/>
      <c r="C60" s="7"/>
      <c r="D60" s="7"/>
    </row>
    <row r="61" customFormat="false" ht="15" hidden="false" customHeight="false" outlineLevel="0" collapsed="false">
      <c r="A61" s="7"/>
      <c r="B61" s="7"/>
      <c r="C61" s="7"/>
      <c r="D61" s="7"/>
    </row>
    <row r="62" customFormat="false" ht="15" hidden="false" customHeight="false" outlineLevel="0" collapsed="false">
      <c r="A62" s="7"/>
      <c r="B62" s="7"/>
      <c r="C62" s="7"/>
      <c r="D62" s="7"/>
    </row>
    <row r="63" customFormat="false" ht="15" hidden="false" customHeight="false" outlineLevel="0" collapsed="false">
      <c r="A63" s="7"/>
      <c r="B63" s="7"/>
      <c r="C63" s="7"/>
      <c r="D63" s="7"/>
    </row>
    <row r="64" customFormat="false" ht="15" hidden="false" customHeight="false" outlineLevel="0" collapsed="false">
      <c r="A64" s="7"/>
      <c r="B64" s="7"/>
      <c r="C64" s="7"/>
      <c r="D64" s="7"/>
    </row>
    <row r="65" customFormat="false" ht="15" hidden="false" customHeight="false" outlineLevel="0" collapsed="false">
      <c r="A65" s="7"/>
      <c r="B65" s="7"/>
      <c r="C65" s="7"/>
      <c r="D65" s="7"/>
    </row>
    <row r="66" customFormat="false" ht="15" hidden="false" customHeight="false" outlineLevel="0" collapsed="false">
      <c r="A66" s="7"/>
      <c r="B66" s="7"/>
      <c r="C66" s="7"/>
      <c r="D66" s="7"/>
    </row>
    <row r="67" customFormat="false" ht="15" hidden="false" customHeight="false" outlineLevel="0" collapsed="false">
      <c r="A67" s="7"/>
      <c r="B67" s="7"/>
      <c r="C67" s="7"/>
      <c r="D67" s="7"/>
    </row>
    <row r="68" customFormat="false" ht="15" hidden="false" customHeight="false" outlineLevel="0" collapsed="false">
      <c r="A68" s="7"/>
      <c r="B68" s="7"/>
      <c r="C68" s="7"/>
      <c r="D68" s="7"/>
    </row>
    <row r="69" customFormat="false" ht="15" hidden="false" customHeight="false" outlineLevel="0" collapsed="false">
      <c r="A69" s="7"/>
      <c r="B69" s="7"/>
      <c r="C69" s="7"/>
      <c r="D69" s="7"/>
    </row>
    <row r="70" customFormat="false" ht="15" hidden="false" customHeight="false" outlineLevel="0" collapsed="false">
      <c r="A70" s="7"/>
      <c r="B70" s="7"/>
      <c r="C70" s="7"/>
      <c r="D70" s="7"/>
    </row>
    <row r="71" customFormat="false" ht="15" hidden="false" customHeight="false" outlineLevel="0" collapsed="false">
      <c r="A71" s="7"/>
      <c r="B71" s="7"/>
      <c r="C71" s="7"/>
      <c r="D71" s="7"/>
    </row>
    <row r="72" customFormat="false" ht="15" hidden="false" customHeight="false" outlineLevel="0" collapsed="false">
      <c r="A72" s="7"/>
      <c r="B72" s="7"/>
      <c r="C72" s="7"/>
      <c r="D72" s="7"/>
    </row>
    <row r="73" customFormat="false" ht="15" hidden="false" customHeight="false" outlineLevel="0" collapsed="false">
      <c r="A73" s="7"/>
      <c r="B73" s="7"/>
      <c r="C73" s="7"/>
      <c r="D73" s="7"/>
    </row>
    <row r="74" customFormat="false" ht="15" hidden="false" customHeight="false" outlineLevel="0" collapsed="false">
      <c r="A74" s="7"/>
      <c r="B74" s="7"/>
      <c r="C74" s="7"/>
      <c r="D74" s="7"/>
    </row>
    <row r="75" customFormat="false" ht="15" hidden="false" customHeight="false" outlineLevel="0" collapsed="false">
      <c r="A75" s="7"/>
      <c r="B75" s="7"/>
      <c r="C75" s="7"/>
      <c r="D75" s="7"/>
    </row>
    <row r="76" customFormat="false" ht="15" hidden="false" customHeight="false" outlineLevel="0" collapsed="false">
      <c r="A76" s="7"/>
      <c r="B76" s="7"/>
      <c r="C76" s="7"/>
      <c r="D76" s="7"/>
    </row>
    <row r="77" customFormat="false" ht="15" hidden="false" customHeight="false" outlineLevel="0" collapsed="false">
      <c r="A77" s="7"/>
      <c r="B77" s="7"/>
      <c r="C77" s="7"/>
      <c r="D77" s="7"/>
    </row>
    <row r="78" customFormat="false" ht="15" hidden="false" customHeight="false" outlineLevel="0" collapsed="false">
      <c r="A78" s="7"/>
      <c r="B78" s="7"/>
      <c r="C78" s="7"/>
      <c r="D78" s="7"/>
    </row>
    <row r="79" customFormat="false" ht="15" hidden="false" customHeight="false" outlineLevel="0" collapsed="false">
      <c r="A79" s="7"/>
      <c r="B79" s="7"/>
      <c r="C79" s="7"/>
      <c r="D79" s="7"/>
    </row>
    <row r="80" customFormat="false" ht="15" hidden="false" customHeight="false" outlineLevel="0" collapsed="false">
      <c r="A80" s="7"/>
      <c r="B80" s="7"/>
      <c r="C80" s="7"/>
      <c r="D80" s="7"/>
    </row>
    <row r="81" customFormat="false" ht="15" hidden="false" customHeight="false" outlineLevel="0" collapsed="false">
      <c r="A81" s="7"/>
      <c r="B81" s="7"/>
      <c r="C81" s="7"/>
      <c r="D81" s="7"/>
    </row>
    <row r="82" customFormat="false" ht="15" hidden="false" customHeight="false" outlineLevel="0" collapsed="false">
      <c r="A82" s="7"/>
      <c r="B82" s="7"/>
      <c r="C82" s="7"/>
      <c r="D82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" min="3" style="0" width="11"/>
    <col collapsed="false" customWidth="true" hidden="false" outlineLevel="0" max="4" min="4" style="0" width="13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4" customFormat="false" ht="15" hidden="false" customHeight="false" outlineLevel="0" collapsed="false">
      <c r="A4" s="8" t="s">
        <v>34</v>
      </c>
    </row>
    <row r="5" customFormat="false" ht="15" hidden="false" customHeight="false" outlineLevel="0" collapsed="false">
      <c r="A5" s="4" t="s">
        <v>35</v>
      </c>
      <c r="B5" s="9" t="n">
        <f aca="false">COUNTA('Fish catch'!B2:B500)</f>
        <v>1</v>
      </c>
    </row>
    <row r="6" customFormat="false" ht="15" hidden="false" customHeight="false" outlineLevel="0" collapsed="false">
      <c r="A6" s="4" t="s">
        <v>36</v>
      </c>
      <c r="B6" s="9" t="n">
        <f aca="false">COUNTIF('Fish catch'!D2:D500,"Settler")</f>
        <v>1</v>
      </c>
    </row>
    <row r="7" customFormat="false" ht="15" hidden="false" customHeight="false" outlineLevel="0" collapsed="false">
      <c r="A7" s="4" t="s">
        <v>37</v>
      </c>
      <c r="B7" s="9" t="n">
        <f aca="false">COUNTIF('Fish catch'!D2:D500,"Juvenile")</f>
        <v>0</v>
      </c>
    </row>
    <row r="8" customFormat="false" ht="15" hidden="false" customHeight="false" outlineLevel="0" collapsed="false">
      <c r="A8" s="4" t="s">
        <v>38</v>
      </c>
      <c r="B8" s="9" t="n">
        <f aca="false">COUNTIF('Fish catch'!D2:D500,"Adult")</f>
        <v>0</v>
      </c>
    </row>
    <row r="10" customFormat="false" ht="15" hidden="false" customHeight="false" outlineLevel="0" collapsed="false">
      <c r="A10" s="8" t="s">
        <v>39</v>
      </c>
    </row>
    <row r="11" customFormat="false" ht="15" hidden="false" customHeight="false" outlineLevel="0" collapsed="false">
      <c r="A11" s="5" t="s">
        <v>27</v>
      </c>
      <c r="B11" s="5" t="s">
        <v>40</v>
      </c>
      <c r="C11" s="5" t="s">
        <v>41</v>
      </c>
      <c r="D11" s="5" t="s">
        <v>42</v>
      </c>
    </row>
    <row r="12" customFormat="false" ht="15" hidden="false" customHeight="false" outlineLevel="0" collapsed="false">
      <c r="A12" s="10" t="s">
        <v>30</v>
      </c>
      <c r="B12" s="11" t="n">
        <f aca="false">COUNTIF('Fish catch'!$B$2:$B$500,A12)</f>
        <v>1</v>
      </c>
      <c r="C12" s="12" t="n">
        <f aca="false">IFERROR(B12/SUM($B$12:$B$23),0)</f>
        <v>1</v>
      </c>
      <c r="D12" s="12" t="n">
        <f aca="false">IFERROR(-C12*LN(C12),0)</f>
        <v>-0</v>
      </c>
    </row>
    <row r="13" customFormat="false" ht="15" hidden="false" customHeight="false" outlineLevel="0" collapsed="false">
      <c r="A13" s="10" t="s">
        <v>43</v>
      </c>
      <c r="B13" s="11" t="n">
        <f aca="false">COUNTIF('Fish catch'!$B$2:$B$500,A13)</f>
        <v>0</v>
      </c>
      <c r="C13" s="12" t="n">
        <f aca="false">IFERROR(B13/SUM($B$12:$B$23),0)</f>
        <v>0</v>
      </c>
      <c r="D13" s="12" t="n">
        <f aca="false">IFERROR(-C13*LN(C13),0)</f>
        <v>0</v>
      </c>
    </row>
    <row r="14" customFormat="false" ht="15" hidden="false" customHeight="false" outlineLevel="0" collapsed="false">
      <c r="A14" s="10" t="s">
        <v>44</v>
      </c>
      <c r="B14" s="11" t="n">
        <f aca="false">COUNTIF('Fish catch'!$B$2:$B$500,A14)</f>
        <v>0</v>
      </c>
      <c r="C14" s="12" t="n">
        <f aca="false">IFERROR(B14/SUM($B$12:$B$23),0)</f>
        <v>0</v>
      </c>
      <c r="D14" s="12" t="n">
        <f aca="false">IFERROR(-C14*LN(C14),0)</f>
        <v>0</v>
      </c>
    </row>
    <row r="15" customFormat="false" ht="15" hidden="false" customHeight="false" outlineLevel="0" collapsed="false">
      <c r="A15" s="10" t="s">
        <v>45</v>
      </c>
      <c r="B15" s="11" t="n">
        <f aca="false">COUNTIF('Fish catch'!$B$2:$B$500,A15)</f>
        <v>0</v>
      </c>
      <c r="C15" s="12" t="n">
        <f aca="false">IFERROR(B15/SUM($B$12:$B$23),0)</f>
        <v>0</v>
      </c>
      <c r="D15" s="12" t="n">
        <f aca="false">IFERROR(-C15*LN(C15),0)</f>
        <v>0</v>
      </c>
    </row>
    <row r="16" customFormat="false" ht="15" hidden="false" customHeight="false" outlineLevel="0" collapsed="false">
      <c r="A16" s="10" t="s">
        <v>46</v>
      </c>
      <c r="B16" s="11" t="n">
        <f aca="false">COUNTIF('Fish catch'!$B$2:$B$500,A16)</f>
        <v>0</v>
      </c>
      <c r="C16" s="12" t="n">
        <f aca="false">IFERROR(B16/SUM($B$12:$B$23),0)</f>
        <v>0</v>
      </c>
      <c r="D16" s="12" t="n">
        <f aca="false">IFERROR(-C16*LN(C16),0)</f>
        <v>0</v>
      </c>
    </row>
    <row r="17" customFormat="false" ht="15" hidden="false" customHeight="false" outlineLevel="0" collapsed="false">
      <c r="A17" s="10" t="s">
        <v>47</v>
      </c>
      <c r="B17" s="11" t="n">
        <f aca="false">COUNTIF('Fish catch'!$B$2:$B$500,A17)</f>
        <v>0</v>
      </c>
      <c r="C17" s="12" t="n">
        <f aca="false">IFERROR(B17/SUM($B$12:$B$23),0)</f>
        <v>0</v>
      </c>
      <c r="D17" s="12" t="n">
        <f aca="false">IFERROR(-C17*LN(C17),0)</f>
        <v>0</v>
      </c>
    </row>
    <row r="18" customFormat="false" ht="15" hidden="false" customHeight="false" outlineLevel="0" collapsed="false">
      <c r="A18" s="10" t="s">
        <v>48</v>
      </c>
      <c r="B18" s="11" t="n">
        <f aca="false">COUNTIF('Fish catch'!$B$2:$B$500,A18)</f>
        <v>0</v>
      </c>
      <c r="C18" s="12" t="n">
        <f aca="false">IFERROR(B18/SUM($B$12:$B$23),0)</f>
        <v>0</v>
      </c>
      <c r="D18" s="12" t="n">
        <f aca="false">IFERROR(-C18*LN(C18),0)</f>
        <v>0</v>
      </c>
    </row>
    <row r="19" customFormat="false" ht="15" hidden="false" customHeight="false" outlineLevel="0" collapsed="false">
      <c r="A19" s="10" t="s">
        <v>49</v>
      </c>
      <c r="B19" s="11" t="n">
        <f aca="false">COUNTIF('Fish catch'!$B$2:$B$500,A19)</f>
        <v>0</v>
      </c>
      <c r="C19" s="12" t="n">
        <f aca="false">IFERROR(B19/SUM($B$12:$B$23),0)</f>
        <v>0</v>
      </c>
      <c r="D19" s="12" t="n">
        <f aca="false">IFERROR(-C19*LN(C19),0)</f>
        <v>0</v>
      </c>
    </row>
    <row r="20" customFormat="false" ht="15" hidden="false" customHeight="false" outlineLevel="0" collapsed="false">
      <c r="A20" s="10"/>
      <c r="B20" s="11" t="n">
        <f aca="false">COUNTIF('Fish catch'!$B$2:$B$500,A20)</f>
        <v>0</v>
      </c>
      <c r="C20" s="12" t="n">
        <f aca="false">IFERROR(B20/SUM($B$12:$B$23),0)</f>
        <v>0</v>
      </c>
      <c r="D20" s="12" t="n">
        <f aca="false">IFERROR(-C20*LN(C20),0)</f>
        <v>0</v>
      </c>
    </row>
    <row r="21" customFormat="false" ht="15" hidden="false" customHeight="false" outlineLevel="0" collapsed="false">
      <c r="A21" s="10"/>
      <c r="B21" s="11" t="n">
        <f aca="false">COUNTIF('Fish catch'!$B$2:$B$500,A21)</f>
        <v>0</v>
      </c>
      <c r="C21" s="12" t="n">
        <f aca="false">IFERROR(B21/SUM($B$12:$B$23),0)</f>
        <v>0</v>
      </c>
      <c r="D21" s="12" t="n">
        <f aca="false">IFERROR(-C21*LN(C21),0)</f>
        <v>0</v>
      </c>
    </row>
    <row r="22" customFormat="false" ht="15" hidden="false" customHeight="false" outlineLevel="0" collapsed="false">
      <c r="A22" s="10"/>
      <c r="B22" s="11" t="n">
        <f aca="false">COUNTIF('Fish catch'!$B$2:$B$500,A22)</f>
        <v>0</v>
      </c>
      <c r="C22" s="12" t="n">
        <f aca="false">IFERROR(B22/SUM($B$12:$B$23),0)</f>
        <v>0</v>
      </c>
      <c r="D22" s="12" t="n">
        <f aca="false">IFERROR(-C22*LN(C22),0)</f>
        <v>0</v>
      </c>
    </row>
    <row r="23" customFormat="false" ht="15" hidden="false" customHeight="false" outlineLevel="0" collapsed="false">
      <c r="A23" s="10"/>
      <c r="B23" s="11" t="n">
        <f aca="false">COUNTIF('Fish catch'!$B$2:$B$500,A23)</f>
        <v>0</v>
      </c>
      <c r="C23" s="12" t="n">
        <f aca="false">IFERROR(B23/SUM($B$12:$B$23),0)</f>
        <v>0</v>
      </c>
      <c r="D23" s="12" t="n">
        <f aca="false">IFERROR(-C23*LN(C23),0)</f>
        <v>0</v>
      </c>
    </row>
    <row r="25" customFormat="false" ht="15" hidden="false" customHeight="false" outlineLevel="0" collapsed="false">
      <c r="A25" s="3" t="s">
        <v>50</v>
      </c>
      <c r="B25" s="3" t="n">
        <f aca="false">COUNTIF(B12:B23,"&gt;0")</f>
        <v>1</v>
      </c>
    </row>
    <row r="26" customFormat="false" ht="15" hidden="false" customHeight="false" outlineLevel="0" collapsed="false">
      <c r="A26" s="3" t="s">
        <v>51</v>
      </c>
      <c r="B26" s="13" t="n">
        <f aca="false">SUM(D12:D23)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2026-09-09T14:27:51Z</dcterms:created>
  <dc:creator>openpyxl</dc:creator>
  <dc:description/>
  <dc:language>en-US</dc:language>
  <cp:lastModifiedBy/>
  <dcterms:modified xsi:type="dcterms:W3CDTF">2026-09-09T14:27:51Z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