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nvironmental" sheetId="2" state="visible" r:id="rId4"/>
    <sheet name="Epibionts" sheetId="3" state="visible" r:id="rId5"/>
    <sheet name="BRUV" sheetId="4" state="visible" r:id="rId6"/>
    <sheet name="PAM" sheetId="5" state="visible" r:id="rId7"/>
    <sheet name="Stats direc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<sst xmlns="http://schemas.openxmlformats.org/spreadsheetml/2006/main" count="123" uniqueCount="90">
  <si>
    <t xml:space="preserve">AquaPIP Stats Workbook — Integrated Biodiversity Monitoring, Seaweed Farm (Protocol ID: berger_2024)</t>
  </si>
  <si>
    <t xml:space="preserve">What this is</t>
  </si>
  <si>
    <t xml:space="preserve">Data-entry + analysis companion to the multi-method 'Integrated Biodiversity Monitoring on a Seaweed Farm' protocol. One sheet per method — Environmental, Epibionts, BRUV, PAM — plus Stats directions. The method is gear-agnostic; use whatever cameras, detectors and loggers suit your site.</t>
  </si>
  <si>
    <t xml:space="preserve">How to use</t>
  </si>
  <si>
    <t xml:space="preserve">1.  Fill the sheet(s) for the methods you run. Yellow rows are worked EXAMPLES — overwrite them.</t>
  </si>
  <si>
    <t xml:space="preserve">2.  Epibionts — % cover by taxon; the summary returns mean cover per taxon.</t>
  </si>
  <si>
    <t xml:space="preserve">3.  BRUV — Nmax and length per species per deployment; the summary returns mean Nmax, species richness, and Shannon diversity (H').</t>
  </si>
  <si>
    <t xml:space="preserve">4.  PAM — DPM per day/hour and residency; the summary returns mean DPM per species.</t>
  </si>
  <si>
    <t xml:space="preserve">5.  Community composition (which taxa/species differ between sites or over time) is multivariate — see Stats directions (R).</t>
  </si>
  <si>
    <t xml:space="preserve">Legend</t>
  </si>
  <si>
    <t xml:space="preserve">■  Teal headers = labels.   ■  Yellow = example values to overwrite.   ■  Summaries and diversity are formulas — leave them alone.</t>
  </si>
  <si>
    <t xml:space="preserve">Stats fork for this protocol</t>
  </si>
  <si>
    <t xml:space="preserve">SIMPLE (this workbook): % cover, mean Nmax, richness, Shannon diversity, DPM aggregates.</t>
  </si>
  <si>
    <t xml:space="preserve">COMPLEX (R, see Stats directions): NMDS / PERMANOVA on community composition across sites and seasons.</t>
  </si>
  <si>
    <t xml:space="preserve">Source provenance &amp; residual gaps</t>
  </si>
  <si>
    <t xml:space="preserve">Generated by AquaPIP from Berger et al. (2024), bioRxiv 2024.02.15.580450 (preprint). Section lengths, subsample counts, BRUV soak/bait, detector type and logger intervals are site choices. BRUV/Nmax technique per Unsworth et al. (2014); acoustic analysis per the detector's own software. All three database indicators map cleanly — no indicator pruned. Example values are illustrative, not real readings.</t>
  </si>
  <si>
    <t xml:space="preserve">Date</t>
  </si>
  <si>
    <t xml:space="preserve">Site</t>
  </si>
  <si>
    <t xml:space="preserve">Temp (°C)</t>
  </si>
  <si>
    <t xml:space="preserve">Irradiance (lux)</t>
  </si>
  <si>
    <t xml:space="preserve">Current (m/s)</t>
  </si>
  <si>
    <t xml:space="preserve">pH</t>
  </si>
  <si>
    <t xml:space="preserve">Salinity (psu)</t>
  </si>
  <si>
    <t xml:space="preserve">Nutrients / notes</t>
  </si>
  <si>
    <t xml:space="preserve">Line / section</t>
  </si>
  <si>
    <t xml:space="preserve">Taxon</t>
  </si>
  <si>
    <t xml:space="preserve">% cover on line</t>
  </si>
  <si>
    <t xml:space="preserve">% cover on crop</t>
  </si>
  <si>
    <t xml:space="preserve">2022-08-01</t>
  </si>
  <si>
    <t xml:space="preserve">PL</t>
  </si>
  <si>
    <t xml:space="preserve">header L1</t>
  </si>
  <si>
    <t xml:space="preserve">Oarweed (Laminaria digitata)</t>
  </si>
  <si>
    <t xml:space="preserve">Red algae</t>
  </si>
  <si>
    <t xml:space="preserve">cultivation</t>
  </si>
  <si>
    <t xml:space="preserve">Bryozoan (Membranipora)</t>
  </si>
  <si>
    <t xml:space="preserve">Summary — mean % cover by taxon</t>
  </si>
  <si>
    <t xml:space="preserve">Mean % cover on line</t>
  </si>
  <si>
    <t xml:space="preserve">Mean % cover on crop</t>
  </si>
  <si>
    <t xml:space="preserve">Edit taxon labels to match column D.</t>
  </si>
  <si>
    <t xml:space="preserve">Deploy date</t>
  </si>
  <si>
    <t xml:space="preserve">Deployment ID</t>
  </si>
  <si>
    <t xml:space="preserve">Species</t>
  </si>
  <si>
    <t xml:space="preserve">Nmax</t>
  </si>
  <si>
    <t xml:space="preserve">Length (mm)</t>
  </si>
  <si>
    <t xml:space="preserve">2022-04-01</t>
  </si>
  <si>
    <t xml:space="preserve">PL-01</t>
  </si>
  <si>
    <t xml:space="preserve">Whiting-pout (T. luscus)</t>
  </si>
  <si>
    <t xml:space="preserve">Greater spotted dogfish (S. stellaris)</t>
  </si>
  <si>
    <t xml:space="preserve">CW</t>
  </si>
  <si>
    <t xml:space="preserve">CW-01</t>
  </si>
  <si>
    <t xml:space="preserve">Pollack (P. pollachius)</t>
  </si>
  <si>
    <t xml:space="preserve">Summary — per species</t>
  </si>
  <si>
    <t xml:space="preserve">Total Nmax</t>
  </si>
  <si>
    <t xml:space="preserve">Mean Nmax / deploy</t>
  </si>
  <si>
    <t xml:space="preserve">Proportion</t>
  </si>
  <si>
    <t xml:space="preserve">p·ln(p)</t>
  </si>
  <si>
    <t xml:space="preserve">Species richness (S)</t>
  </si>
  <si>
    <t xml:space="preserve">Shannon diversity (H')</t>
  </si>
  <si>
    <t xml:space="preserve">Richness = # species with Total Nmax &gt; 0.  H' = -Σ p·ln(p).  Edit species labels to match column D.</t>
  </si>
  <si>
    <t xml:space="preserve">DPM / day</t>
  </si>
  <si>
    <t xml:space="preserve">DPM / hour</t>
  </si>
  <si>
    <t xml:space="preserve">Residency (min)</t>
  </si>
  <si>
    <t xml:space="preserve">2022-11-15</t>
  </si>
  <si>
    <t xml:space="preserve">SJ</t>
  </si>
  <si>
    <t xml:space="preserve">Harbour porpoise</t>
  </si>
  <si>
    <t xml:space="preserve">Bottlenose dolphin</t>
  </si>
  <si>
    <t xml:space="preserve">Summary — mean per species</t>
  </si>
  <si>
    <t xml:space="preserve">Mean DPM/day</t>
  </si>
  <si>
    <t xml:space="preserve">Mean DPM/hour</t>
  </si>
  <si>
    <t xml:space="preserve">Mean residency (min)</t>
  </si>
  <si>
    <t xml:space="preserve">Community composition — NMDS / PERMANOVA (do this in R)</t>
  </si>
  <si>
    <t xml:space="preserve">Why</t>
  </si>
  <si>
    <t xml:space="preserve">Mean cover, mean Nmax, richness and Shannon (this workbook) summarise 'how much' and 'how many'. To ask whether the whole assemblage differs between sites or seasons — 'which taxa/species characterise each' — is multivariate and belongs in R.</t>
  </si>
  <si>
    <t xml:space="preserve">Steps</t>
  </si>
  <si>
    <t xml:space="preserve">1.  Build a site/sample × taxon matrix of abundances (from Epibionts % cover, or BRUV Nmax).</t>
  </si>
  <si>
    <t xml:space="preserve">2.  Ordinate with NMDS on a Bray–Curtis dissimilarity to visualise assemblage differences.</t>
  </si>
  <si>
    <t xml:space="preserve">3.  Test grouping (site / season) with PERMANOVA (adonis2); use SIMPER to find the taxa driving differences.</t>
  </si>
  <si>
    <t xml:space="preserve">R recipe</t>
  </si>
  <si>
    <t xml:space="preserve">library(tidyverse); library(vegan)</t>
  </si>
  <si>
    <t xml:space="preserve">d &lt;- read_csv("bruv.csv")   # or epibionts.csv</t>
  </si>
  <si>
    <t xml:space="preserve">m &lt;- d %&gt;% group_by(Deployment_ID, Species) %&gt;%</t>
  </si>
  <si>
    <t xml:space="preserve">     summarise(n = sum(Nmax), .groups='drop') %&gt;%</t>
  </si>
  <si>
    <t xml:space="preserve">     pivot_wider(names_from=Species, values_from=n, values_fill=0) %&gt;%</t>
  </si>
  <si>
    <t xml:space="preserve">     column_to_rownames('Deployment_ID')</t>
  </si>
  <si>
    <t xml:space="preserve">meta &lt;- distinct(d, Deployment_ID, Site)</t>
  </si>
  <si>
    <t xml:space="preserve">ord  &lt;- metaMDS(m, distance='bray')</t>
  </si>
  <si>
    <t xml:space="preserve">plot(ord, type='t')</t>
  </si>
  <si>
    <t xml:space="preserve">adonis2(m ~ Site, data=meta, method='bray')</t>
  </si>
  <si>
    <t xml:space="preserve">simper(m, group=meta$Site)</t>
  </si>
  <si>
    <t xml:space="preserve">Column names are illustrative — adjust to your export.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</si>
</sst>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4F5C"/>
      <name val="Arial"/>
      <family val="0"/>
      <charset val="1"/>
    </font>
    <font>
      <sz val="10"/>
      <color rgb="FF1A2B2F"/>
      <name val="Arial"/>
      <family val="0"/>
      <charset val="1"/>
    </font>
    <font>
      <b val="true"/>
      <sz val="10"/>
      <color rgb="FF1A2B2F"/>
      <name val="Arial"/>
      <family val="0"/>
      <charset val="1"/>
    </font>
    <font>
      <i val="true"/>
      <sz val="9"/>
      <color rgb="FF5B6B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2B2F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4F5C"/>
        <bgColor rgb="FF1A2B2F"/>
      </patternFill>
    </fill>
    <fill>
      <patternFill patternType="solid">
        <fgColor rgb="FFFFF3C4"/>
        <bgColor rgb="FFFFFF99"/>
      </patternFill>
    </fill>
    <fill>
      <patternFill patternType="solid">
        <fgColor rgb="FFEEF3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2D5"/>
      </left>
      <right style="thin">
        <color rgb="FFC7D2D5"/>
      </right>
      <top style="thin">
        <color rgb="FFC7D2D5"/>
      </top>
      <bottom style="thin">
        <color rgb="FFC7D2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EEF3F4"/>
      <rgbColor rgb="FF660066"/>
      <rgbColor rgb="FFFF8080"/>
      <rgbColor rgb="FF0066CC"/>
      <rgbColor rgb="FFC7D2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0"/>
      <rgbColor rgb="FF969696"/>
      <rgbColor rgb="FF0B4F5C"/>
      <rgbColor rgb="FF339966"/>
      <rgbColor rgb="FF003300"/>
      <rgbColor rgb="FF333300"/>
      <rgbColor rgb="FF993300"/>
      <rgbColor rgb="FF993366"/>
      <rgbColor rgb="FF333399"/>
      <rgbColor rgb="FF1A2B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8"/>
  </cols>
  <sheetData>
    <row r="1" customFormat="false" ht="32.8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4" t="s">
        <v>1</v>
      </c>
    </row>
    <row r="4" customFormat="false" ht="35.0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23.8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5" t="s">
        <v>14</v>
      </c>
    </row>
    <row r="21" customFormat="false" ht="32.8" hidden="false" customHeight="false" outlineLevel="0" collapsed="false">
      <c r="A21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5"/>
    <col collapsed="false" customWidth="true" hidden="false" outlineLevel="0" max="5" min="5" style="1" width="13"/>
    <col collapsed="false" customWidth="true" hidden="false" outlineLevel="0" max="6" min="6" style="1" width="9"/>
    <col collapsed="false" customWidth="true" hidden="false" outlineLevel="0" max="7" min="7" style="1" width="13"/>
    <col collapsed="false" customWidth="true" hidden="false" outlineLevel="0" max="8" min="8" style="1" width="22"/>
  </cols>
  <sheetData>
    <row r="1" customFormat="false" ht="27.75" hidden="false" customHeight="tru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22"/>
    <col collapsed="false" customWidth="true" hidden="false" outlineLevel="0" max="6" min="5" style="1" width="15"/>
  </cols>
  <sheetData>
    <row r="1" customFormat="false" ht="27.75" hidden="false" customHeight="true" outlineLevel="0" collapsed="false">
      <c r="A1" s="6" t="s">
        <v>16</v>
      </c>
      <c r="B1" s="6" t="s">
        <v>17</v>
      </c>
      <c r="C1" s="6" t="s">
        <v>24</v>
      </c>
      <c r="D1" s="6" t="s">
        <v>25</v>
      </c>
      <c r="E1" s="6" t="s">
        <v>26</v>
      </c>
      <c r="F1" s="6" t="s">
        <v>27</v>
      </c>
    </row>
    <row r="2" customFormat="false" ht="15" hidden="false" customHeight="false" outlineLevel="0" collapsed="false">
      <c r="A2" s="8" t="s">
        <v>28</v>
      </c>
      <c r="B2" s="8" t="s">
        <v>29</v>
      </c>
      <c r="C2" s="8" t="s">
        <v>30</v>
      </c>
      <c r="D2" s="8" t="s">
        <v>31</v>
      </c>
      <c r="E2" s="9" t="n">
        <v>35</v>
      </c>
      <c r="F2" s="9" t="n">
        <v>0</v>
      </c>
    </row>
    <row r="3" customFormat="false" ht="15" hidden="false" customHeight="false" outlineLevel="0" collapsed="false">
      <c r="A3" s="8" t="s">
        <v>28</v>
      </c>
      <c r="B3" s="8" t="s">
        <v>29</v>
      </c>
      <c r="C3" s="8" t="s">
        <v>30</v>
      </c>
      <c r="D3" s="8" t="s">
        <v>32</v>
      </c>
      <c r="E3" s="9" t="n">
        <v>40</v>
      </c>
      <c r="F3" s="9" t="n">
        <v>0</v>
      </c>
    </row>
    <row r="4" customFormat="false" ht="15" hidden="false" customHeight="false" outlineLevel="0" collapsed="false">
      <c r="A4" s="8" t="s">
        <v>28</v>
      </c>
      <c r="B4" s="8" t="s">
        <v>29</v>
      </c>
      <c r="C4" s="8" t="s">
        <v>33</v>
      </c>
      <c r="D4" s="8" t="s">
        <v>34</v>
      </c>
      <c r="E4" s="9" t="n">
        <v>0</v>
      </c>
      <c r="F4" s="9" t="n">
        <v>13</v>
      </c>
    </row>
    <row r="5" customFormat="false" ht="15" hidden="false" customHeight="false" outlineLevel="0" collapsed="false">
      <c r="A5" s="7"/>
      <c r="B5" s="7"/>
      <c r="C5" s="7"/>
      <c r="D5" s="7"/>
      <c r="E5" s="10"/>
      <c r="F5" s="10"/>
    </row>
    <row r="6" customFormat="false" ht="15" hidden="false" customHeight="false" outlineLevel="0" collapsed="false">
      <c r="A6" s="7"/>
      <c r="B6" s="7"/>
      <c r="C6" s="7"/>
      <c r="D6" s="7"/>
      <c r="E6" s="10"/>
      <c r="F6" s="10"/>
    </row>
    <row r="7" customFormat="false" ht="15" hidden="false" customHeight="false" outlineLevel="0" collapsed="false">
      <c r="A7" s="7"/>
      <c r="B7" s="7"/>
      <c r="C7" s="7"/>
      <c r="D7" s="7"/>
      <c r="E7" s="10"/>
      <c r="F7" s="10"/>
    </row>
    <row r="8" customFormat="false" ht="15" hidden="false" customHeight="false" outlineLevel="0" collapsed="false">
      <c r="A8" s="7"/>
      <c r="B8" s="7"/>
      <c r="C8" s="7"/>
      <c r="D8" s="7"/>
      <c r="E8" s="10"/>
      <c r="F8" s="10"/>
    </row>
    <row r="9" customFormat="false" ht="15" hidden="false" customHeight="false" outlineLevel="0" collapsed="false">
      <c r="A9" s="7"/>
      <c r="B9" s="7"/>
      <c r="C9" s="7"/>
      <c r="D9" s="7"/>
      <c r="E9" s="10"/>
      <c r="F9" s="10"/>
    </row>
    <row r="10" customFormat="false" ht="15" hidden="false" customHeight="false" outlineLevel="0" collapsed="false">
      <c r="A10" s="7"/>
      <c r="B10" s="7"/>
      <c r="C10" s="7"/>
      <c r="D10" s="7"/>
      <c r="E10" s="10"/>
      <c r="F10" s="10"/>
    </row>
    <row r="11" customFormat="false" ht="15" hidden="false" customHeight="false" outlineLevel="0" collapsed="false">
      <c r="A11" s="7"/>
      <c r="B11" s="7"/>
      <c r="C11" s="7"/>
      <c r="D11" s="7"/>
      <c r="E11" s="10"/>
      <c r="F11" s="10"/>
    </row>
    <row r="12" customFormat="false" ht="15" hidden="false" customHeight="false" outlineLevel="0" collapsed="false">
      <c r="A12" s="7"/>
      <c r="B12" s="7"/>
      <c r="C12" s="7"/>
      <c r="D12" s="7"/>
      <c r="E12" s="10"/>
      <c r="F12" s="10"/>
    </row>
    <row r="13" customFormat="false" ht="15" hidden="false" customHeight="false" outlineLevel="0" collapsed="false">
      <c r="A13" s="7"/>
      <c r="B13" s="7"/>
      <c r="C13" s="7"/>
      <c r="D13" s="7"/>
      <c r="E13" s="10"/>
      <c r="F13" s="10"/>
    </row>
    <row r="14" customFormat="false" ht="15" hidden="false" customHeight="false" outlineLevel="0" collapsed="false">
      <c r="A14" s="7"/>
      <c r="B14" s="7"/>
      <c r="C14" s="7"/>
      <c r="D14" s="7"/>
      <c r="E14" s="10"/>
      <c r="F14" s="10"/>
    </row>
    <row r="15" customFormat="false" ht="15" hidden="false" customHeight="false" outlineLevel="0" collapsed="false">
      <c r="A15" s="7"/>
      <c r="B15" s="7"/>
      <c r="C15" s="7"/>
      <c r="D15" s="7"/>
      <c r="E15" s="10"/>
      <c r="F15" s="10"/>
    </row>
    <row r="16" customFormat="false" ht="15" hidden="false" customHeight="false" outlineLevel="0" collapsed="false">
      <c r="A16" s="7"/>
      <c r="B16" s="7"/>
      <c r="C16" s="7"/>
      <c r="D16" s="7"/>
      <c r="E16" s="10"/>
      <c r="F16" s="10"/>
    </row>
    <row r="17" customFormat="false" ht="15" hidden="false" customHeight="false" outlineLevel="0" collapsed="false">
      <c r="A17" s="7"/>
      <c r="B17" s="7"/>
      <c r="C17" s="7"/>
      <c r="D17" s="7"/>
      <c r="E17" s="10"/>
      <c r="F17" s="10"/>
    </row>
    <row r="18" customFormat="false" ht="15" hidden="false" customHeight="false" outlineLevel="0" collapsed="false">
      <c r="A18" s="7"/>
      <c r="B18" s="7"/>
      <c r="C18" s="7"/>
      <c r="D18" s="7"/>
      <c r="E18" s="10"/>
      <c r="F18" s="10"/>
    </row>
    <row r="19" customFormat="false" ht="15" hidden="false" customHeight="false" outlineLevel="0" collapsed="false">
      <c r="A19" s="7"/>
      <c r="B19" s="7"/>
      <c r="C19" s="7"/>
      <c r="D19" s="7"/>
      <c r="E19" s="10"/>
      <c r="F19" s="10"/>
    </row>
    <row r="20" customFormat="false" ht="15" hidden="false" customHeight="false" outlineLevel="0" collapsed="false">
      <c r="A20" s="7"/>
      <c r="B20" s="7"/>
      <c r="C20" s="7"/>
      <c r="D20" s="7"/>
      <c r="E20" s="10"/>
      <c r="F20" s="10"/>
    </row>
    <row r="21" customFormat="false" ht="15" hidden="false" customHeight="false" outlineLevel="0" collapsed="false">
      <c r="A21" s="7"/>
      <c r="B21" s="7"/>
      <c r="C21" s="7"/>
      <c r="D21" s="7"/>
      <c r="E21" s="10"/>
      <c r="F21" s="10"/>
    </row>
    <row r="22" customFormat="false" ht="15" hidden="false" customHeight="false" outlineLevel="0" collapsed="false">
      <c r="A22" s="7"/>
      <c r="B22" s="7"/>
      <c r="C22" s="7"/>
      <c r="D22" s="7"/>
      <c r="E22" s="10"/>
      <c r="F22" s="10"/>
    </row>
    <row r="23" customFormat="false" ht="15" hidden="false" customHeight="false" outlineLevel="0" collapsed="false">
      <c r="A23" s="7"/>
      <c r="B23" s="7"/>
      <c r="C23" s="7"/>
      <c r="D23" s="7"/>
      <c r="E23" s="10"/>
      <c r="F23" s="10"/>
    </row>
    <row r="24" customFormat="false" ht="15" hidden="false" customHeight="false" outlineLevel="0" collapsed="false">
      <c r="A24" s="7"/>
      <c r="B24" s="7"/>
      <c r="C24" s="7"/>
      <c r="D24" s="7"/>
      <c r="E24" s="10"/>
      <c r="F24" s="10"/>
    </row>
    <row r="25" customFormat="false" ht="15" hidden="false" customHeight="false" outlineLevel="0" collapsed="false">
      <c r="A25" s="7"/>
      <c r="B25" s="7"/>
      <c r="C25" s="7"/>
      <c r="D25" s="7"/>
      <c r="E25" s="10"/>
      <c r="F25" s="10"/>
    </row>
    <row r="26" customFormat="false" ht="15" hidden="false" customHeight="false" outlineLevel="0" collapsed="false">
      <c r="A26" s="7"/>
      <c r="B26" s="7"/>
      <c r="C26" s="7"/>
      <c r="D26" s="7"/>
      <c r="E26" s="10"/>
      <c r="F26" s="10"/>
    </row>
    <row r="27" customFormat="false" ht="15" hidden="false" customHeight="false" outlineLevel="0" collapsed="false">
      <c r="A27" s="7"/>
      <c r="B27" s="7"/>
      <c r="C27" s="7"/>
      <c r="D27" s="7"/>
      <c r="E27" s="10"/>
      <c r="F27" s="10"/>
    </row>
    <row r="28" customFormat="false" ht="15" hidden="false" customHeight="false" outlineLevel="0" collapsed="false">
      <c r="A28" s="7"/>
      <c r="B28" s="7"/>
      <c r="C28" s="7"/>
      <c r="D28" s="7"/>
      <c r="E28" s="10"/>
      <c r="F28" s="10"/>
    </row>
    <row r="29" customFormat="false" ht="15" hidden="false" customHeight="false" outlineLevel="0" collapsed="false">
      <c r="A29" s="7"/>
      <c r="B29" s="7"/>
      <c r="C29" s="7"/>
      <c r="D29" s="7"/>
      <c r="E29" s="10"/>
      <c r="F29" s="10"/>
    </row>
    <row r="30" customFormat="false" ht="15" hidden="false" customHeight="false" outlineLevel="0" collapsed="false">
      <c r="A30" s="7"/>
      <c r="B30" s="7"/>
      <c r="C30" s="7"/>
      <c r="D30" s="7"/>
      <c r="E30" s="10"/>
      <c r="F30" s="10"/>
    </row>
    <row r="31" customFormat="false" ht="15" hidden="false" customHeight="false" outlineLevel="0" collapsed="false">
      <c r="A31" s="7"/>
      <c r="B31" s="7"/>
      <c r="C31" s="7"/>
      <c r="D31" s="7"/>
      <c r="E31" s="10"/>
      <c r="F31" s="10"/>
    </row>
    <row r="32" customFormat="false" ht="15" hidden="false" customHeight="false" outlineLevel="0" collapsed="false">
      <c r="A32" s="7"/>
      <c r="B32" s="7"/>
      <c r="C32" s="7"/>
      <c r="D32" s="7"/>
      <c r="E32" s="10"/>
      <c r="F32" s="10"/>
    </row>
    <row r="33" customFormat="false" ht="15" hidden="false" customHeight="false" outlineLevel="0" collapsed="false">
      <c r="A33" s="7"/>
      <c r="B33" s="7"/>
      <c r="C33" s="7"/>
      <c r="D33" s="7"/>
      <c r="E33" s="10"/>
      <c r="F33" s="10"/>
    </row>
    <row r="34" customFormat="false" ht="15" hidden="false" customHeight="false" outlineLevel="0" collapsed="false">
      <c r="A34" s="7"/>
      <c r="B34" s="7"/>
      <c r="C34" s="7"/>
      <c r="D34" s="7"/>
      <c r="E34" s="10"/>
      <c r="F34" s="10"/>
    </row>
    <row r="35" customFormat="false" ht="15" hidden="false" customHeight="false" outlineLevel="0" collapsed="false">
      <c r="A35" s="7"/>
      <c r="B35" s="7"/>
      <c r="C35" s="7"/>
      <c r="D35" s="7"/>
      <c r="E35" s="10"/>
      <c r="F35" s="10"/>
    </row>
    <row r="36" customFormat="false" ht="15" hidden="false" customHeight="false" outlineLevel="0" collapsed="false">
      <c r="A36" s="7"/>
      <c r="B36" s="7"/>
      <c r="C36" s="7"/>
      <c r="D36" s="7"/>
      <c r="E36" s="10"/>
      <c r="F36" s="10"/>
    </row>
    <row r="37" customFormat="false" ht="15" hidden="false" customHeight="false" outlineLevel="0" collapsed="false">
      <c r="A37" s="7"/>
      <c r="B37" s="7"/>
      <c r="C37" s="7"/>
      <c r="D37" s="7"/>
      <c r="E37" s="10"/>
      <c r="F37" s="10"/>
    </row>
    <row r="38" customFormat="false" ht="15" hidden="false" customHeight="false" outlineLevel="0" collapsed="false">
      <c r="A38" s="7"/>
      <c r="B38" s="7"/>
      <c r="C38" s="7"/>
      <c r="D38" s="7"/>
      <c r="E38" s="10"/>
      <c r="F38" s="10"/>
    </row>
    <row r="39" customFormat="false" ht="15" hidden="false" customHeight="false" outlineLevel="0" collapsed="false">
      <c r="A39" s="7"/>
      <c r="B39" s="7"/>
      <c r="C39" s="7"/>
      <c r="D39" s="7"/>
      <c r="E39" s="10"/>
      <c r="F39" s="10"/>
    </row>
    <row r="40" customFormat="false" ht="15" hidden="false" customHeight="false" outlineLevel="0" collapsed="false">
      <c r="A40" s="7"/>
      <c r="B40" s="7"/>
      <c r="C40" s="7"/>
      <c r="D40" s="7"/>
      <c r="E40" s="10"/>
      <c r="F40" s="10"/>
    </row>
    <row r="43" customFormat="false" ht="17.35" hidden="false" customHeight="false" outlineLevel="0" collapsed="false">
      <c r="A43" s="11" t="s">
        <v>35</v>
      </c>
    </row>
    <row r="44" customFormat="false" ht="27.75" hidden="false" customHeight="true" outlineLevel="0" collapsed="false">
      <c r="A44" s="6" t="s">
        <v>25</v>
      </c>
      <c r="B44" s="6" t="s">
        <v>36</v>
      </c>
      <c r="C44" s="6" t="s">
        <v>37</v>
      </c>
    </row>
    <row r="45" customFormat="false" ht="15" hidden="false" customHeight="false" outlineLevel="0" collapsed="false">
      <c r="A45" s="8" t="s">
        <v>31</v>
      </c>
      <c r="B45" s="12" t="n">
        <f aca="false">IFERROR(AVERAGEIFS($E$2:$E$40,$D$2:$D$40,$A45),"")</f>
        <v>35</v>
      </c>
      <c r="C45" s="12" t="n">
        <f aca="false">IFERROR(AVERAGEIFS($F$2:$F$40,$D$2:$D$40,$A45),"")</f>
        <v>0</v>
      </c>
    </row>
    <row r="46" customFormat="false" ht="15" hidden="false" customHeight="false" outlineLevel="0" collapsed="false">
      <c r="A46" s="8" t="s">
        <v>32</v>
      </c>
      <c r="B46" s="12" t="n">
        <f aca="false">IFERROR(AVERAGEIFS($E$2:$E$40,$D$2:$D$40,$A46),"")</f>
        <v>40</v>
      </c>
      <c r="C46" s="12" t="n">
        <f aca="false">IFERROR(AVERAGEIFS($F$2:$F$40,$D$2:$D$40,$A46),"")</f>
        <v>0</v>
      </c>
    </row>
    <row r="47" customFormat="false" ht="15" hidden="false" customHeight="false" outlineLevel="0" collapsed="false">
      <c r="A47" s="8" t="s">
        <v>34</v>
      </c>
      <c r="B47" s="12" t="n">
        <f aca="false">IFERROR(AVERAGEIFS($E$2:$E$40,$D$2:$D$40,$A47),"")</f>
        <v>0</v>
      </c>
      <c r="C47" s="12" t="n">
        <f aca="false">IFERROR(AVERAGEIFS($F$2:$F$40,$D$2:$D$40,$A47),"")</f>
        <v>13</v>
      </c>
    </row>
    <row r="49" customFormat="false" ht="15" hidden="false" customHeight="false" outlineLevel="0" collapsed="false">
      <c r="A49" s="1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6" min="6" style="1" width="13"/>
  </cols>
  <sheetData>
    <row r="1" customFormat="false" ht="27.75" hidden="false" customHeight="true" outlineLevel="0" collapsed="false">
      <c r="A1" s="6" t="s">
        <v>39</v>
      </c>
      <c r="B1" s="6" t="s">
        <v>17</v>
      </c>
      <c r="C1" s="6" t="s">
        <v>40</v>
      </c>
      <c r="D1" s="6" t="s">
        <v>41</v>
      </c>
      <c r="E1" s="6" t="s">
        <v>42</v>
      </c>
      <c r="F1" s="6" t="s">
        <v>43</v>
      </c>
    </row>
    <row r="2" customFormat="false" ht="15" hidden="false" customHeight="false" outlineLevel="0" collapsed="false">
      <c r="A2" s="8" t="s">
        <v>44</v>
      </c>
      <c r="B2" s="8" t="s">
        <v>29</v>
      </c>
      <c r="C2" s="8" t="s">
        <v>45</v>
      </c>
      <c r="D2" s="8" t="s">
        <v>46</v>
      </c>
      <c r="E2" s="9" t="n">
        <v>3</v>
      </c>
      <c r="F2" s="9" t="n">
        <v>180</v>
      </c>
    </row>
    <row r="3" customFormat="false" ht="15" hidden="false" customHeight="false" outlineLevel="0" collapsed="false">
      <c r="A3" s="8" t="s">
        <v>44</v>
      </c>
      <c r="B3" s="8" t="s">
        <v>29</v>
      </c>
      <c r="C3" s="8" t="s">
        <v>45</v>
      </c>
      <c r="D3" s="8" t="s">
        <v>47</v>
      </c>
      <c r="E3" s="9" t="n">
        <v>2</v>
      </c>
      <c r="F3" s="9" t="n">
        <v>600</v>
      </c>
    </row>
    <row r="4" customFormat="false" ht="15" hidden="false" customHeight="false" outlineLevel="0" collapsed="false">
      <c r="A4" s="8" t="s">
        <v>44</v>
      </c>
      <c r="B4" s="8" t="s">
        <v>48</v>
      </c>
      <c r="C4" s="8" t="s">
        <v>49</v>
      </c>
      <c r="D4" s="8" t="s">
        <v>50</v>
      </c>
      <c r="E4" s="9" t="n">
        <v>2</v>
      </c>
      <c r="F4" s="9" t="n">
        <v>300</v>
      </c>
    </row>
    <row r="5" customFormat="false" ht="15" hidden="false" customHeight="false" outlineLevel="0" collapsed="false">
      <c r="A5" s="8" t="s">
        <v>44</v>
      </c>
      <c r="B5" s="8" t="s">
        <v>48</v>
      </c>
      <c r="C5" s="8" t="s">
        <v>49</v>
      </c>
      <c r="D5" s="8" t="s">
        <v>46</v>
      </c>
      <c r="E5" s="9" t="n">
        <v>4</v>
      </c>
      <c r="F5" s="9" t="n">
        <v>170</v>
      </c>
    </row>
    <row r="6" customFormat="false" ht="15" hidden="false" customHeight="false" outlineLevel="0" collapsed="false">
      <c r="A6" s="7"/>
      <c r="B6" s="7"/>
      <c r="C6" s="7"/>
      <c r="D6" s="7"/>
      <c r="E6" s="10"/>
      <c r="F6" s="10"/>
    </row>
    <row r="7" customFormat="false" ht="15" hidden="false" customHeight="false" outlineLevel="0" collapsed="false">
      <c r="A7" s="7"/>
      <c r="B7" s="7"/>
      <c r="C7" s="7"/>
      <c r="D7" s="7"/>
      <c r="E7" s="10"/>
      <c r="F7" s="10"/>
    </row>
    <row r="8" customFormat="false" ht="15" hidden="false" customHeight="false" outlineLevel="0" collapsed="false">
      <c r="A8" s="7"/>
      <c r="B8" s="7"/>
      <c r="C8" s="7"/>
      <c r="D8" s="7"/>
      <c r="E8" s="10"/>
      <c r="F8" s="10"/>
    </row>
    <row r="9" customFormat="false" ht="15" hidden="false" customHeight="false" outlineLevel="0" collapsed="false">
      <c r="A9" s="7"/>
      <c r="B9" s="7"/>
      <c r="C9" s="7"/>
      <c r="D9" s="7"/>
      <c r="E9" s="10"/>
      <c r="F9" s="10"/>
    </row>
    <row r="10" customFormat="false" ht="15" hidden="false" customHeight="false" outlineLevel="0" collapsed="false">
      <c r="A10" s="7"/>
      <c r="B10" s="7"/>
      <c r="C10" s="7"/>
      <c r="D10" s="7"/>
      <c r="E10" s="10"/>
      <c r="F10" s="10"/>
    </row>
    <row r="11" customFormat="false" ht="15" hidden="false" customHeight="false" outlineLevel="0" collapsed="false">
      <c r="A11" s="7"/>
      <c r="B11" s="7"/>
      <c r="C11" s="7"/>
      <c r="D11" s="7"/>
      <c r="E11" s="10"/>
      <c r="F11" s="10"/>
    </row>
    <row r="12" customFormat="false" ht="15" hidden="false" customHeight="false" outlineLevel="0" collapsed="false">
      <c r="A12" s="7"/>
      <c r="B12" s="7"/>
      <c r="C12" s="7"/>
      <c r="D12" s="7"/>
      <c r="E12" s="10"/>
      <c r="F12" s="10"/>
    </row>
    <row r="13" customFormat="false" ht="15" hidden="false" customHeight="false" outlineLevel="0" collapsed="false">
      <c r="A13" s="7"/>
      <c r="B13" s="7"/>
      <c r="C13" s="7"/>
      <c r="D13" s="7"/>
      <c r="E13" s="10"/>
      <c r="F13" s="10"/>
    </row>
    <row r="14" customFormat="false" ht="15" hidden="false" customHeight="false" outlineLevel="0" collapsed="false">
      <c r="A14" s="7"/>
      <c r="B14" s="7"/>
      <c r="C14" s="7"/>
      <c r="D14" s="7"/>
      <c r="E14" s="10"/>
      <c r="F14" s="10"/>
    </row>
    <row r="15" customFormat="false" ht="15" hidden="false" customHeight="false" outlineLevel="0" collapsed="false">
      <c r="A15" s="7"/>
      <c r="B15" s="7"/>
      <c r="C15" s="7"/>
      <c r="D15" s="7"/>
      <c r="E15" s="10"/>
      <c r="F15" s="10"/>
    </row>
    <row r="16" customFormat="false" ht="15" hidden="false" customHeight="false" outlineLevel="0" collapsed="false">
      <c r="A16" s="7"/>
      <c r="B16" s="7"/>
      <c r="C16" s="7"/>
      <c r="D16" s="7"/>
      <c r="E16" s="10"/>
      <c r="F16" s="10"/>
    </row>
    <row r="17" customFormat="false" ht="15" hidden="false" customHeight="false" outlineLevel="0" collapsed="false">
      <c r="A17" s="7"/>
      <c r="B17" s="7"/>
      <c r="C17" s="7"/>
      <c r="D17" s="7"/>
      <c r="E17" s="10"/>
      <c r="F17" s="10"/>
    </row>
    <row r="18" customFormat="false" ht="15" hidden="false" customHeight="false" outlineLevel="0" collapsed="false">
      <c r="A18" s="7"/>
      <c r="B18" s="7"/>
      <c r="C18" s="7"/>
      <c r="D18" s="7"/>
      <c r="E18" s="10"/>
      <c r="F18" s="10"/>
    </row>
    <row r="19" customFormat="false" ht="15" hidden="false" customHeight="false" outlineLevel="0" collapsed="false">
      <c r="A19" s="7"/>
      <c r="B19" s="7"/>
      <c r="C19" s="7"/>
      <c r="D19" s="7"/>
      <c r="E19" s="10"/>
      <c r="F19" s="10"/>
    </row>
    <row r="20" customFormat="false" ht="15" hidden="false" customHeight="false" outlineLevel="0" collapsed="false">
      <c r="A20" s="7"/>
      <c r="B20" s="7"/>
      <c r="C20" s="7"/>
      <c r="D20" s="7"/>
      <c r="E20" s="10"/>
      <c r="F20" s="10"/>
    </row>
    <row r="21" customFormat="false" ht="15" hidden="false" customHeight="false" outlineLevel="0" collapsed="false">
      <c r="A21" s="7"/>
      <c r="B21" s="7"/>
      <c r="C21" s="7"/>
      <c r="D21" s="7"/>
      <c r="E21" s="10"/>
      <c r="F21" s="10"/>
    </row>
    <row r="22" customFormat="false" ht="15" hidden="false" customHeight="false" outlineLevel="0" collapsed="false">
      <c r="A22" s="7"/>
      <c r="B22" s="7"/>
      <c r="C22" s="7"/>
      <c r="D22" s="7"/>
      <c r="E22" s="10"/>
      <c r="F22" s="10"/>
    </row>
    <row r="23" customFormat="false" ht="15" hidden="false" customHeight="false" outlineLevel="0" collapsed="false">
      <c r="A23" s="7"/>
      <c r="B23" s="7"/>
      <c r="C23" s="7"/>
      <c r="D23" s="7"/>
      <c r="E23" s="10"/>
      <c r="F23" s="10"/>
    </row>
    <row r="24" customFormat="false" ht="15" hidden="false" customHeight="false" outlineLevel="0" collapsed="false">
      <c r="A24" s="7"/>
      <c r="B24" s="7"/>
      <c r="C24" s="7"/>
      <c r="D24" s="7"/>
      <c r="E24" s="10"/>
      <c r="F24" s="10"/>
    </row>
    <row r="25" customFormat="false" ht="15" hidden="false" customHeight="false" outlineLevel="0" collapsed="false">
      <c r="A25" s="7"/>
      <c r="B25" s="7"/>
      <c r="C25" s="7"/>
      <c r="D25" s="7"/>
      <c r="E25" s="10"/>
      <c r="F25" s="10"/>
    </row>
    <row r="26" customFormat="false" ht="15" hidden="false" customHeight="false" outlineLevel="0" collapsed="false">
      <c r="A26" s="7"/>
      <c r="B26" s="7"/>
      <c r="C26" s="7"/>
      <c r="D26" s="7"/>
      <c r="E26" s="10"/>
      <c r="F26" s="10"/>
    </row>
    <row r="27" customFormat="false" ht="15" hidden="false" customHeight="false" outlineLevel="0" collapsed="false">
      <c r="A27" s="7"/>
      <c r="B27" s="7"/>
      <c r="C27" s="7"/>
      <c r="D27" s="7"/>
      <c r="E27" s="10"/>
      <c r="F27" s="10"/>
    </row>
    <row r="28" customFormat="false" ht="15" hidden="false" customHeight="false" outlineLevel="0" collapsed="false">
      <c r="A28" s="7"/>
      <c r="B28" s="7"/>
      <c r="C28" s="7"/>
      <c r="D28" s="7"/>
      <c r="E28" s="10"/>
      <c r="F28" s="10"/>
    </row>
    <row r="29" customFormat="false" ht="15" hidden="false" customHeight="false" outlineLevel="0" collapsed="false">
      <c r="A29" s="7"/>
      <c r="B29" s="7"/>
      <c r="C29" s="7"/>
      <c r="D29" s="7"/>
      <c r="E29" s="10"/>
      <c r="F29" s="10"/>
    </row>
    <row r="30" customFormat="false" ht="15" hidden="false" customHeight="false" outlineLevel="0" collapsed="false">
      <c r="A30" s="7"/>
      <c r="B30" s="7"/>
      <c r="C30" s="7"/>
      <c r="D30" s="7"/>
      <c r="E30" s="10"/>
      <c r="F30" s="10"/>
    </row>
    <row r="31" customFormat="false" ht="15" hidden="false" customHeight="false" outlineLevel="0" collapsed="false">
      <c r="A31" s="7"/>
      <c r="B31" s="7"/>
      <c r="C31" s="7"/>
      <c r="D31" s="7"/>
      <c r="E31" s="10"/>
      <c r="F31" s="10"/>
    </row>
    <row r="32" customFormat="false" ht="15" hidden="false" customHeight="false" outlineLevel="0" collapsed="false">
      <c r="A32" s="7"/>
      <c r="B32" s="7"/>
      <c r="C32" s="7"/>
      <c r="D32" s="7"/>
      <c r="E32" s="10"/>
      <c r="F32" s="10"/>
    </row>
    <row r="33" customFormat="false" ht="15" hidden="false" customHeight="false" outlineLevel="0" collapsed="false">
      <c r="A33" s="7"/>
      <c r="B33" s="7"/>
      <c r="C33" s="7"/>
      <c r="D33" s="7"/>
      <c r="E33" s="10"/>
      <c r="F33" s="10"/>
    </row>
    <row r="34" customFormat="false" ht="15" hidden="false" customHeight="false" outlineLevel="0" collapsed="false">
      <c r="A34" s="7"/>
      <c r="B34" s="7"/>
      <c r="C34" s="7"/>
      <c r="D34" s="7"/>
      <c r="E34" s="10"/>
      <c r="F34" s="10"/>
    </row>
    <row r="35" customFormat="false" ht="15" hidden="false" customHeight="false" outlineLevel="0" collapsed="false">
      <c r="A35" s="7"/>
      <c r="B35" s="7"/>
      <c r="C35" s="7"/>
      <c r="D35" s="7"/>
      <c r="E35" s="10"/>
      <c r="F35" s="10"/>
    </row>
    <row r="36" customFormat="false" ht="15" hidden="false" customHeight="false" outlineLevel="0" collapsed="false">
      <c r="A36" s="7"/>
      <c r="B36" s="7"/>
      <c r="C36" s="7"/>
      <c r="D36" s="7"/>
      <c r="E36" s="10"/>
      <c r="F36" s="10"/>
    </row>
    <row r="37" customFormat="false" ht="15" hidden="false" customHeight="false" outlineLevel="0" collapsed="false">
      <c r="A37" s="7"/>
      <c r="B37" s="7"/>
      <c r="C37" s="7"/>
      <c r="D37" s="7"/>
      <c r="E37" s="10"/>
      <c r="F37" s="10"/>
    </row>
    <row r="38" customFormat="false" ht="15" hidden="false" customHeight="false" outlineLevel="0" collapsed="false">
      <c r="A38" s="7"/>
      <c r="B38" s="7"/>
      <c r="C38" s="7"/>
      <c r="D38" s="7"/>
      <c r="E38" s="10"/>
      <c r="F38" s="10"/>
    </row>
    <row r="39" customFormat="false" ht="15" hidden="false" customHeight="false" outlineLevel="0" collapsed="false">
      <c r="A39" s="7"/>
      <c r="B39" s="7"/>
      <c r="C39" s="7"/>
      <c r="D39" s="7"/>
      <c r="E39" s="10"/>
      <c r="F39" s="10"/>
    </row>
    <row r="40" customFormat="false" ht="15" hidden="false" customHeight="false" outlineLevel="0" collapsed="false">
      <c r="A40" s="7"/>
      <c r="B40" s="7"/>
      <c r="C40" s="7"/>
      <c r="D40" s="7"/>
      <c r="E40" s="10"/>
      <c r="F40" s="10"/>
    </row>
    <row r="43" customFormat="false" ht="17.35" hidden="false" customHeight="false" outlineLevel="0" collapsed="false">
      <c r="A43" s="11" t="s">
        <v>51</v>
      </c>
    </row>
    <row r="44" customFormat="false" ht="27.75" hidden="false" customHeight="true" outlineLevel="0" collapsed="false">
      <c r="A44" s="6" t="s">
        <v>41</v>
      </c>
      <c r="B44" s="6" t="s">
        <v>52</v>
      </c>
      <c r="C44" s="6" t="s">
        <v>53</v>
      </c>
      <c r="D44" s="6" t="s">
        <v>54</v>
      </c>
      <c r="E44" s="6" t="s">
        <v>55</v>
      </c>
    </row>
    <row r="45" customFormat="false" ht="15" hidden="false" customHeight="false" outlineLevel="0" collapsed="false">
      <c r="A45" s="8" t="s">
        <v>46</v>
      </c>
      <c r="B45" s="12" t="n">
        <f aca="false">SUMIFS($E$2:$E$40,$D$2:$D$40,$A45)</f>
        <v>7</v>
      </c>
      <c r="C45" s="14" t="n">
        <f aca="false">IFERROR(AVERAGEIFS($E$2:$E$40,$D$2:$D$40,$A45),"")</f>
        <v>3.5</v>
      </c>
      <c r="D45" s="15" t="n">
        <f aca="false">IFERROR(B45/SUM($B$45:$B$47),"")</f>
        <v>0.636363636363636</v>
      </c>
      <c r="E45" s="15" t="n">
        <f aca="false">IF(D45&gt;0,D45*LN(D45),"")</f>
        <v>-0.2876268969274</v>
      </c>
    </row>
    <row r="46" customFormat="false" ht="15" hidden="false" customHeight="false" outlineLevel="0" collapsed="false">
      <c r="A46" s="8" t="s">
        <v>47</v>
      </c>
      <c r="B46" s="12" t="n">
        <f aca="false">SUMIFS($E$2:$E$40,$D$2:$D$40,$A46)</f>
        <v>2</v>
      </c>
      <c r="C46" s="14" t="n">
        <f aca="false">IFERROR(AVERAGEIFS($E$2:$E$40,$D$2:$D$40,$A46),"")</f>
        <v>2</v>
      </c>
      <c r="D46" s="15" t="n">
        <f aca="false">IFERROR(B46/SUM($B$45:$B$47),"")</f>
        <v>0.181818181818182</v>
      </c>
      <c r="E46" s="15" t="n">
        <f aca="false">IF(D46&gt;0,D46*LN(D46),"")</f>
        <v>-0.309954198588805</v>
      </c>
    </row>
    <row r="47" customFormat="false" ht="15" hidden="false" customHeight="false" outlineLevel="0" collapsed="false">
      <c r="A47" s="8" t="s">
        <v>50</v>
      </c>
      <c r="B47" s="12" t="n">
        <f aca="false">SUMIFS($E$2:$E$40,$D$2:$D$40,$A47)</f>
        <v>2</v>
      </c>
      <c r="C47" s="14" t="n">
        <f aca="false">IFERROR(AVERAGEIFS($E$2:$E$40,$D$2:$D$40,$A47),"")</f>
        <v>2</v>
      </c>
      <c r="D47" s="15" t="n">
        <f aca="false">IFERROR(B47/SUM($B$45:$B$47),"")</f>
        <v>0.181818181818182</v>
      </c>
      <c r="E47" s="15" t="n">
        <f aca="false">IF(D47&gt;0,D47*LN(D47),"")</f>
        <v>-0.309954198588805</v>
      </c>
    </row>
    <row r="49" customFormat="false" ht="15" hidden="false" customHeight="false" outlineLevel="0" collapsed="false">
      <c r="A49" s="16" t="s">
        <v>56</v>
      </c>
      <c r="B49" s="10" t="n">
        <f aca="false">COUNTIF($B$45:$B$47,"&gt;0")</f>
        <v>3</v>
      </c>
    </row>
    <row r="50" customFormat="false" ht="15" hidden="false" customHeight="false" outlineLevel="0" collapsed="false">
      <c r="A50" s="16" t="s">
        <v>57</v>
      </c>
      <c r="B50" s="14" t="n">
        <f aca="false">-SUM($E$45:$E$47)</f>
        <v>0.907535294105009</v>
      </c>
    </row>
    <row r="52" customFormat="false" ht="15" hidden="false" customHeight="false" outlineLevel="0" collapsed="false">
      <c r="A52" s="13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5"/>
  </cols>
  <sheetData>
    <row r="1" customFormat="false" ht="27.75" hidden="false" customHeight="true" outlineLevel="0" collapsed="false">
      <c r="A1" s="6" t="s">
        <v>16</v>
      </c>
      <c r="B1" s="6" t="s">
        <v>17</v>
      </c>
      <c r="C1" s="6" t="s">
        <v>41</v>
      </c>
      <c r="D1" s="6" t="s">
        <v>59</v>
      </c>
      <c r="E1" s="6" t="s">
        <v>60</v>
      </c>
      <c r="F1" s="6" t="s">
        <v>61</v>
      </c>
    </row>
    <row r="2" customFormat="false" ht="15" hidden="false" customHeight="false" outlineLevel="0" collapsed="false">
      <c r="A2" s="8" t="s">
        <v>62</v>
      </c>
      <c r="B2" s="8" t="s">
        <v>63</v>
      </c>
      <c r="C2" s="8" t="s">
        <v>64</v>
      </c>
      <c r="D2" s="9" t="n">
        <v>40</v>
      </c>
      <c r="E2" s="9" t="n">
        <v>1.2</v>
      </c>
      <c r="F2" s="9" t="n">
        <v>11</v>
      </c>
    </row>
    <row r="3" customFormat="false" ht="15" hidden="false" customHeight="false" outlineLevel="0" collapsed="false">
      <c r="A3" s="8" t="s">
        <v>62</v>
      </c>
      <c r="B3" s="8" t="s">
        <v>63</v>
      </c>
      <c r="C3" s="8" t="s">
        <v>65</v>
      </c>
      <c r="D3" s="9" t="n">
        <v>25</v>
      </c>
      <c r="E3" s="9" t="n">
        <v>0.8</v>
      </c>
      <c r="F3" s="9" t="n">
        <v>14</v>
      </c>
    </row>
    <row r="4" customFormat="false" ht="15" hidden="false" customHeight="false" outlineLevel="0" collapsed="false">
      <c r="A4" s="7"/>
      <c r="B4" s="7"/>
      <c r="C4" s="7"/>
      <c r="D4" s="10"/>
      <c r="E4" s="10"/>
      <c r="F4" s="10"/>
    </row>
    <row r="5" customFormat="false" ht="15" hidden="false" customHeight="false" outlineLevel="0" collapsed="false">
      <c r="A5" s="7"/>
      <c r="B5" s="7"/>
      <c r="C5" s="7"/>
      <c r="D5" s="10"/>
      <c r="E5" s="10"/>
      <c r="F5" s="10"/>
    </row>
    <row r="6" customFormat="false" ht="15" hidden="false" customHeight="false" outlineLevel="0" collapsed="false">
      <c r="A6" s="7"/>
      <c r="B6" s="7"/>
      <c r="C6" s="7"/>
      <c r="D6" s="10"/>
      <c r="E6" s="10"/>
      <c r="F6" s="10"/>
    </row>
    <row r="7" customFormat="false" ht="15" hidden="false" customHeight="false" outlineLevel="0" collapsed="false">
      <c r="A7" s="7"/>
      <c r="B7" s="7"/>
      <c r="C7" s="7"/>
      <c r="D7" s="10"/>
      <c r="E7" s="10"/>
      <c r="F7" s="10"/>
    </row>
    <row r="8" customFormat="false" ht="15" hidden="false" customHeight="false" outlineLevel="0" collapsed="false">
      <c r="A8" s="7"/>
      <c r="B8" s="7"/>
      <c r="C8" s="7"/>
      <c r="D8" s="10"/>
      <c r="E8" s="10"/>
      <c r="F8" s="10"/>
    </row>
    <row r="9" customFormat="false" ht="15" hidden="false" customHeight="false" outlineLevel="0" collapsed="false">
      <c r="A9" s="7"/>
      <c r="B9" s="7"/>
      <c r="C9" s="7"/>
      <c r="D9" s="10"/>
      <c r="E9" s="10"/>
      <c r="F9" s="10"/>
    </row>
    <row r="10" customFormat="false" ht="15" hidden="false" customHeight="false" outlineLevel="0" collapsed="false">
      <c r="A10" s="7"/>
      <c r="B10" s="7"/>
      <c r="C10" s="7"/>
      <c r="D10" s="10"/>
      <c r="E10" s="10"/>
      <c r="F10" s="10"/>
    </row>
    <row r="11" customFormat="false" ht="15" hidden="false" customHeight="false" outlineLevel="0" collapsed="false">
      <c r="A11" s="7"/>
      <c r="B11" s="7"/>
      <c r="C11" s="7"/>
      <c r="D11" s="10"/>
      <c r="E11" s="10"/>
      <c r="F11" s="10"/>
    </row>
    <row r="12" customFormat="false" ht="15" hidden="false" customHeight="false" outlineLevel="0" collapsed="false">
      <c r="A12" s="7"/>
      <c r="B12" s="7"/>
      <c r="C12" s="7"/>
      <c r="D12" s="10"/>
      <c r="E12" s="10"/>
      <c r="F12" s="10"/>
    </row>
    <row r="13" customFormat="false" ht="15" hidden="false" customHeight="false" outlineLevel="0" collapsed="false">
      <c r="A13" s="7"/>
      <c r="B13" s="7"/>
      <c r="C13" s="7"/>
      <c r="D13" s="10"/>
      <c r="E13" s="10"/>
      <c r="F13" s="10"/>
    </row>
    <row r="14" customFormat="false" ht="15" hidden="false" customHeight="false" outlineLevel="0" collapsed="false">
      <c r="A14" s="7"/>
      <c r="B14" s="7"/>
      <c r="C14" s="7"/>
      <c r="D14" s="10"/>
      <c r="E14" s="10"/>
      <c r="F14" s="10"/>
    </row>
    <row r="15" customFormat="false" ht="15" hidden="false" customHeight="false" outlineLevel="0" collapsed="false">
      <c r="A15" s="7"/>
      <c r="B15" s="7"/>
      <c r="C15" s="7"/>
      <c r="D15" s="10"/>
      <c r="E15" s="10"/>
      <c r="F15" s="10"/>
    </row>
    <row r="16" customFormat="false" ht="15" hidden="false" customHeight="false" outlineLevel="0" collapsed="false">
      <c r="A16" s="7"/>
      <c r="B16" s="7"/>
      <c r="C16" s="7"/>
      <c r="D16" s="10"/>
      <c r="E16" s="10"/>
      <c r="F16" s="10"/>
    </row>
    <row r="17" customFormat="false" ht="15" hidden="false" customHeight="false" outlineLevel="0" collapsed="false">
      <c r="A17" s="7"/>
      <c r="B17" s="7"/>
      <c r="C17" s="7"/>
      <c r="D17" s="10"/>
      <c r="E17" s="10"/>
      <c r="F17" s="10"/>
    </row>
    <row r="18" customFormat="false" ht="15" hidden="false" customHeight="false" outlineLevel="0" collapsed="false">
      <c r="A18" s="7"/>
      <c r="B18" s="7"/>
      <c r="C18" s="7"/>
      <c r="D18" s="10"/>
      <c r="E18" s="10"/>
      <c r="F18" s="10"/>
    </row>
    <row r="19" customFormat="false" ht="15" hidden="false" customHeight="false" outlineLevel="0" collapsed="false">
      <c r="A19" s="7"/>
      <c r="B19" s="7"/>
      <c r="C19" s="7"/>
      <c r="D19" s="10"/>
      <c r="E19" s="10"/>
      <c r="F19" s="10"/>
    </row>
    <row r="20" customFormat="false" ht="15" hidden="false" customHeight="false" outlineLevel="0" collapsed="false">
      <c r="A20" s="7"/>
      <c r="B20" s="7"/>
      <c r="C20" s="7"/>
      <c r="D20" s="10"/>
      <c r="E20" s="10"/>
      <c r="F20" s="10"/>
    </row>
    <row r="21" customFormat="false" ht="15" hidden="false" customHeight="false" outlineLevel="0" collapsed="false">
      <c r="A21" s="7"/>
      <c r="B21" s="7"/>
      <c r="C21" s="7"/>
      <c r="D21" s="10"/>
      <c r="E21" s="10"/>
      <c r="F21" s="10"/>
    </row>
    <row r="22" customFormat="false" ht="15" hidden="false" customHeight="false" outlineLevel="0" collapsed="false">
      <c r="A22" s="7"/>
      <c r="B22" s="7"/>
      <c r="C22" s="7"/>
      <c r="D22" s="10"/>
      <c r="E22" s="10"/>
      <c r="F22" s="10"/>
    </row>
    <row r="23" customFormat="false" ht="15" hidden="false" customHeight="false" outlineLevel="0" collapsed="false">
      <c r="A23" s="7"/>
      <c r="B23" s="7"/>
      <c r="C23" s="7"/>
      <c r="D23" s="10"/>
      <c r="E23" s="10"/>
      <c r="F23" s="10"/>
    </row>
    <row r="24" customFormat="false" ht="15" hidden="false" customHeight="false" outlineLevel="0" collapsed="false">
      <c r="A24" s="7"/>
      <c r="B24" s="7"/>
      <c r="C24" s="7"/>
      <c r="D24" s="10"/>
      <c r="E24" s="10"/>
      <c r="F24" s="10"/>
    </row>
    <row r="25" customFormat="false" ht="15" hidden="false" customHeight="false" outlineLevel="0" collapsed="false">
      <c r="A25" s="7"/>
      <c r="B25" s="7"/>
      <c r="C25" s="7"/>
      <c r="D25" s="10"/>
      <c r="E25" s="10"/>
      <c r="F25" s="10"/>
    </row>
    <row r="26" customFormat="false" ht="15" hidden="false" customHeight="false" outlineLevel="0" collapsed="false">
      <c r="A26" s="7"/>
      <c r="B26" s="7"/>
      <c r="C26" s="7"/>
      <c r="D26" s="10"/>
      <c r="E26" s="10"/>
      <c r="F26" s="10"/>
    </row>
    <row r="27" customFormat="false" ht="15" hidden="false" customHeight="false" outlineLevel="0" collapsed="false">
      <c r="A27" s="7"/>
      <c r="B27" s="7"/>
      <c r="C27" s="7"/>
      <c r="D27" s="10"/>
      <c r="E27" s="10"/>
      <c r="F27" s="10"/>
    </row>
    <row r="28" customFormat="false" ht="15" hidden="false" customHeight="false" outlineLevel="0" collapsed="false">
      <c r="A28" s="7"/>
      <c r="B28" s="7"/>
      <c r="C28" s="7"/>
      <c r="D28" s="10"/>
      <c r="E28" s="10"/>
      <c r="F28" s="10"/>
    </row>
    <row r="29" customFormat="false" ht="15" hidden="false" customHeight="false" outlineLevel="0" collapsed="false">
      <c r="A29" s="7"/>
      <c r="B29" s="7"/>
      <c r="C29" s="7"/>
      <c r="D29" s="10"/>
      <c r="E29" s="10"/>
      <c r="F29" s="10"/>
    </row>
    <row r="30" customFormat="false" ht="15" hidden="false" customHeight="false" outlineLevel="0" collapsed="false">
      <c r="A30" s="7"/>
      <c r="B30" s="7"/>
      <c r="C30" s="7"/>
      <c r="D30" s="10"/>
      <c r="E30" s="10"/>
      <c r="F30" s="10"/>
    </row>
    <row r="33" customFormat="false" ht="17.35" hidden="false" customHeight="false" outlineLevel="0" collapsed="false">
      <c r="A33" s="11" t="s">
        <v>66</v>
      </c>
    </row>
    <row r="34" customFormat="false" ht="27.75" hidden="false" customHeight="true" outlineLevel="0" collapsed="false">
      <c r="A34" s="6" t="s">
        <v>41</v>
      </c>
      <c r="B34" s="6" t="s">
        <v>67</v>
      </c>
      <c r="C34" s="6" t="s">
        <v>68</v>
      </c>
      <c r="D34" s="6" t="s">
        <v>69</v>
      </c>
    </row>
    <row r="35" customFormat="false" ht="15" hidden="false" customHeight="false" outlineLevel="0" collapsed="false">
      <c r="A35" s="8" t="s">
        <v>64</v>
      </c>
      <c r="B35" s="12" t="n">
        <f aca="false">IFERROR(AVERAGEIFS($D$2:$D$30,$C$2:$C$30,$A35),"")</f>
        <v>40</v>
      </c>
      <c r="C35" s="12" t="n">
        <f aca="false">IFERROR(AVERAGEIFS($E$2:$E$30,$C$2:$C$30,$A35),"")</f>
        <v>1.2</v>
      </c>
      <c r="D35" s="12" t="n">
        <f aca="false">IFERROR(AVERAGEIFS($F$2:$F$30,$C$2:$C$30,$A35),"")</f>
        <v>11</v>
      </c>
    </row>
    <row r="36" customFormat="false" ht="15" hidden="false" customHeight="false" outlineLevel="0" collapsed="false">
      <c r="A36" s="8" t="s">
        <v>65</v>
      </c>
      <c r="B36" s="12" t="n">
        <f aca="false">IFERROR(AVERAGEIFS($D$2:$D$30,$C$2:$C$30,$A36),"")</f>
        <v>25</v>
      </c>
      <c r="C36" s="12" t="n">
        <f aca="false">IFERROR(AVERAGEIFS($E$2:$E$30,$C$2:$C$30,$A36),"")</f>
        <v>0.8</v>
      </c>
      <c r="D36" s="12" t="n">
        <f aca="false">IFERROR(AVERAGEIFS($F$2:$F$30,$C$2:$C$30,$A36),"")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8"/>
  </cols>
  <sheetData>
    <row r="1" customFormat="false" ht="17.35" hidden="false" customHeight="false" outlineLevel="0" collapsed="false">
      <c r="A1" s="2" t="s">
        <v>70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4" t="s">
        <v>71</v>
      </c>
    </row>
    <row r="4" customFormat="false" ht="23.85" hidden="false" customHeight="false" outlineLevel="0" collapsed="false">
      <c r="A4" s="3" t="s">
        <v>72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4" t="s">
        <v>73</v>
      </c>
    </row>
    <row r="7" customFormat="false" ht="15" hidden="false" customHeight="false" outlineLevel="0" collapsed="false">
      <c r="A7" s="3" t="s">
        <v>74</v>
      </c>
    </row>
    <row r="8" customFormat="false" ht="15" hidden="false" customHeight="false" outlineLevel="0" collapsed="false">
      <c r="A8" s="3" t="s">
        <v>75</v>
      </c>
    </row>
    <row r="9" customFormat="false" ht="15" hidden="false" customHeight="false" outlineLevel="0" collapsed="false">
      <c r="A9" s="3" t="s">
        <v>76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77</v>
      </c>
    </row>
    <row r="12" customFormat="false" ht="15" hidden="false" customHeight="false" outlineLevel="0" collapsed="false">
      <c r="A12" s="17" t="s">
        <v>78</v>
      </c>
    </row>
    <row r="13" customFormat="false" ht="15" hidden="false" customHeight="false" outlineLevel="0" collapsed="false">
      <c r="A13" s="17" t="s">
        <v>79</v>
      </c>
    </row>
    <row r="14" customFormat="false" ht="15" hidden="false" customHeight="false" outlineLevel="0" collapsed="false">
      <c r="A14" s="17" t="s">
        <v>80</v>
      </c>
    </row>
    <row r="15" customFormat="false" ht="15" hidden="false" customHeight="false" outlineLevel="0" collapsed="false">
      <c r="A15" s="17" t="s">
        <v>81</v>
      </c>
    </row>
    <row r="16" customFormat="false" ht="15" hidden="false" customHeight="false" outlineLevel="0" collapsed="false">
      <c r="A16" s="17" t="s">
        <v>82</v>
      </c>
    </row>
    <row r="17" customFormat="false" ht="15" hidden="false" customHeight="false" outlineLevel="0" collapsed="false">
      <c r="A17" s="17" t="s">
        <v>83</v>
      </c>
    </row>
    <row r="18" customFormat="false" ht="15" hidden="false" customHeight="false" outlineLevel="0" collapsed="false">
      <c r="A18" s="17" t="s">
        <v>84</v>
      </c>
    </row>
    <row r="19" customFormat="false" ht="15" hidden="false" customHeight="false" outlineLevel="0" collapsed="false">
      <c r="A19" s="17" t="s">
        <v>85</v>
      </c>
    </row>
    <row r="20" customFormat="false" ht="15" hidden="false" customHeight="false" outlineLevel="0" collapsed="false">
      <c r="A20" s="17" t="s">
        <v>86</v>
      </c>
    </row>
    <row r="21" customFormat="false" ht="15" hidden="false" customHeight="false" outlineLevel="0" collapsed="false">
      <c r="A21" s="17" t="s">
        <v>87</v>
      </c>
    </row>
    <row r="22" customFormat="false" ht="15" hidden="false" customHeight="false" outlineLevel="0" collapsed="false">
      <c r="A22" s="17" t="s">
        <v>88</v>
      </c>
    </row>
    <row r="24" customFormat="false" ht="15" hidden="false" customHeight="false" outlineLevel="0" collapsed="false">
      <c r="A24" s="5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2026-08-06T21:03:07Z</dcterms:created>
  <dc:creator>openpyxl</dc:creator>
  <dc:description/>
  <dc:language>en-US</dc:language>
  <cp:lastModifiedBy/>
  <dcterms:modified xsi:type="dcterms:W3CDTF">2026-08-06T21:03:07Z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