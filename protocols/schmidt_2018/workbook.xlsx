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ensor Validation" sheetId="2" state="visible" r:id="rId4"/>
    <sheet name="QC Checklist" sheetId="3" state="visible" r:id="rId5"/>
    <sheet name="Time-series &amp; 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<sst xmlns="http://schemas.openxmlformats.org/spreadsheetml/2006/main" count="71" uniqueCount="67">
  <si>
    <t xml:space="preserve">AquaPIP Stats Workbook — Autonomous Sensor Buoy (Protocol ID: schmidt_2018)</t>
  </si>
  <si>
    <t xml:space="preserve">What this is</t>
  </si>
  <si>
    <t xml:space="preserve">Validation + quality-control companion to the 'Continuous Water-Quality Monitoring with a Low-Cost Autonomous Sensor Buoy' protocol. The raw continuous water-quality data live in the sensor CSV exports (tens of thousands of rows) — NOT in this workbook. This workbook does two jobs a spreadsheet is good for: (1) validate the sensors against an independent reference (RMSE + bias), and (2) track quality-control removals. Continuous plotting is a dashboard/script job (see Time-series &amp; dashboard).</t>
  </si>
  <si>
    <t xml:space="preserve">How to use</t>
  </si>
  <si>
    <t xml:space="preserve">1.  Sensor Validation — one row per maintenance-visit reading: enter the sensor value and the paired independent-reference value; the difference and its square are computed. The summary block returns RMSE and bias per parameter.</t>
  </si>
  <si>
    <t xml:space="preserve">2.  Rows 2–4 are a worked EXAMPLE (shaded yellow) — overwrite them with your own paired readings.</t>
  </si>
  <si>
    <t xml:space="preserve">3.  QC Checklist — the quality-control rules with their ranges; enter how many readings each rule removed to get a % removed.</t>
  </si>
  <si>
    <t xml:space="preserve">4.  Time-series &amp; dashboard — how to load the CSVs, apply QC, and plot temperature / salinity / dissolved oxygen over time (R recipe).</t>
  </si>
  <si>
    <t xml:space="preserve">Legend</t>
  </si>
  <si>
    <t xml:space="preserve">■  Teal headers = labels (do not edit).   ■  Yellow = example values to overwrite.   ■  Difference, RMSE and bias are formulas — leave them alone.</t>
  </si>
  <si>
    <t xml:space="preserve">Stats fork for this protocol</t>
  </si>
  <si>
    <t xml:space="preserve">SIMPLE (this workbook): sensor-vs-reference RMSE + bias; QC removal accounting.</t>
  </si>
  <si>
    <t xml:space="preserve">CONTINUOUS (dashboard / R, see Time-series &amp; dashboard): daily mean / min / max plots of the full time series; stratification and dissolved-oxygen saturation signals.</t>
  </si>
  <si>
    <t xml:space="preserve">Source provenance &amp; residual gaps</t>
  </si>
  <si>
    <t xml:space="preserve">Generated by AquaPIP from Schmidt et al. (2018), Aquacultural Engineering 80:28–36. Specific sensor models, mooring hardware, depths and logging interval are site choices. QC thresholds follow each sensor's valid range plus a recognised QC standard (e.g. IOOS QARTOD). This protocol omits the WQ 2.1.2 (Microorganisms) mapping carried on the database row — the buoy measures physico-chemical proxies, not microorganisms directly. The example RMSE/bias values are illustrative of the source's reported accuracy, not real readings.</t>
  </si>
  <si>
    <t xml:space="preserve">Parameter</t>
  </si>
  <si>
    <t xml:space="preserve">Depth (m)</t>
  </si>
  <si>
    <t xml:space="preserve">Sensor reading</t>
  </si>
  <si>
    <t xml:space="preserve">Reference reading</t>
  </si>
  <si>
    <t xml:space="preserve">Difference</t>
  </si>
  <si>
    <t xml:space="preserve">Difference²</t>
  </si>
  <si>
    <t xml:space="preserve">Temperature</t>
  </si>
  <si>
    <t xml:space="preserve">Validation summary (per parameter)</t>
  </si>
  <si>
    <t xml:space="preserve">RMSE</t>
  </si>
  <si>
    <t xml:space="preserve">Bias</t>
  </si>
  <si>
    <t xml:space="preserve">Salinity</t>
  </si>
  <si>
    <t xml:space="preserve">Dissolved oxygen</t>
  </si>
  <si>
    <t xml:space="preserve">RMSE = √(mean squared difference); Bias = mean(sensor − reference). Edit the parameter labels to match column A.</t>
  </si>
  <si>
    <t xml:space="preserve">Quality-control rules  (enter your removal counts to get % removed)</t>
  </si>
  <si>
    <t xml:space="preserve">Total measurements in deployment:</t>
  </si>
  <si>
    <t xml:space="preserve">QC rule</t>
  </si>
  <si>
    <t xml:space="preserve">Range / definition</t>
  </si>
  <si>
    <t xml:space="preserve"># removed</t>
  </si>
  <si>
    <t xml:space="preserve">% removed</t>
  </si>
  <si>
    <t xml:space="preserve">1. Out-of-range removal</t>
  </si>
  <si>
    <t xml:space="preserve">Temperature −2 to 30 °C; salinity 1000–55,000 µS cm⁻¹; DO 0–30 mg L⁻¹</t>
  </si>
  <si>
    <t xml:space="preserve">2. Post-event stabilisation</t>
  </si>
  <si>
    <t xml:space="preserve">Discard first ~2 h after deployment and after each cleaning</t>
  </si>
  <si>
    <t xml:space="preserve">3. Single-anomaly removal</t>
  </si>
  <si>
    <t xml:space="preserve">Abrupt jump between consecutive readings</t>
  </si>
  <si>
    <t xml:space="preserve">4. Fouling roll-off</t>
  </si>
  <si>
    <t xml:space="preserve">Keep pre-drift peak, discard fouled tail before a cleaning</t>
  </si>
  <si>
    <t xml:space="preserve">5. Surface-tangle removal</t>
  </si>
  <si>
    <t xml:space="preserve">Pressure sensor shows string floated to surface</t>
  </si>
  <si>
    <t xml:space="preserve">Enter Total measurements (yellow, top) and each rule's removal count; % removed computes automatically.</t>
  </si>
  <si>
    <t xml:space="preserve">Plot the continuous record (dashboard / R)</t>
  </si>
  <si>
    <t xml:space="preserve">Why</t>
  </si>
  <si>
    <t xml:space="preserve">The buoy logs continuously (e.g. every 10 min for months) — far too much for a spreadsheet. Load the CSV exports, apply the QC rules, then summarise to daily mean / min / max and plot. Read temperature across depths for stratification, and dissolved-oxygen super-/under-saturation as a signal of phytoplankton activity.</t>
  </si>
  <si>
    <t xml:space="preserve">Steps</t>
  </si>
  <si>
    <t xml:space="preserve">1.  Export each sensor's log to CSV.</t>
  </si>
  <si>
    <t xml:space="preserve">2.  Convert conductivity to salinity (PSU) with standard seawater equations; derive water level from the pressure sensor.</t>
  </si>
  <si>
    <t xml:space="preserve">3.  Apply the QC rules (see QC Checklist).</t>
  </si>
  <si>
    <t xml:space="preserve">4.  Summarise to daily mean / min / max and plot temperature, salinity and dissolved oxygen over time, with a min–max envelope.</t>
  </si>
  <si>
    <t xml:space="preserve">R recipe</t>
  </si>
  <si>
    <t xml:space="preserve">library(tidyverse); library(marelac); library(lubridate)</t>
  </si>
  <si>
    <t xml:space="preserve">temp &lt;- read_csv("temperature.csv"); cond &lt;- read_csv("conductivity.csv"); do &lt;- read_csv("do.csv")</t>
  </si>
  <si>
    <t xml:space="preserve"># conductivity (S/m) -&gt; salinity (PSU)</t>
  </si>
  <si>
    <t xml:space="preserve">cond &lt;- cond %&gt;% mutate(salinity = convert_RtoS(conductivity/4.2914, t=temp_C, p=pressure_bar))</t>
  </si>
  <si>
    <t xml:space="preserve">d &lt;- bind_rows(temp, cond, do) %&gt;%</t>
  </si>
  <si>
    <t xml:space="preserve">     filter(qc_pass) %&gt;%                       # your QC flags</t>
  </si>
  <si>
    <t xml:space="preserve">     mutate(day = as_date(datetime)) %&gt;%</t>
  </si>
  <si>
    <t xml:space="preserve">     group_by(parameter, day) %&gt;%</t>
  </si>
  <si>
    <t xml:space="preserve">     summarise(mean=mean(value), lo=min(value), hi=max(value), .groups='drop')</t>
  </si>
  <si>
    <t xml:space="preserve">ggplot(d, aes(day, mean)) +</t>
  </si>
  <si>
    <t xml:space="preserve">  geom_ribbon(aes(ymin=lo, ymax=hi), alpha=.2) + geom_line() +</t>
  </si>
  <si>
    <t xml:space="preserve">  facet_wrap(~parameter, scales='free_y')</t>
  </si>
  <si>
    <t xml:space="preserve">Column names are illustrative — adjust to your CSV export.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</si>
</sst>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.00"/>
    <numFmt numFmtId="167" formatCode="0.0000"/>
    <numFmt numFmtId="168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4F5C"/>
      <name val="Arial"/>
      <family val="0"/>
      <charset val="1"/>
    </font>
    <font>
      <sz val="10"/>
      <color rgb="FF1A2B2F"/>
      <name val="Arial"/>
      <family val="0"/>
      <charset val="1"/>
    </font>
    <font>
      <b val="true"/>
      <sz val="10"/>
      <color rgb="FF1A2B2F"/>
      <name val="Arial"/>
      <family val="0"/>
      <charset val="1"/>
    </font>
    <font>
      <i val="true"/>
      <sz val="9"/>
      <color rgb="FF5B6B7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A2B2F"/>
      <name val="Courier New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4F5C"/>
        <bgColor rgb="FF1A2B2F"/>
      </patternFill>
    </fill>
    <fill>
      <patternFill patternType="solid">
        <fgColor rgb="FFFFF3C4"/>
        <bgColor rgb="FFFFFF99"/>
      </patternFill>
    </fill>
    <fill>
      <patternFill patternType="solid">
        <fgColor rgb="FFEEF3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7D2D5"/>
      </left>
      <right style="thin">
        <color rgb="FFC7D2D5"/>
      </right>
      <top style="thin">
        <color rgb="FFC7D2D5"/>
      </top>
      <bottom style="thin">
        <color rgb="FFC7D2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4"/>
      <rgbColor rgb="FFEEF3F4"/>
      <rgbColor rgb="FF660066"/>
      <rgbColor rgb="FFFF8080"/>
      <rgbColor rgb="FF0066CC"/>
      <rgbColor rgb="FFC7D2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70"/>
      <rgbColor rgb="FF969696"/>
      <rgbColor rgb="FF0B4F5C"/>
      <rgbColor rgb="FF339966"/>
      <rgbColor rgb="FF003300"/>
      <rgbColor rgb="FF333300"/>
      <rgbColor rgb="FF993300"/>
      <rgbColor rgb="FF993366"/>
      <rgbColor rgb="FF333399"/>
      <rgbColor rgb="FF1A2B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46.2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23.8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23.8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8</v>
      </c>
    </row>
    <row r="13" customFormat="false" ht="23.8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10</v>
      </c>
    </row>
    <row r="16" customFormat="false" ht="15" hidden="false" customHeight="false" outlineLevel="0" collapsed="false">
      <c r="A16" s="2" t="s">
        <v>11</v>
      </c>
    </row>
    <row r="17" customFormat="false" ht="23.8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4" t="s">
        <v>13</v>
      </c>
    </row>
    <row r="20" customFormat="false" ht="43.25" hidden="false" customHeight="false" outlineLevel="0" collapsed="false">
      <c r="A20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6" min="5" style="0" width="13"/>
  </cols>
  <sheetData>
    <row r="1" customFormat="false" ht="27.75" hidden="false" customHeight="true" outlineLevel="0" collapsed="false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</row>
    <row r="2" customFormat="false" ht="15" hidden="false" customHeight="false" outlineLevel="0" collapsed="false">
      <c r="A2" s="6" t="s">
        <v>21</v>
      </c>
      <c r="B2" s="7" t="n">
        <v>1.1</v>
      </c>
      <c r="C2" s="8" t="n">
        <v>12.4</v>
      </c>
      <c r="D2" s="8" t="n">
        <v>12.32</v>
      </c>
      <c r="E2" s="9" t="n">
        <f aca="false">IF(AND(ISNUMBER(C2),ISNUMBER(D2)),C2-D2,"")</f>
        <v>0.0800000000000001</v>
      </c>
      <c r="F2" s="10" t="n">
        <f aca="false">IF(ISNUMBER(E2),E2^2,"")</f>
        <v>0.00640000000000001</v>
      </c>
    </row>
    <row r="3" customFormat="false" ht="15" hidden="false" customHeight="false" outlineLevel="0" collapsed="false">
      <c r="A3" s="6" t="s">
        <v>21</v>
      </c>
      <c r="B3" s="7" t="n">
        <v>0.8</v>
      </c>
      <c r="C3" s="8" t="n">
        <v>11.1</v>
      </c>
      <c r="D3" s="8" t="n">
        <v>11</v>
      </c>
      <c r="E3" s="9" t="n">
        <f aca="false">IF(AND(ISNUMBER(C3),ISNUMBER(D3)),C3-D3,"")</f>
        <v>0.0999999999999996</v>
      </c>
      <c r="F3" s="10" t="n">
        <f aca="false">IF(ISNUMBER(E3),E3^2,"")</f>
        <v>0.00999999999999993</v>
      </c>
    </row>
    <row r="4" customFormat="false" ht="15" hidden="false" customHeight="false" outlineLevel="0" collapsed="false">
      <c r="A4" s="6" t="s">
        <v>21</v>
      </c>
      <c r="B4" s="7" t="n">
        <v>0.6</v>
      </c>
      <c r="C4" s="8" t="n">
        <v>13.05</v>
      </c>
      <c r="D4" s="8" t="n">
        <v>13.1</v>
      </c>
      <c r="E4" s="9" t="n">
        <f aca="false">IF(AND(ISNUMBER(C4),ISNUMBER(D4)),C4-D4,"")</f>
        <v>-0.0499999999999989</v>
      </c>
      <c r="F4" s="10" t="n">
        <f aca="false">IF(ISNUMBER(E4),E4^2,"")</f>
        <v>0.00249999999999989</v>
      </c>
    </row>
    <row r="5" customFormat="false" ht="15" hidden="false" customHeight="false" outlineLevel="0" collapsed="false">
      <c r="A5" s="11"/>
      <c r="B5" s="12"/>
      <c r="C5" s="12"/>
      <c r="D5" s="12"/>
      <c r="E5" s="9" t="str">
        <f aca="false">IF(AND(ISNUMBER(C5),ISNUMBER(D5)),C5-D5,"")</f>
        <v/>
      </c>
      <c r="F5" s="10" t="str">
        <f aca="false">IF(ISNUMBER(E5),E5^2,"")</f>
        <v/>
      </c>
    </row>
    <row r="6" customFormat="false" ht="15" hidden="false" customHeight="false" outlineLevel="0" collapsed="false">
      <c r="A6" s="11"/>
      <c r="B6" s="12"/>
      <c r="C6" s="12"/>
      <c r="D6" s="12"/>
      <c r="E6" s="9" t="str">
        <f aca="false">IF(AND(ISNUMBER(C6),ISNUMBER(D6)),C6-D6,"")</f>
        <v/>
      </c>
      <c r="F6" s="10" t="str">
        <f aca="false">IF(ISNUMBER(E6),E6^2,"")</f>
        <v/>
      </c>
    </row>
    <row r="7" customFormat="false" ht="15" hidden="false" customHeight="false" outlineLevel="0" collapsed="false">
      <c r="A7" s="11"/>
      <c r="B7" s="12"/>
      <c r="C7" s="12"/>
      <c r="D7" s="12"/>
      <c r="E7" s="9" t="str">
        <f aca="false">IF(AND(ISNUMBER(C7),ISNUMBER(D7)),C7-D7,"")</f>
        <v/>
      </c>
      <c r="F7" s="10" t="str">
        <f aca="false">IF(ISNUMBER(E7),E7^2,"")</f>
        <v/>
      </c>
    </row>
    <row r="8" customFormat="false" ht="15" hidden="false" customHeight="false" outlineLevel="0" collapsed="false">
      <c r="A8" s="11"/>
      <c r="B8" s="12"/>
      <c r="C8" s="12"/>
      <c r="D8" s="12"/>
      <c r="E8" s="9" t="str">
        <f aca="false">IF(AND(ISNUMBER(C8),ISNUMBER(D8)),C8-D8,"")</f>
        <v/>
      </c>
      <c r="F8" s="10" t="str">
        <f aca="false">IF(ISNUMBER(E8),E8^2,"")</f>
        <v/>
      </c>
    </row>
    <row r="9" customFormat="false" ht="15" hidden="false" customHeight="false" outlineLevel="0" collapsed="false">
      <c r="A9" s="11"/>
      <c r="B9" s="12"/>
      <c r="C9" s="12"/>
      <c r="D9" s="12"/>
      <c r="E9" s="9" t="str">
        <f aca="false">IF(AND(ISNUMBER(C9),ISNUMBER(D9)),C9-D9,"")</f>
        <v/>
      </c>
      <c r="F9" s="10" t="str">
        <f aca="false">IF(ISNUMBER(E9),E9^2,"")</f>
        <v/>
      </c>
    </row>
    <row r="10" customFormat="false" ht="15" hidden="false" customHeight="false" outlineLevel="0" collapsed="false">
      <c r="A10" s="11"/>
      <c r="B10" s="12"/>
      <c r="C10" s="12"/>
      <c r="D10" s="12"/>
      <c r="E10" s="9" t="str">
        <f aca="false">IF(AND(ISNUMBER(C10),ISNUMBER(D10)),C10-D10,"")</f>
        <v/>
      </c>
      <c r="F10" s="10" t="str">
        <f aca="false">IF(ISNUMBER(E10),E10^2,"")</f>
        <v/>
      </c>
    </row>
    <row r="11" customFormat="false" ht="15" hidden="false" customHeight="false" outlineLevel="0" collapsed="false">
      <c r="A11" s="11"/>
      <c r="B11" s="12"/>
      <c r="C11" s="12"/>
      <c r="D11" s="12"/>
      <c r="E11" s="9" t="str">
        <f aca="false">IF(AND(ISNUMBER(C11),ISNUMBER(D11)),C11-D11,"")</f>
        <v/>
      </c>
      <c r="F11" s="10" t="str">
        <f aca="false">IF(ISNUMBER(E11),E11^2,"")</f>
        <v/>
      </c>
    </row>
    <row r="12" customFormat="false" ht="15" hidden="false" customHeight="false" outlineLevel="0" collapsed="false">
      <c r="A12" s="11"/>
      <c r="B12" s="12"/>
      <c r="C12" s="12"/>
      <c r="D12" s="12"/>
      <c r="E12" s="9" t="str">
        <f aca="false">IF(AND(ISNUMBER(C12),ISNUMBER(D12)),C12-D12,"")</f>
        <v/>
      </c>
      <c r="F12" s="10" t="str">
        <f aca="false">IF(ISNUMBER(E12),E12^2,"")</f>
        <v/>
      </c>
    </row>
    <row r="13" customFormat="false" ht="15" hidden="false" customHeight="false" outlineLevel="0" collapsed="false">
      <c r="A13" s="11"/>
      <c r="B13" s="12"/>
      <c r="C13" s="12"/>
      <c r="D13" s="12"/>
      <c r="E13" s="9" t="str">
        <f aca="false">IF(AND(ISNUMBER(C13),ISNUMBER(D13)),C13-D13,"")</f>
        <v/>
      </c>
      <c r="F13" s="10" t="str">
        <f aca="false">IF(ISNUMBER(E13),E13^2,"")</f>
        <v/>
      </c>
    </row>
    <row r="14" customFormat="false" ht="15" hidden="false" customHeight="false" outlineLevel="0" collapsed="false">
      <c r="A14" s="11"/>
      <c r="B14" s="12"/>
      <c r="C14" s="12"/>
      <c r="D14" s="12"/>
      <c r="E14" s="9" t="str">
        <f aca="false">IF(AND(ISNUMBER(C14),ISNUMBER(D14)),C14-D14,"")</f>
        <v/>
      </c>
      <c r="F14" s="10" t="str">
        <f aca="false">IF(ISNUMBER(E14),E14^2,"")</f>
        <v/>
      </c>
    </row>
    <row r="15" customFormat="false" ht="15" hidden="false" customHeight="false" outlineLevel="0" collapsed="false">
      <c r="A15" s="11"/>
      <c r="B15" s="12"/>
      <c r="C15" s="12"/>
      <c r="D15" s="12"/>
      <c r="E15" s="9" t="str">
        <f aca="false">IF(AND(ISNUMBER(C15),ISNUMBER(D15)),C15-D15,"")</f>
        <v/>
      </c>
      <c r="F15" s="10" t="str">
        <f aca="false">IF(ISNUMBER(E15),E15^2,"")</f>
        <v/>
      </c>
    </row>
    <row r="16" customFormat="false" ht="15" hidden="false" customHeight="false" outlineLevel="0" collapsed="false">
      <c r="A16" s="11"/>
      <c r="B16" s="12"/>
      <c r="C16" s="12"/>
      <c r="D16" s="12"/>
      <c r="E16" s="9" t="str">
        <f aca="false">IF(AND(ISNUMBER(C16),ISNUMBER(D16)),C16-D16,"")</f>
        <v/>
      </c>
      <c r="F16" s="10" t="str">
        <f aca="false">IF(ISNUMBER(E16),E16^2,"")</f>
        <v/>
      </c>
    </row>
    <row r="17" customFormat="false" ht="15" hidden="false" customHeight="false" outlineLevel="0" collapsed="false">
      <c r="A17" s="11"/>
      <c r="B17" s="12"/>
      <c r="C17" s="12"/>
      <c r="D17" s="12"/>
      <c r="E17" s="9" t="str">
        <f aca="false">IF(AND(ISNUMBER(C17),ISNUMBER(D17)),C17-D17,"")</f>
        <v/>
      </c>
      <c r="F17" s="10" t="str">
        <f aca="false">IF(ISNUMBER(E17),E17^2,"")</f>
        <v/>
      </c>
    </row>
    <row r="18" customFormat="false" ht="15" hidden="false" customHeight="false" outlineLevel="0" collapsed="false">
      <c r="A18" s="11"/>
      <c r="B18" s="12"/>
      <c r="C18" s="12"/>
      <c r="D18" s="12"/>
      <c r="E18" s="9" t="str">
        <f aca="false">IF(AND(ISNUMBER(C18),ISNUMBER(D18)),C18-D18,"")</f>
        <v/>
      </c>
      <c r="F18" s="10" t="str">
        <f aca="false">IF(ISNUMBER(E18),E18^2,"")</f>
        <v/>
      </c>
    </row>
    <row r="19" customFormat="false" ht="15" hidden="false" customHeight="false" outlineLevel="0" collapsed="false">
      <c r="A19" s="11"/>
      <c r="B19" s="12"/>
      <c r="C19" s="12"/>
      <c r="D19" s="12"/>
      <c r="E19" s="9" t="str">
        <f aca="false">IF(AND(ISNUMBER(C19),ISNUMBER(D19)),C19-D19,"")</f>
        <v/>
      </c>
      <c r="F19" s="10" t="str">
        <f aca="false">IF(ISNUMBER(E19),E19^2,"")</f>
        <v/>
      </c>
    </row>
    <row r="20" customFormat="false" ht="15" hidden="false" customHeight="false" outlineLevel="0" collapsed="false">
      <c r="A20" s="11"/>
      <c r="B20" s="12"/>
      <c r="C20" s="12"/>
      <c r="D20" s="12"/>
      <c r="E20" s="9" t="str">
        <f aca="false">IF(AND(ISNUMBER(C20),ISNUMBER(D20)),C20-D20,"")</f>
        <v/>
      </c>
      <c r="F20" s="10" t="str">
        <f aca="false">IF(ISNUMBER(E20),E20^2,"")</f>
        <v/>
      </c>
    </row>
    <row r="21" customFormat="false" ht="15" hidden="false" customHeight="false" outlineLevel="0" collapsed="false">
      <c r="A21" s="11"/>
      <c r="B21" s="12"/>
      <c r="C21" s="12"/>
      <c r="D21" s="12"/>
      <c r="E21" s="9" t="str">
        <f aca="false">IF(AND(ISNUMBER(C21),ISNUMBER(D21)),C21-D21,"")</f>
        <v/>
      </c>
      <c r="F21" s="10" t="str">
        <f aca="false">IF(ISNUMBER(E21),E21^2,"")</f>
        <v/>
      </c>
    </row>
    <row r="22" customFormat="false" ht="15" hidden="false" customHeight="false" outlineLevel="0" collapsed="false">
      <c r="A22" s="11"/>
      <c r="B22" s="12"/>
      <c r="C22" s="12"/>
      <c r="D22" s="12"/>
      <c r="E22" s="9" t="str">
        <f aca="false">IF(AND(ISNUMBER(C22),ISNUMBER(D22)),C22-D22,"")</f>
        <v/>
      </c>
      <c r="F22" s="10" t="str">
        <f aca="false">IF(ISNUMBER(E22),E22^2,"")</f>
        <v/>
      </c>
    </row>
    <row r="23" customFormat="false" ht="15" hidden="false" customHeight="false" outlineLevel="0" collapsed="false">
      <c r="A23" s="11"/>
      <c r="B23" s="12"/>
      <c r="C23" s="12"/>
      <c r="D23" s="12"/>
      <c r="E23" s="9" t="str">
        <f aca="false">IF(AND(ISNUMBER(C23),ISNUMBER(D23)),C23-D23,"")</f>
        <v/>
      </c>
      <c r="F23" s="10" t="str">
        <f aca="false">IF(ISNUMBER(E23),E23^2,"")</f>
        <v/>
      </c>
    </row>
    <row r="24" customFormat="false" ht="15" hidden="false" customHeight="false" outlineLevel="0" collapsed="false">
      <c r="A24" s="11"/>
      <c r="B24" s="12"/>
      <c r="C24" s="12"/>
      <c r="D24" s="12"/>
      <c r="E24" s="9" t="str">
        <f aca="false">IF(AND(ISNUMBER(C24),ISNUMBER(D24)),C24-D24,"")</f>
        <v/>
      </c>
      <c r="F24" s="10" t="str">
        <f aca="false">IF(ISNUMBER(E24),E24^2,"")</f>
        <v/>
      </c>
    </row>
    <row r="25" customFormat="false" ht="15" hidden="false" customHeight="false" outlineLevel="0" collapsed="false">
      <c r="A25" s="11"/>
      <c r="B25" s="12"/>
      <c r="C25" s="12"/>
      <c r="D25" s="12"/>
      <c r="E25" s="9" t="str">
        <f aca="false">IF(AND(ISNUMBER(C25),ISNUMBER(D25)),C25-D25,"")</f>
        <v/>
      </c>
      <c r="F25" s="10" t="str">
        <f aca="false">IF(ISNUMBER(E25),E25^2,"")</f>
        <v/>
      </c>
    </row>
    <row r="26" customFormat="false" ht="15" hidden="false" customHeight="false" outlineLevel="0" collapsed="false">
      <c r="A26" s="11"/>
      <c r="B26" s="12"/>
      <c r="C26" s="12"/>
      <c r="D26" s="12"/>
      <c r="E26" s="9" t="str">
        <f aca="false">IF(AND(ISNUMBER(C26),ISNUMBER(D26)),C26-D26,"")</f>
        <v/>
      </c>
      <c r="F26" s="10" t="str">
        <f aca="false">IF(ISNUMBER(E26),E26^2,"")</f>
        <v/>
      </c>
    </row>
    <row r="27" customFormat="false" ht="15" hidden="false" customHeight="false" outlineLevel="0" collapsed="false">
      <c r="A27" s="11"/>
      <c r="B27" s="12"/>
      <c r="C27" s="12"/>
      <c r="D27" s="12"/>
      <c r="E27" s="9" t="str">
        <f aca="false">IF(AND(ISNUMBER(C27),ISNUMBER(D27)),C27-D27,"")</f>
        <v/>
      </c>
      <c r="F27" s="10" t="str">
        <f aca="false">IF(ISNUMBER(E27),E27^2,"")</f>
        <v/>
      </c>
    </row>
    <row r="28" customFormat="false" ht="15" hidden="false" customHeight="false" outlineLevel="0" collapsed="false">
      <c r="A28" s="11"/>
      <c r="B28" s="12"/>
      <c r="C28" s="12"/>
      <c r="D28" s="12"/>
      <c r="E28" s="9" t="str">
        <f aca="false">IF(AND(ISNUMBER(C28),ISNUMBER(D28)),C28-D28,"")</f>
        <v/>
      </c>
      <c r="F28" s="10" t="str">
        <f aca="false">IF(ISNUMBER(E28),E28^2,"")</f>
        <v/>
      </c>
    </row>
    <row r="29" customFormat="false" ht="15" hidden="false" customHeight="false" outlineLevel="0" collapsed="false">
      <c r="A29" s="11"/>
      <c r="B29" s="12"/>
      <c r="C29" s="12"/>
      <c r="D29" s="12"/>
      <c r="E29" s="9" t="str">
        <f aca="false">IF(AND(ISNUMBER(C29),ISNUMBER(D29)),C29-D29,"")</f>
        <v/>
      </c>
      <c r="F29" s="10" t="str">
        <f aca="false">IF(ISNUMBER(E29),E29^2,"")</f>
        <v/>
      </c>
    </row>
    <row r="30" customFormat="false" ht="15" hidden="false" customHeight="false" outlineLevel="0" collapsed="false">
      <c r="A30" s="11"/>
      <c r="B30" s="12"/>
      <c r="C30" s="12"/>
      <c r="D30" s="12"/>
      <c r="E30" s="9" t="str">
        <f aca="false">IF(AND(ISNUMBER(C30),ISNUMBER(D30)),C30-D30,"")</f>
        <v/>
      </c>
      <c r="F30" s="10" t="str">
        <f aca="false">IF(ISNUMBER(E30),E30^2,"")</f>
        <v/>
      </c>
    </row>
    <row r="31" customFormat="false" ht="15" hidden="false" customHeight="false" outlineLevel="0" collapsed="false">
      <c r="A31" s="11"/>
      <c r="B31" s="12"/>
      <c r="C31" s="12"/>
      <c r="D31" s="12"/>
      <c r="E31" s="9" t="str">
        <f aca="false">IF(AND(ISNUMBER(C31),ISNUMBER(D31)),C31-D31,"")</f>
        <v/>
      </c>
      <c r="F31" s="10" t="str">
        <f aca="false">IF(ISNUMBER(E31),E31^2,"")</f>
        <v/>
      </c>
    </row>
    <row r="32" customFormat="false" ht="15" hidden="false" customHeight="false" outlineLevel="0" collapsed="false">
      <c r="A32" s="11"/>
      <c r="B32" s="12"/>
      <c r="C32" s="12"/>
      <c r="D32" s="12"/>
      <c r="E32" s="9" t="str">
        <f aca="false">IF(AND(ISNUMBER(C32),ISNUMBER(D32)),C32-D32,"")</f>
        <v/>
      </c>
      <c r="F32" s="10" t="str">
        <f aca="false">IF(ISNUMBER(E32),E32^2,"")</f>
        <v/>
      </c>
    </row>
    <row r="33" customFormat="false" ht="15" hidden="false" customHeight="false" outlineLevel="0" collapsed="false">
      <c r="A33" s="11"/>
      <c r="B33" s="12"/>
      <c r="C33" s="12"/>
      <c r="D33" s="12"/>
      <c r="E33" s="9" t="str">
        <f aca="false">IF(AND(ISNUMBER(C33),ISNUMBER(D33)),C33-D33,"")</f>
        <v/>
      </c>
      <c r="F33" s="10" t="str">
        <f aca="false">IF(ISNUMBER(E33),E33^2,"")</f>
        <v/>
      </c>
    </row>
    <row r="34" customFormat="false" ht="15" hidden="false" customHeight="false" outlineLevel="0" collapsed="false">
      <c r="A34" s="11"/>
      <c r="B34" s="12"/>
      <c r="C34" s="12"/>
      <c r="D34" s="12"/>
      <c r="E34" s="9" t="str">
        <f aca="false">IF(AND(ISNUMBER(C34),ISNUMBER(D34)),C34-D34,"")</f>
        <v/>
      </c>
      <c r="F34" s="10" t="str">
        <f aca="false">IF(ISNUMBER(E34),E34^2,"")</f>
        <v/>
      </c>
    </row>
    <row r="35" customFormat="false" ht="15" hidden="false" customHeight="false" outlineLevel="0" collapsed="false">
      <c r="A35" s="11"/>
      <c r="B35" s="12"/>
      <c r="C35" s="12"/>
      <c r="D35" s="12"/>
      <c r="E35" s="9" t="str">
        <f aca="false">IF(AND(ISNUMBER(C35),ISNUMBER(D35)),C35-D35,"")</f>
        <v/>
      </c>
      <c r="F35" s="10" t="str">
        <f aca="false">IF(ISNUMBER(E35),E35^2,"")</f>
        <v/>
      </c>
    </row>
    <row r="36" customFormat="false" ht="15" hidden="false" customHeight="false" outlineLevel="0" collapsed="false">
      <c r="A36" s="11"/>
      <c r="B36" s="12"/>
      <c r="C36" s="12"/>
      <c r="D36" s="12"/>
      <c r="E36" s="9" t="str">
        <f aca="false">IF(AND(ISNUMBER(C36),ISNUMBER(D36)),C36-D36,"")</f>
        <v/>
      </c>
      <c r="F36" s="10" t="str">
        <f aca="false">IF(ISNUMBER(E36),E36^2,"")</f>
        <v/>
      </c>
    </row>
    <row r="37" customFormat="false" ht="15" hidden="false" customHeight="false" outlineLevel="0" collapsed="false">
      <c r="A37" s="11"/>
      <c r="B37" s="12"/>
      <c r="C37" s="12"/>
      <c r="D37" s="12"/>
      <c r="E37" s="9" t="str">
        <f aca="false">IF(AND(ISNUMBER(C37),ISNUMBER(D37)),C37-D37,"")</f>
        <v/>
      </c>
      <c r="F37" s="10" t="str">
        <f aca="false">IF(ISNUMBER(E37),E37^2,"")</f>
        <v/>
      </c>
    </row>
    <row r="38" customFormat="false" ht="15" hidden="false" customHeight="false" outlineLevel="0" collapsed="false">
      <c r="A38" s="11"/>
      <c r="B38" s="12"/>
      <c r="C38" s="12"/>
      <c r="D38" s="12"/>
      <c r="E38" s="9" t="str">
        <f aca="false">IF(AND(ISNUMBER(C38),ISNUMBER(D38)),C38-D38,"")</f>
        <v/>
      </c>
      <c r="F38" s="10" t="str">
        <f aca="false">IF(ISNUMBER(E38),E38^2,"")</f>
        <v/>
      </c>
    </row>
    <row r="39" customFormat="false" ht="15" hidden="false" customHeight="false" outlineLevel="0" collapsed="false">
      <c r="A39" s="11"/>
      <c r="B39" s="12"/>
      <c r="C39" s="12"/>
      <c r="D39" s="12"/>
      <c r="E39" s="9" t="str">
        <f aca="false">IF(AND(ISNUMBER(C39),ISNUMBER(D39)),C39-D39,"")</f>
        <v/>
      </c>
      <c r="F39" s="10" t="str">
        <f aca="false">IF(ISNUMBER(E39),E39^2,"")</f>
        <v/>
      </c>
    </row>
    <row r="40" customFormat="false" ht="15" hidden="false" customHeight="false" outlineLevel="0" collapsed="false">
      <c r="A40" s="11"/>
      <c r="B40" s="12"/>
      <c r="C40" s="12"/>
      <c r="D40" s="12"/>
      <c r="E40" s="9" t="str">
        <f aca="false">IF(AND(ISNUMBER(C40),ISNUMBER(D40)),C40-D40,"")</f>
        <v/>
      </c>
      <c r="F40" s="10" t="str">
        <f aca="false">IF(ISNUMBER(E40),E40^2,"")</f>
        <v/>
      </c>
    </row>
    <row r="43" customFormat="false" ht="17.35" hidden="false" customHeight="false" outlineLevel="0" collapsed="false">
      <c r="A43" s="13" t="s">
        <v>22</v>
      </c>
    </row>
    <row r="44" customFormat="false" ht="21.75" hidden="false" customHeight="true" outlineLevel="0" collapsed="false">
      <c r="A44" s="5" t="s">
        <v>15</v>
      </c>
      <c r="B44" s="5" t="s">
        <v>23</v>
      </c>
      <c r="C44" s="5" t="s">
        <v>24</v>
      </c>
    </row>
    <row r="45" customFormat="false" ht="15" hidden="false" customHeight="false" outlineLevel="0" collapsed="false">
      <c r="A45" s="6" t="s">
        <v>21</v>
      </c>
      <c r="B45" s="9" t="n">
        <f aca="false">IFERROR(SQRT(AVERAGEIFS($F$2:$F$40,$A$2:$A$40,$A45)),"")</f>
        <v>0.0793725393319374</v>
      </c>
      <c r="C45" s="9" t="n">
        <f aca="false">IFERROR(AVERAGEIFS($E$2:$E$40,$A$2:$A$40,$A45),"")</f>
        <v>0.0433333333333336</v>
      </c>
    </row>
    <row r="46" customFormat="false" ht="15" hidden="false" customHeight="false" outlineLevel="0" collapsed="false">
      <c r="A46" s="6" t="s">
        <v>25</v>
      </c>
      <c r="B46" s="9" t="str">
        <f aca="false">IFERROR(SQRT(AVERAGEIFS($F$2:$F$40,$A$2:$A$40,$A46)),"")</f>
        <v/>
      </c>
      <c r="C46" s="9" t="str">
        <f aca="false">IFERROR(AVERAGEIFS($E$2:$E$40,$A$2:$A$40,$A46),"")</f>
        <v/>
      </c>
    </row>
    <row r="47" customFormat="false" ht="15" hidden="false" customHeight="false" outlineLevel="0" collapsed="false">
      <c r="A47" s="6" t="s">
        <v>26</v>
      </c>
      <c r="B47" s="9" t="str">
        <f aca="false">IFERROR(SQRT(AVERAGEIFS($F$2:$F$40,$A$2:$A$40,$A47)),"")</f>
        <v/>
      </c>
      <c r="C47" s="9" t="str">
        <f aca="false">IFERROR(AVERAGEIFS($E$2:$E$40,$A$2:$A$40,$A47),"")</f>
        <v/>
      </c>
    </row>
    <row r="49" customFormat="false" ht="15" hidden="false" customHeight="false" outlineLevel="0" collapsed="false">
      <c r="A49" s="14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4"/>
    <col collapsed="false" customWidth="true" hidden="false" outlineLevel="0" max="4" min="3" style="0" width="12"/>
  </cols>
  <sheetData>
    <row r="1" customFormat="false" ht="17.35" hidden="false" customHeight="false" outlineLevel="0" collapsed="false">
      <c r="A1" s="13" t="s">
        <v>28</v>
      </c>
    </row>
    <row r="2" customFormat="false" ht="15" hidden="false" customHeight="false" outlineLevel="0" collapsed="false">
      <c r="A2" s="15" t="s">
        <v>29</v>
      </c>
      <c r="C2" s="16" t="n">
        <v>0</v>
      </c>
    </row>
    <row r="4" customFormat="false" ht="21.75" hidden="false" customHeight="true" outlineLevel="0" collapsed="false">
      <c r="A4" s="5" t="s">
        <v>30</v>
      </c>
      <c r="B4" s="5" t="s">
        <v>31</v>
      </c>
      <c r="C4" s="5" t="s">
        <v>32</v>
      </c>
      <c r="D4" s="5" t="s">
        <v>33</v>
      </c>
    </row>
    <row r="5" customFormat="false" ht="23.85" hidden="false" customHeight="false" outlineLevel="0" collapsed="false">
      <c r="A5" s="17" t="s">
        <v>34</v>
      </c>
      <c r="B5" s="17" t="s">
        <v>35</v>
      </c>
      <c r="C5" s="16" t="n">
        <v>0</v>
      </c>
      <c r="D5" s="18" t="str">
        <f aca="false">IFERROR(C5/$C$2,"")</f>
        <v/>
      </c>
    </row>
    <row r="6" customFormat="false" ht="23.85" hidden="false" customHeight="false" outlineLevel="0" collapsed="false">
      <c r="A6" s="17" t="s">
        <v>36</v>
      </c>
      <c r="B6" s="17" t="s">
        <v>37</v>
      </c>
      <c r="C6" s="16" t="n">
        <v>0</v>
      </c>
      <c r="D6" s="18" t="str">
        <f aca="false">IFERROR(C6/$C$2,"")</f>
        <v/>
      </c>
    </row>
    <row r="7" customFormat="false" ht="23.85" hidden="false" customHeight="false" outlineLevel="0" collapsed="false">
      <c r="A7" s="17" t="s">
        <v>38</v>
      </c>
      <c r="B7" s="17" t="s">
        <v>39</v>
      </c>
      <c r="C7" s="16" t="n">
        <v>0</v>
      </c>
      <c r="D7" s="18" t="str">
        <f aca="false">IFERROR(C7/$C$2,"")</f>
        <v/>
      </c>
    </row>
    <row r="8" customFormat="false" ht="23.85" hidden="false" customHeight="false" outlineLevel="0" collapsed="false">
      <c r="A8" s="17" t="s">
        <v>40</v>
      </c>
      <c r="B8" s="17" t="s">
        <v>41</v>
      </c>
      <c r="C8" s="16" t="n">
        <v>0</v>
      </c>
      <c r="D8" s="18" t="str">
        <f aca="false">IFERROR(C8/$C$2,"")</f>
        <v/>
      </c>
    </row>
    <row r="9" customFormat="false" ht="23.85" hidden="false" customHeight="false" outlineLevel="0" collapsed="false">
      <c r="A9" s="17" t="s">
        <v>42</v>
      </c>
      <c r="B9" s="17" t="s">
        <v>43</v>
      </c>
      <c r="C9" s="16" t="n">
        <v>0</v>
      </c>
      <c r="D9" s="18" t="str">
        <f aca="false">IFERROR(C9/$C$2,"")</f>
        <v/>
      </c>
    </row>
    <row r="11" customFormat="false" ht="15" hidden="false" customHeight="false" outlineLevel="0" collapsed="false">
      <c r="A11" s="14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8"/>
  </cols>
  <sheetData>
    <row r="1" customFormat="false" ht="17.35" hidden="false" customHeight="false" outlineLevel="0" collapsed="false">
      <c r="A1" s="1" t="s">
        <v>45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46</v>
      </c>
    </row>
    <row r="4" customFormat="false" ht="35.05" hidden="false" customHeight="false" outlineLevel="0" collapsed="false">
      <c r="A4" s="2" t="s">
        <v>47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48</v>
      </c>
    </row>
    <row r="7" customFormat="false" ht="15" hidden="false" customHeight="false" outlineLevel="0" collapsed="false">
      <c r="A7" s="2" t="s">
        <v>49</v>
      </c>
    </row>
    <row r="8" customFormat="false" ht="15" hidden="false" customHeight="false" outlineLevel="0" collapsed="false">
      <c r="A8" s="2" t="s">
        <v>50</v>
      </c>
    </row>
    <row r="9" customFormat="false" ht="15" hidden="false" customHeight="false" outlineLevel="0" collapsed="false">
      <c r="A9" s="2" t="s">
        <v>51</v>
      </c>
    </row>
    <row r="10" customFormat="false" ht="15" hidden="false" customHeight="false" outlineLevel="0" collapsed="false">
      <c r="A10" s="2" t="s">
        <v>52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53</v>
      </c>
    </row>
    <row r="13" customFormat="false" ht="15" hidden="false" customHeight="false" outlineLevel="0" collapsed="false">
      <c r="A13" s="19" t="s">
        <v>54</v>
      </c>
    </row>
    <row r="14" customFormat="false" ht="15" hidden="false" customHeight="false" outlineLevel="0" collapsed="false">
      <c r="A14" s="19" t="s">
        <v>55</v>
      </c>
    </row>
    <row r="15" customFormat="false" ht="15" hidden="false" customHeight="false" outlineLevel="0" collapsed="false">
      <c r="A15" s="19" t="s">
        <v>56</v>
      </c>
    </row>
    <row r="16" customFormat="false" ht="15" hidden="false" customHeight="false" outlineLevel="0" collapsed="false">
      <c r="A16" s="19" t="s">
        <v>57</v>
      </c>
    </row>
    <row r="17" customFormat="false" ht="15" hidden="false" customHeight="false" outlineLevel="0" collapsed="false">
      <c r="A17" s="19" t="s">
        <v>58</v>
      </c>
    </row>
    <row r="18" customFormat="false" ht="15" hidden="false" customHeight="false" outlineLevel="0" collapsed="false">
      <c r="A18" s="19" t="s">
        <v>59</v>
      </c>
    </row>
    <row r="19" customFormat="false" ht="15" hidden="false" customHeight="false" outlineLevel="0" collapsed="false">
      <c r="A19" s="19" t="s">
        <v>60</v>
      </c>
    </row>
    <row r="20" customFormat="false" ht="15" hidden="false" customHeight="false" outlineLevel="0" collapsed="false">
      <c r="A20" s="19" t="s">
        <v>61</v>
      </c>
    </row>
    <row r="21" customFormat="false" ht="15" hidden="false" customHeight="false" outlineLevel="0" collapsed="false">
      <c r="A21" s="19" t="s">
        <v>62</v>
      </c>
    </row>
    <row r="22" customFormat="false" ht="15" hidden="false" customHeight="false" outlineLevel="0" collapsed="false">
      <c r="A22" s="19" t="s">
        <v>63</v>
      </c>
    </row>
    <row r="23" customFormat="false" ht="15" hidden="false" customHeight="false" outlineLevel="0" collapsed="false">
      <c r="A23" s="19" t="s">
        <v>64</v>
      </c>
    </row>
    <row r="24" customFormat="false" ht="15" hidden="false" customHeight="false" outlineLevel="0" collapsed="false">
      <c r="A24" s="19" t="s">
        <v>65</v>
      </c>
    </row>
    <row r="26" customFormat="false" ht="15" hidden="false" customHeight="false" outlineLevel="0" collapsed="false">
      <c r="A26" s="4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2026-08-06T20:42:40Z</dcterms:created>
  <dc:creator>openpyxl</dc:creator>
  <dc:description/>
  <dc:language>en-US</dc:language>
  <cp:lastModifiedBy/>
  <dcterms:modified xsi:type="dcterms:W3CDTF">2026-08-06T20:42:40Z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