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defaultThemeVersion="202300"/>
  <mc:AlternateContent xmlns:mc="http://schemas.openxmlformats.org/markup-compatibility/2006">
    <mc:Choice Requires="x15">
      <x15ac:absPath xmlns:x15ac="http://schemas.microsoft.com/office/spreadsheetml/2010/11/ac" url="/Users/pzuermg/Documents/Free_Lance_Projects/TNC_filtration_model/"/>
    </mc:Choice>
  </mc:AlternateContent>
  <xr:revisionPtr revIDLastSave="0" documentId="13_ncr:1_{F69A4930-958F-E74F-B6EA-A10DCA614F0C}" xr6:coauthVersionLast="47" xr6:coauthVersionMax="47" xr10:uidLastSave="{00000000-0000-0000-0000-000000000000}"/>
  <bookViews>
    <workbookView xWindow="140" yWindow="920" windowWidth="30240" windowHeight="13500" activeTab="1" xr2:uid="{4524DFD7-3AE3-A24A-B6DE-70A1E37A7C23}"/>
  </bookViews>
  <sheets>
    <sheet name="How to use" sheetId="21" r:id="rId1"/>
    <sheet name="Filtration_calculator" sheetId="4" r:id="rId2"/>
    <sheet name="length-weight_conversions" sheetId="19" r:id="rId3"/>
    <sheet name="Final_equations" sheetId="3" r:id="rId4"/>
    <sheet name="References" sheetId="20"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13" i="3" l="1"/>
  <c r="B11" i="3" l="1"/>
  <c r="E2" i="19"/>
  <c r="C10" i="20" l="1"/>
  <c r="C9" i="20"/>
  <c r="C7" i="20"/>
  <c r="C6" i="20"/>
  <c r="C2" i="20"/>
  <c r="B6" i="3"/>
  <c r="B5" i="3"/>
  <c r="B8" i="3"/>
  <c r="B12" i="3"/>
  <c r="B3" i="3"/>
  <c r="B9" i="3"/>
  <c r="B2" i="4"/>
  <c r="F2" i="4"/>
  <c r="B4" i="3"/>
  <c r="H2" i="4" l="1"/>
  <c r="I2" i="4" s="1"/>
</calcChain>
</file>

<file path=xl/sharedStrings.xml><?xml version="1.0" encoding="utf-8"?>
<sst xmlns="http://schemas.openxmlformats.org/spreadsheetml/2006/main" count="115" uniqueCount="97">
  <si>
    <t>Species</t>
  </si>
  <si>
    <t>Reference</t>
  </si>
  <si>
    <t>Shell height (mm)</t>
  </si>
  <si>
    <t>Number of bivalves</t>
  </si>
  <si>
    <t>Filtration (L/h)</t>
  </si>
  <si>
    <t>Mytilus edulis</t>
  </si>
  <si>
    <t>Notes</t>
  </si>
  <si>
    <t>Mondal_etal.2005</t>
  </si>
  <si>
    <t>Yukihira et al. 1998b</t>
  </si>
  <si>
    <t>Yuanshao_etal.2002</t>
  </si>
  <si>
    <t>Yoon Kang et al. 2006</t>
  </si>
  <si>
    <t>Ibarrola et al. 2026</t>
  </si>
  <si>
    <t>CR=(4.825-(0.013*(Temp-18.954)^2))*W^0.439</t>
  </si>
  <si>
    <t>Bougrier et al. 1995</t>
  </si>
  <si>
    <t>Haure et al 1998</t>
  </si>
  <si>
    <t>Temperature ©</t>
  </si>
  <si>
    <t>Filtration rate (L) per individual per hour</t>
  </si>
  <si>
    <t>CR formula</t>
  </si>
  <si>
    <t>Patinopecten yessoensis</t>
  </si>
  <si>
    <t>Crassostrea gigas</t>
  </si>
  <si>
    <t>Saccostrea glomerata</t>
  </si>
  <si>
    <t>Pinctada fucata</t>
  </si>
  <si>
    <t>Pinctada maxima</t>
  </si>
  <si>
    <t>Mytilus galloprovincialis</t>
  </si>
  <si>
    <t>Ruditapes decussatus</t>
  </si>
  <si>
    <t>Ruditapes philippinarum</t>
  </si>
  <si>
    <t>Pinctada imbricata</t>
  </si>
  <si>
    <t>Crassostrea rhizophorae</t>
  </si>
  <si>
    <t>Ostrea angasi</t>
  </si>
  <si>
    <t>Perna viridis</t>
  </si>
  <si>
    <t>Mytilus chilensis</t>
  </si>
  <si>
    <t>Clearance_rate_formula</t>
  </si>
  <si>
    <t>Length-weight conversion(mm to g dry tissue weight)</t>
  </si>
  <si>
    <t>Location</t>
  </si>
  <si>
    <t>Season</t>
  </si>
  <si>
    <t>No CR formula available</t>
  </si>
  <si>
    <t>DTW (g)</t>
  </si>
  <si>
    <t>Formula_in_full</t>
  </si>
  <si>
    <t>Filtration m3/day</t>
  </si>
  <si>
    <t>Rennie et al. 2024</t>
  </si>
  <si>
    <t>Yuanshao_etal.2002 and Rennie et al. 2024</t>
  </si>
  <si>
    <t>Allometric relationship from Yuanshao_etal.2002, temperature relationship derived from least squares, data extracted from Figure 1, Rennie et al. 2024</t>
  </si>
  <si>
    <t>fitted to the CR values from the lowest concentration of SPM for each temperature. NB: the lowest SPMs are not the same at all temperatures</t>
  </si>
  <si>
    <t>CR=16.34*EXP(-0.0152*(T-28.6)^2 )*DTW^0.608</t>
  </si>
  <si>
    <t>CR = 2.54 * exp( -0.00411 * (T - 27.9)^2 ) * W^0.792</t>
  </si>
  <si>
    <t>NB: please select or input data in columns indicated in bold.</t>
  </si>
  <si>
    <t>Equation as given in the reference</t>
  </si>
  <si>
    <t>O. edulis used as proxy: CR=(0.162+(0.072*1.131^Temp))*DW^0.622</t>
  </si>
  <si>
    <t>CR = 7.38 * exp( -0.00246 * (T - 18.5)^2 ) * W</t>
  </si>
  <si>
    <t>Using an allometric relationship of 1, which is based on wet weight</t>
  </si>
  <si>
    <t>CR = 7.475 * exp( -0.00473 * (T - 29.1)^2 ) * W^(0.75)</t>
  </si>
  <si>
    <t>Mondal provides separate fits of filtration rate versus dry tissue weight at five temperatures. These fits have exponents, b ~ 0.75, that are almost independent of temperature. Therefore, we fixed this exponent and adjusted the amplitude such that the filtration rate at the average dry tissue weight across samples matched the original fit.</t>
  </si>
  <si>
    <t>Where the relationship between clearance rate and temperature has been fitted to extracted data, the logarithm of the amplitude was fitted as a quadratic function of temperature using a least squares fitting procedure in python to generate a model with the following terms: a * exp( b * (T - c)^2 ), where a is....</t>
  </si>
  <si>
    <t>Yukihira et al. 1998a and Yukihira et al. 1998b</t>
  </si>
  <si>
    <t>CR = 13.1 * exp( -0.0099 * (T - 28.3)^2 ) * W^0.617</t>
  </si>
  <si>
    <t>Citation</t>
  </si>
  <si>
    <t>Full reference</t>
  </si>
  <si>
    <t>Yukihira et al. 1998a</t>
  </si>
  <si>
    <t>Bougrier, S., Geairon, P., Deslous-Paoli, J. M., Bacher, C., &amp; Jonquières, G. (1995). Allometric relationships and effects of temperature on clearance and oxygen consumption rates of Crassostrea gigas (Thunberg). Aquaculture, 134(1-2), 143-154.</t>
  </si>
  <si>
    <r>
      <t>Yuanshoa, L., Wenxin, L., Wenqing, C., Donghui, G., Airong, Z., &amp; Changjiang, H. (2002). Studies on filtration rate in four species of suspension feeding bivalves. </t>
    </r>
    <r>
      <rPr>
        <i/>
        <sz val="13"/>
        <color rgb="FF222222"/>
        <rFont val="Arial"/>
        <family val="2"/>
      </rPr>
      <t>Acta oceanologica sinica</t>
    </r>
    <r>
      <rPr>
        <sz val="13"/>
        <color rgb="FF222222"/>
        <rFont val="Arial"/>
        <family val="2"/>
      </rPr>
      <t>, </t>
    </r>
    <r>
      <rPr>
        <i/>
        <sz val="13"/>
        <color rgb="FF222222"/>
        <rFont val="Arial"/>
        <family val="2"/>
      </rPr>
      <t>21</t>
    </r>
    <r>
      <rPr>
        <sz val="13"/>
        <color rgb="FF222222"/>
        <rFont val="Arial"/>
        <family val="2"/>
      </rPr>
      <t>(1), 147-155.</t>
    </r>
  </si>
  <si>
    <t>https://www.researchgate.net/profile/Guo-Donghui-2/publication/286722346_Studies_on_filtration_rate_in_four_species_of_suspension_feeding_bivalves/links/5786782008aec5c2e4e2ef1c/Studies-on-filtration-rate-in-four-species-of-suspension-feeding-bivalves.pdf</t>
  </si>
  <si>
    <t>Link</t>
  </si>
  <si>
    <r>
      <t>Rennie, B., Nowland, S. J., Cooke, I. R., &amp; Strugnell, J. M. (2024). Filtration rate and bioremediatory potential of the tropical blacklip rock oyster Saccostrea lineage J. </t>
    </r>
    <r>
      <rPr>
        <i/>
        <sz val="13"/>
        <color rgb="FF222222"/>
        <rFont val="Arial"/>
        <family val="2"/>
      </rPr>
      <t>Aquaculture Environment Interactions</t>
    </r>
    <r>
      <rPr>
        <sz val="13"/>
        <color rgb="FF222222"/>
        <rFont val="Arial"/>
        <family val="2"/>
      </rPr>
      <t>, </t>
    </r>
    <r>
      <rPr>
        <i/>
        <sz val="13"/>
        <color rgb="FF222222"/>
        <rFont val="Arial"/>
        <family val="2"/>
      </rPr>
      <t>16</t>
    </r>
    <r>
      <rPr>
        <sz val="13"/>
        <color rgb="FF222222"/>
        <rFont val="Arial"/>
        <family val="2"/>
      </rPr>
      <t>, 133-144.</t>
    </r>
  </si>
  <si>
    <t>https://www.int-res.com/articles/aei2024/16/q016p133.pdf</t>
  </si>
  <si>
    <r>
      <t>Mondal, S. K. (2006). Effect of temperature and body size on food utilization in the marine pearl oyster Pinctada fucata (Bivalvia: Pteridae). </t>
    </r>
    <r>
      <rPr>
        <i/>
        <sz val="13"/>
        <color rgb="FF222222"/>
        <rFont val="Arial"/>
        <family val="2"/>
      </rPr>
      <t>Indian Journal of Marine Sciences</t>
    </r>
    <r>
      <rPr>
        <sz val="13"/>
        <color rgb="FF222222"/>
        <rFont val="Arial"/>
        <family val="2"/>
      </rPr>
      <t>, </t>
    </r>
    <r>
      <rPr>
        <i/>
        <sz val="13"/>
        <color rgb="FF222222"/>
        <rFont val="Arial"/>
        <family val="2"/>
      </rPr>
      <t>35</t>
    </r>
    <r>
      <rPr>
        <sz val="13"/>
        <color rgb="FF222222"/>
        <rFont val="Arial"/>
        <family val="2"/>
      </rPr>
      <t>(1), 43-49.</t>
    </r>
  </si>
  <si>
    <t>http://eprints.cmfri.org.in/9905/1/IJMS_35%281%29_43-49_Mondal.pdf</t>
  </si>
  <si>
    <r>
      <t>Yukihira, H., Klumpp, D. W., &amp; Lucas, J. S. (1998). Effects of body size on suspension feeding and energy budgets of the pearl oysters Pinctada margaritifera and P. maxima. </t>
    </r>
    <r>
      <rPr>
        <i/>
        <sz val="13"/>
        <color rgb="FF222222"/>
        <rFont val="Arial"/>
        <family val="2"/>
      </rPr>
      <t>Marine Ecology Progress Series</t>
    </r>
    <r>
      <rPr>
        <sz val="13"/>
        <color rgb="FF222222"/>
        <rFont val="Arial"/>
        <family val="2"/>
      </rPr>
      <t>, </t>
    </r>
    <r>
      <rPr>
        <i/>
        <sz val="13"/>
        <color rgb="FF222222"/>
        <rFont val="Arial"/>
        <family val="2"/>
      </rPr>
      <t>170</t>
    </r>
    <r>
      <rPr>
        <sz val="13"/>
        <color rgb="FF222222"/>
        <rFont val="Arial"/>
        <family val="2"/>
      </rPr>
      <t>, 119-130.</t>
    </r>
  </si>
  <si>
    <r>
      <t>Yukihira, H., Lucas, J. S., &amp; Klumpp, D. W. (2000). Comparative effects of temperature on suspension feeding and energy budgets of the pearl oysters Pinctada margaritifera and P. maxima. </t>
    </r>
    <r>
      <rPr>
        <i/>
        <sz val="13"/>
        <color rgb="FF222222"/>
        <rFont val="Arial"/>
        <family val="2"/>
      </rPr>
      <t>Marine Ecology Progress Series</t>
    </r>
    <r>
      <rPr>
        <sz val="13"/>
        <color rgb="FF222222"/>
        <rFont val="Arial"/>
        <family val="2"/>
      </rPr>
      <t>, </t>
    </r>
    <r>
      <rPr>
        <i/>
        <sz val="13"/>
        <color rgb="FF222222"/>
        <rFont val="Arial"/>
        <family val="2"/>
      </rPr>
      <t>195</t>
    </r>
    <r>
      <rPr>
        <sz val="13"/>
        <color rgb="FF222222"/>
        <rFont val="Arial"/>
        <family val="2"/>
      </rPr>
      <t>, 179-188.</t>
    </r>
  </si>
  <si>
    <r>
      <t>Ibarrola, I., Pérez-Cebrecos, M., Antolín, C., Prieto, D., Urrutxurtu, I., Urrutia, M. B., ... &amp; Navarro, E. (2026). Energetic scaling mechanisms underlying family growth variation in Ruditapes decussatus. </t>
    </r>
    <r>
      <rPr>
        <i/>
        <sz val="13"/>
        <color rgb="FF222222"/>
        <rFont val="Arial"/>
        <family val="2"/>
      </rPr>
      <t>Marine Environmental Research</t>
    </r>
    <r>
      <rPr>
        <sz val="13"/>
        <color rgb="FF222222"/>
        <rFont val="Arial"/>
        <family val="2"/>
      </rPr>
      <t>, 108237.</t>
    </r>
  </si>
  <si>
    <t>10.1016/j.marenvres.2026.108237</t>
  </si>
  <si>
    <r>
      <t>Kang, H. Y., Lee, Y. J., Choi, K. S., Park, H. J., Yun, S. G., &amp; Kang, C. K. (2016). Combined effects of temperature and seston concentration on the physiological energetics of the Manila clam Ruditapes philippinarum. </t>
    </r>
    <r>
      <rPr>
        <i/>
        <sz val="13"/>
        <color rgb="FF222222"/>
        <rFont val="Arial"/>
        <family val="2"/>
      </rPr>
      <t>PLoS One</t>
    </r>
    <r>
      <rPr>
        <sz val="13"/>
        <color rgb="FF222222"/>
        <rFont val="Arial"/>
        <family val="2"/>
      </rPr>
      <t>, </t>
    </r>
    <r>
      <rPr>
        <i/>
        <sz val="13"/>
        <color rgb="FF222222"/>
        <rFont val="Arial"/>
        <family val="2"/>
      </rPr>
      <t>11</t>
    </r>
    <r>
      <rPr>
        <sz val="13"/>
        <color rgb="FF222222"/>
        <rFont val="Arial"/>
        <family val="2"/>
      </rPr>
      <t>(3), e0152427.</t>
    </r>
  </si>
  <si>
    <r>
      <t>Haure, J., Penisson, C., Bougrier, S., &amp; Baud, J. P. (1998). Influence of temperature on clearance and oxygen consumption rates of the flat oyster Ostrea edulis: determination of allometric coefficients. </t>
    </r>
    <r>
      <rPr>
        <i/>
        <sz val="13"/>
        <color rgb="FF222222"/>
        <rFont val="Arial"/>
        <family val="2"/>
      </rPr>
      <t>Aquaculture</t>
    </r>
    <r>
      <rPr>
        <sz val="13"/>
        <color rgb="FF222222"/>
        <rFont val="Arial"/>
        <family val="2"/>
      </rPr>
      <t>, </t>
    </r>
    <r>
      <rPr>
        <i/>
        <sz val="13"/>
        <color rgb="FF222222"/>
        <rFont val="Arial"/>
        <family val="2"/>
      </rPr>
      <t>169</t>
    </r>
    <r>
      <rPr>
        <sz val="13"/>
        <color rgb="FF222222"/>
        <rFont val="Arial"/>
        <family val="2"/>
      </rPr>
      <t>(3-4), 211-224.</t>
    </r>
  </si>
  <si>
    <t>Length-weight conversion (mm to g dry tissue weight)</t>
  </si>
  <si>
    <t>Welcome to the TNC Filtration Services estimator tool.</t>
  </si>
  <si>
    <t>Important caveats</t>
  </si>
  <si>
    <t xml:space="preserve"> There are a number of caveats as to how the "volume of water cleared" should be interpreted. Please be mindful of the fact that these estimates are a best case scenario derived only on water temperature and bivalve size alone and do not account for: particle size, salinity, particulate matter concentration, water flow rate, pollutant concentrations, diurnal variability; all of which may negatively affect the clearance rate. Furthermore, this tool does not account for re-filtration of water, and assumes a perfectly mixed water column.</t>
  </si>
  <si>
    <t>This tool is designed to allow growers to estimate the potential maximum volume of water cleared by the bivalves being grown on site.</t>
  </si>
  <si>
    <t>Open the "Filtration_calculator" tab and select the species of interest from the drop down menu in the left most column.</t>
  </si>
  <si>
    <t>Instructions</t>
  </si>
  <si>
    <t>Enter your mean shell height into the yellow cell. The form will automatically fill in an estimated dry tissue weight for the inputted shell height.</t>
  </si>
  <si>
    <t>Enter your water temperature into the green cell. The estimated volume of water cleared will be automatically generated.</t>
  </si>
  <si>
    <t>To account for different size classes of bivalves, these can be entered independently (size and number of individuals), and the totals summed.</t>
  </si>
  <si>
    <t>equation</t>
  </si>
  <si>
    <t>(DW/g) = -0.451 + 0.0186 * (L/mm)</t>
  </si>
  <si>
    <r>
      <t>Sroczyńska, K., Barroso, G., &amp; Chícharo, L. (2012). In situ effective clearance rate measurement of mangrove oysters (Crassostrea rhizophorae) in a tropical estuary in Brazil. </t>
    </r>
    <r>
      <rPr>
        <i/>
        <sz val="13"/>
        <color rgb="FF222222"/>
        <rFont val="Arial"/>
        <family val="2"/>
      </rPr>
      <t>Ecohydrology &amp; Hydrobiology</t>
    </r>
    <r>
      <rPr>
        <sz val="13"/>
        <color rgb="FF222222"/>
        <rFont val="Arial"/>
        <family val="2"/>
      </rPr>
      <t>, </t>
    </r>
    <r>
      <rPr>
        <i/>
        <sz val="13"/>
        <color rgb="FF222222"/>
        <rFont val="Arial"/>
        <family val="2"/>
      </rPr>
      <t>12</t>
    </r>
    <r>
      <rPr>
        <sz val="13"/>
        <color rgb="FF222222"/>
        <rFont val="Arial"/>
        <family val="2"/>
      </rPr>
      <t>(4), 301-310.</t>
    </r>
  </si>
  <si>
    <t>Sroczyńska et al. 2012</t>
  </si>
  <si>
    <t>10.2478/v10104-012-0024-0</t>
  </si>
  <si>
    <t>June (dry season)</t>
  </si>
  <si>
    <t>Aracruz, ES, Brazil</t>
  </si>
  <si>
    <t> Crassostrea rhizophorae</t>
  </si>
  <si>
    <t>Madrigal et al. 1985</t>
  </si>
  <si>
    <t>For this species we have the potential to also build in salinity</t>
  </si>
  <si>
    <t>CR = 5.04 * exp( -0.0454 * (T - 29.3)^2 ) * DW^0.764</t>
  </si>
  <si>
    <t>Madrigal Castro, E., Pacheco Urpí, O., Zamora Madriz, E., Quesada Quesada, R., &amp; Alfaro-Montoya, J. (1985). Tasa de filtración del ostión de manglar,(Crassostrea rhizophorae, Guilding 1828), a diferentes salinidades y temperaturas.</t>
  </si>
  <si>
    <t>https://repositorio.una.ac.cr/server/api/core/bitstreams/02f6de5d-8386-4396-8593-9ed6d8d50b9d/content</t>
  </si>
  <si>
    <t>CR may become available</t>
  </si>
  <si>
    <t>CR = 0.000075 * (T + 11.65) * (L/mm)^2   l per hr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</si>
</sst>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2"/>
      <color theme="1"/>
      <name val="Aptos Narrow"/>
      <family val="2"/>
      <scheme val="minor"/>
    </font>
    <font>
      <sz val="12"/>
      <color rgb="FF000000"/>
      <name val="Helvetica"/>
      <family val="2"/>
    </font>
    <font>
      <sz val="12"/>
      <color theme="1"/>
      <name val="Helvetica"/>
      <family val="2"/>
    </font>
    <font>
      <sz val="12"/>
      <color theme="1"/>
      <name val="Aptos"/>
    </font>
    <font>
      <i/>
      <sz val="12"/>
      <color theme="1"/>
      <name val="Aptos"/>
    </font>
    <font>
      <b/>
      <sz val="12"/>
      <color theme="1"/>
      <name val="Aptos Narrow"/>
      <scheme val="minor"/>
    </font>
    <font>
      <sz val="12"/>
      <color rgb="FF000000"/>
      <name val="Aptos Narrow"/>
      <family val="2"/>
      <scheme val="minor"/>
    </font>
    <font>
      <i/>
      <sz val="12"/>
      <color theme="1"/>
      <name val="Aptos Narrow"/>
      <scheme val="minor"/>
    </font>
    <font>
      <sz val="13"/>
      <color rgb="FF222222"/>
      <name val="Arial"/>
      <family val="2"/>
    </font>
    <font>
      <i/>
      <sz val="13"/>
      <color rgb="FF222222"/>
      <name val="Arial"/>
      <family val="2"/>
    </font>
    <font>
      <u/>
      <sz val="12"/>
      <color theme="10"/>
      <name val="Aptos Narrow"/>
      <family val="2"/>
      <scheme val="minor"/>
    </font>
  </fonts>
  <fills count="4">
    <fill>
      <patternFill patternType="none"/>
    </fill>
    <fill>
      <patternFill patternType="gray125"/>
    </fill>
    <fill>
      <patternFill patternType="solid">
        <fgColor rgb="FFFFFF00"/>
        <bgColor indexed="64"/>
      </patternFill>
    </fill>
    <fill>
      <patternFill patternType="solid">
        <fgColor theme="9" tint="0.39997558519241921"/>
        <bgColor indexed="64"/>
      </patternFill>
    </fill>
  </fills>
  <borders count="2">
    <border>
      <left/>
      <right/>
      <top/>
      <bottom/>
      <diagonal/>
    </border>
    <border>
      <left style="medium">
        <color indexed="64"/>
      </left>
      <right style="medium">
        <color indexed="64"/>
      </right>
      <top style="medium">
        <color indexed="64"/>
      </top>
      <bottom style="medium">
        <color indexed="64"/>
      </bottom>
      <diagonal/>
    </border>
  </borders>
  <cellStyleXfs count="2">
    <xf numFmtId="0" fontId="0" fillId="0" borderId="0"/>
    <xf numFmtId="0" fontId="10" fillId="0" borderId="0" applyNumberFormat="0" applyFill="0" applyBorder="0" applyAlignment="0" applyProtection="0"/>
  </cellStyleXfs>
  <cellXfs count="12">
    <xf numFmtId="0" fontId="0" fillId="0" borderId="0" xfId="0"/>
    <xf numFmtId="0" fontId="2" fillId="0" borderId="0" xfId="0" applyFont="1"/>
    <xf numFmtId="0" fontId="1" fillId="0" borderId="0" xfId="0" applyFont="1"/>
    <xf numFmtId="0" fontId="4" fillId="0" borderId="0" xfId="0" applyFont="1" applyAlignment="1">
      <alignment vertical="center"/>
    </xf>
    <xf numFmtId="0" fontId="5" fillId="0" borderId="0" xfId="0" applyFont="1"/>
    <xf numFmtId="0" fontId="3" fillId="0" borderId="0" xfId="0" applyFont="1" applyAlignment="1">
      <alignment vertical="center"/>
    </xf>
    <xf numFmtId="0" fontId="6" fillId="0" borderId="0" xfId="0" applyFont="1"/>
    <xf numFmtId="0" fontId="7" fillId="0" borderId="0" xfId="0" applyFont="1"/>
    <xf numFmtId="0" fontId="0" fillId="2" borderId="1" xfId="0" applyFill="1" applyBorder="1"/>
    <xf numFmtId="0" fontId="0" fillId="3" borderId="1" xfId="0" applyFill="1" applyBorder="1"/>
    <xf numFmtId="0" fontId="8" fillId="0" borderId="0" xfId="0" applyFont="1"/>
    <xf numFmtId="0" fontId="10" fillId="0" borderId="0" xfId="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xml version="1.0" encoding="UTF-8" standalone="yes"?>
<Relationships xmlns="http://schemas.openxmlformats.org/package/2006/relationships"><Relationship Id="rId2" Type="http://schemas.openxmlformats.org/officeDocument/2006/relationships/hyperlink" Target="https://doi.org/10.2478/v10104-012-0024-0" TargetMode="External"/><Relationship Id="rId1" Type="http://schemas.openxmlformats.org/officeDocument/2006/relationships/hyperlink" Target="https://doi.org/10.1016/j.marenvres.2026.10823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6E48E-7BF1-2943-A195-E1F668C1711F}">
  <dimension ref="A1:A10"/>
  <sheetViews>
    <sheetView topLeftCell="A3" workbookViewId="0">
      <selection activeCell="A8" sqref="A8"/>
    </sheetView>
  </sheetViews>
  <sheetFormatPr baseColWidth="10" defaultRowHeight="16" x14ac:dyDescent="0.2"/>
  <sheetData>
    <row r="1" spans="1:1" x14ac:dyDescent="0.2">
      <c r="A1" t="s">
        <v>73</v>
      </c>
    </row>
    <row r="2" spans="1:1" x14ac:dyDescent="0.2">
      <c r="A2" t="s">
        <v>76</v>
      </c>
    </row>
    <row r="4" spans="1:1" x14ac:dyDescent="0.2">
      <c r="A4" t="s">
        <v>78</v>
      </c>
    </row>
    <row r="5" spans="1:1" x14ac:dyDescent="0.2">
      <c r="A5" t="s">
        <v>77</v>
      </c>
    </row>
    <row r="6" spans="1:1" x14ac:dyDescent="0.2">
      <c r="A6" t="s">
        <v>79</v>
      </c>
    </row>
    <row r="7" spans="1:1" x14ac:dyDescent="0.2">
      <c r="A7" t="s">
        <v>80</v>
      </c>
    </row>
    <row r="8" spans="1:1" x14ac:dyDescent="0.2">
      <c r="A8" t="s">
        <v>81</v>
      </c>
    </row>
    <row r="9" spans="1:1" x14ac:dyDescent="0.2">
      <c r="A9" s="4" t="s">
        <v>74</v>
      </c>
    </row>
    <row r="10" spans="1:1" x14ac:dyDescent="0.2">
      <c r="A10" t="s">
        <v>75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4FA4C-AA4A-434F-BEEF-985EBDDC1BD8}">
  <dimension ref="A1:K2"/>
  <sheetViews>
    <sheetView tabSelected="1" workbookViewId="0">
      <selection activeCell="A2" sqref="A2"/>
    </sheetView>
  </sheetViews>
  <sheetFormatPr baseColWidth="10" defaultRowHeight="16" x14ac:dyDescent="0.2"/>
  <cols>
    <col min="1" max="1" width="23.1640625" bestFit="1" customWidth="1"/>
    <col min="2" max="2" width="43" bestFit="1" customWidth="1"/>
    <col min="3" max="3" width="15" bestFit="1" customWidth="1"/>
    <col min="4" max="4" width="15" customWidth="1"/>
    <col min="5" max="5" width="19.33203125" customWidth="1"/>
    <col min="6" max="6" width="33.6640625" bestFit="1" customWidth="1"/>
    <col min="7" max="7" width="16.5" bestFit="1" customWidth="1"/>
    <col min="8" max="8" width="12.83203125" bestFit="1" customWidth="1"/>
  </cols>
  <sheetData>
    <row r="1" spans="1:11" ht="17" thickBot="1" x14ac:dyDescent="0.25">
      <c r="A1" s="4" t="s">
        <v>0</v>
      </c>
      <c r="B1" t="s">
        <v>31</v>
      </c>
      <c r="C1" s="4" t="s">
        <v>2</v>
      </c>
      <c r="D1" t="s">
        <v>36</v>
      </c>
      <c r="E1" s="4" t="s">
        <v>15</v>
      </c>
      <c r="F1" t="s">
        <v>16</v>
      </c>
      <c r="G1" t="s">
        <v>3</v>
      </c>
      <c r="H1" t="s">
        <v>4</v>
      </c>
      <c r="I1" t="s">
        <v>38</v>
      </c>
      <c r="K1" t="s">
        <v>45</v>
      </c>
    </row>
    <row r="2" spans="1:11" ht="17" thickBot="1" x14ac:dyDescent="0.25">
      <c r="A2" s="7" t="s">
        <v>5</v>
      </c>
      <c r="B2" t="str">
        <f>VLOOKUP(A2,Final_equations!A:C,3,FALSE)</f>
        <v>CR = 0.000075 * (T + 11.65) * (L/mm)^2   l per hr</v>
      </c>
      <c r="C2" s="8">
        <v>50</v>
      </c>
      <c r="D2">
        <v>1</v>
      </c>
      <c r="E2" s="9">
        <v>30</v>
      </c>
      <c r="F2">
        <f>VLOOKUP(A2,Final_equations!A:B,2,FALSE)</f>
        <v>7.8093749999999993</v>
      </c>
      <c r="G2">
        <v>10000</v>
      </c>
      <c r="H2">
        <f>F2*G2</f>
        <v>78093.75</v>
      </c>
      <c r="I2">
        <f>H2/1000*24</f>
        <v>1874.25</v>
      </c>
    </row>
  </sheetData>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1">
        <x14:dataValidation type="list" allowBlank="1" showInputMessage="1" showErrorMessage="1" xr:uid="{3695E807-2BCC-8241-87F6-1806B3929A7D}">
          <x14:formula1>
            <xm:f>Final_equations!$A$2:$A$15</xm:f>
          </x14:formula1>
          <xm:sqref>A2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0AC66F-7193-E948-864C-69260C6BDA23}">
  <dimension ref="A1:F2"/>
  <sheetViews>
    <sheetView workbookViewId="0">
      <selection activeCell="A2" sqref="A2"/>
    </sheetView>
  </sheetViews>
  <sheetFormatPr baseColWidth="10" defaultRowHeight="16" x14ac:dyDescent="0.2"/>
  <cols>
    <col min="1" max="1" width="21.5" bestFit="1" customWidth="1"/>
    <col min="5" max="5" width="45.83203125" bestFit="1" customWidth="1"/>
  </cols>
  <sheetData>
    <row r="1" spans="1:6" x14ac:dyDescent="0.2">
      <c r="A1" s="4" t="s">
        <v>0</v>
      </c>
      <c r="B1" s="4" t="s">
        <v>33</v>
      </c>
      <c r="C1" s="4" t="s">
        <v>34</v>
      </c>
      <c r="D1" s="4" t="s">
        <v>82</v>
      </c>
      <c r="E1" s="4" t="s">
        <v>72</v>
      </c>
      <c r="F1" s="4" t="s">
        <v>1</v>
      </c>
    </row>
    <row r="2" spans="1:6" x14ac:dyDescent="0.2">
      <c r="A2" t="s">
        <v>89</v>
      </c>
      <c r="B2" t="s">
        <v>88</v>
      </c>
      <c r="C2" t="s">
        <v>87</v>
      </c>
      <c r="D2" t="s">
        <v>83</v>
      </c>
      <c r="E2">
        <f>-0.451+0.0186*Filtration_calculator!C2</f>
        <v>0.47899999999999993</v>
      </c>
      <c r="F2" t="s">
        <v>85</v>
      </c>
    </row>
  </sheetData>
  <pageMargins left="0.7" right="0.7" top="0.75" bottom="0.75" header="0.3" footer="0.3"/>
  <pageSetup paperSize="9"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EFCE0E-BF21-284D-9260-958A019E1EE9}">
  <dimension ref="A1:I19"/>
  <sheetViews>
    <sheetView workbookViewId="0">
      <selection activeCell="A15" sqref="A2:A15"/>
    </sheetView>
  </sheetViews>
  <sheetFormatPr baseColWidth="10" defaultRowHeight="16" x14ac:dyDescent="0.2"/>
  <cols>
    <col min="1" max="1" width="23.83203125" bestFit="1" customWidth="1"/>
    <col min="2" max="2" width="23.6640625" customWidth="1"/>
    <col min="3" max="3" width="18.5" customWidth="1"/>
    <col min="4" max="5" width="16.33203125" customWidth="1"/>
    <col min="6" max="6" width="43.83203125" bestFit="1" customWidth="1"/>
  </cols>
  <sheetData>
    <row r="1" spans="1:9" s="4" customFormat="1" x14ac:dyDescent="0.2">
      <c r="A1" s="4" t="s">
        <v>0</v>
      </c>
      <c r="B1" s="4" t="s">
        <v>17</v>
      </c>
      <c r="C1" s="4" t="s">
        <v>37</v>
      </c>
      <c r="D1" s="4" t="s">
        <v>1</v>
      </c>
      <c r="E1" s="4" t="s">
        <v>6</v>
      </c>
      <c r="F1" s="4" t="s">
        <v>32</v>
      </c>
      <c r="G1" s="4" t="s">
        <v>33</v>
      </c>
      <c r="H1" s="4" t="s">
        <v>34</v>
      </c>
      <c r="I1" s="4" t="s">
        <v>1</v>
      </c>
    </row>
    <row r="2" spans="1:9" x14ac:dyDescent="0.2">
      <c r="A2" s="3" t="s">
        <v>18</v>
      </c>
      <c r="B2" t="s">
        <v>35</v>
      </c>
    </row>
    <row r="3" spans="1:9" x14ac:dyDescent="0.2">
      <c r="A3" s="3" t="s">
        <v>19</v>
      </c>
      <c r="B3">
        <f>(4.825-(0.013*(Filtration_calculator!E2-18.954)^2))*Filtration_calculator!D2^0.439</f>
        <v>3.2388164920000007</v>
      </c>
      <c r="C3" t="s">
        <v>12</v>
      </c>
      <c r="D3" t="s">
        <v>13</v>
      </c>
      <c r="E3" t="s">
        <v>46</v>
      </c>
    </row>
    <row r="4" spans="1:9" x14ac:dyDescent="0.2">
      <c r="A4" s="3" t="s">
        <v>20</v>
      </c>
      <c r="B4">
        <f>16.34*EXP(-0.0152*(Filtration_calculator!E2-28.6)^2 )*Filtration_calculator!D2^0.608</f>
        <v>15.860378633870544</v>
      </c>
      <c r="C4" t="s">
        <v>43</v>
      </c>
      <c r="D4" t="s">
        <v>40</v>
      </c>
      <c r="E4" t="s">
        <v>41</v>
      </c>
    </row>
    <row r="5" spans="1:9" x14ac:dyDescent="0.2">
      <c r="A5" s="3" t="s">
        <v>21</v>
      </c>
      <c r="B5">
        <f>7.475*EXP(-0.00473*(Filtration_calculator!E2-29.1)^2 )*Filtration_calculator!D2^(0.75)</f>
        <v>7.4464158247405852</v>
      </c>
      <c r="C5" t="s">
        <v>50</v>
      </c>
      <c r="D5" t="s">
        <v>7</v>
      </c>
      <c r="E5" t="s">
        <v>51</v>
      </c>
    </row>
    <row r="6" spans="1:9" x14ac:dyDescent="0.2">
      <c r="A6" s="3" t="s">
        <v>22</v>
      </c>
      <c r="B6">
        <f>13.1*EXP(-0.0099*(Filtration_calculator!E2-28.3)^2)*Filtration_calculator!D2^0.617</f>
        <v>12.730506888620562</v>
      </c>
      <c r="C6" t="s">
        <v>54</v>
      </c>
      <c r="D6" t="s">
        <v>53</v>
      </c>
    </row>
    <row r="7" spans="1:9" x14ac:dyDescent="0.2">
      <c r="A7" s="3" t="s">
        <v>23</v>
      </c>
      <c r="B7" t="s">
        <v>35</v>
      </c>
    </row>
    <row r="8" spans="1:9" x14ac:dyDescent="0.2">
      <c r="A8" s="3" t="s">
        <v>24</v>
      </c>
      <c r="B8">
        <f>7.38*EXP(-0.00246*(Filtration_calculator!E2- 18.5)^2 )*Filtration_calculator!D2</f>
        <v>5.3304658646746583</v>
      </c>
      <c r="C8" t="s">
        <v>48</v>
      </c>
      <c r="D8" s="1" t="s">
        <v>11</v>
      </c>
      <c r="E8" t="s">
        <v>49</v>
      </c>
    </row>
    <row r="9" spans="1:9" x14ac:dyDescent="0.2">
      <c r="A9" s="3" t="s">
        <v>25</v>
      </c>
      <c r="B9">
        <f>2.54*EXP(-0.00411*(Filtration_calculator!E2-27.9)^2)*Filtration_calculator!D2^0.792</f>
        <v>2.4943769561135478</v>
      </c>
      <c r="C9" t="s">
        <v>44</v>
      </c>
      <c r="D9" t="s">
        <v>10</v>
      </c>
      <c r="E9" t="s">
        <v>42</v>
      </c>
    </row>
    <row r="10" spans="1:9" x14ac:dyDescent="0.2">
      <c r="A10" s="3" t="s">
        <v>26</v>
      </c>
      <c r="B10" t="s">
        <v>35</v>
      </c>
    </row>
    <row r="11" spans="1:9" x14ac:dyDescent="0.2">
      <c r="A11" s="3" t="s">
        <v>27</v>
      </c>
      <c r="B11" s="2">
        <f>5.04*EXP(-0.0454*(Filtration_calculator!E2-29.3)^2)*Filtration_calculator!D2^0.764</f>
        <v>4.9291180724547896</v>
      </c>
      <c r="C11" s="2" t="s">
        <v>92</v>
      </c>
      <c r="D11" s="2" t="s">
        <v>90</v>
      </c>
      <c r="E11" t="s">
        <v>91</v>
      </c>
    </row>
    <row r="12" spans="1:9" x14ac:dyDescent="0.2">
      <c r="A12" s="3" t="s">
        <v>28</v>
      </c>
      <c r="B12">
        <f>(0.162+(0.072*1.131^Filtration_calculator!E2))*Filtration_calculator!D2^0.622</f>
        <v>3.0540822778673467</v>
      </c>
      <c r="C12" t="s">
        <v>47</v>
      </c>
      <c r="D12" t="s">
        <v>14</v>
      </c>
    </row>
    <row r="13" spans="1:9" x14ac:dyDescent="0.2">
      <c r="A13" s="3" t="s">
        <v>5</v>
      </c>
      <c r="B13" s="2">
        <f>0.000075*(Filtration_calculator!E2+11.65)*Filtration_calculator!C2^2</f>
        <v>7.8093749999999993</v>
      </c>
      <c r="C13" s="2" t="s">
        <v>96</v>
      </c>
    </row>
    <row r="14" spans="1:9" x14ac:dyDescent="0.2">
      <c r="A14" s="3" t="s">
        <v>29</v>
      </c>
      <c r="B14" t="s">
        <v>95</v>
      </c>
    </row>
    <row r="15" spans="1:9" x14ac:dyDescent="0.2">
      <c r="A15" s="3" t="s">
        <v>30</v>
      </c>
      <c r="B15" t="s">
        <v>95</v>
      </c>
    </row>
    <row r="18" spans="1:1" x14ac:dyDescent="0.2">
      <c r="A18" s="3" t="s">
        <v>6</v>
      </c>
    </row>
    <row r="19" spans="1:1" x14ac:dyDescent="0.2">
      <c r="A19" s="5" t="s">
        <v>52</v>
      </c>
    </row>
  </sheetData>
  <pageMargins left="0.7" right="0.7" top="0.75" bottom="0.75" header="0.3" footer="0.3"/>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C9648-2F22-B347-91A2-7EAEF7624D43}">
  <dimension ref="A1:C12"/>
  <sheetViews>
    <sheetView workbookViewId="0">
      <selection activeCell="B14" sqref="B14"/>
    </sheetView>
  </sheetViews>
  <sheetFormatPr baseColWidth="10" defaultRowHeight="16" x14ac:dyDescent="0.2"/>
  <cols>
    <col min="1" max="1" width="19.33203125" bestFit="1" customWidth="1"/>
    <col min="2" max="2" width="77.1640625" customWidth="1"/>
  </cols>
  <sheetData>
    <row r="1" spans="1:3" x14ac:dyDescent="0.2">
      <c r="A1" t="s">
        <v>55</v>
      </c>
      <c r="B1" t="s">
        <v>56</v>
      </c>
      <c r="C1" t="s">
        <v>61</v>
      </c>
    </row>
    <row r="2" spans="1:3" x14ac:dyDescent="0.2">
      <c r="A2" s="6" t="s">
        <v>13</v>
      </c>
      <c r="B2" s="6" t="s">
        <v>58</v>
      </c>
      <c r="C2" s="6" t="str">
        <f>HYPERLINK("http://dx.doi.org/10.1016/0044-8486(95)00036-2","http://dx.doi.org/10.1016/0044-8486(95)00036-2")</f>
        <v>http://dx.doi.org/10.1016/0044-8486(95)00036-2</v>
      </c>
    </row>
    <row r="3" spans="1:3" ht="17" x14ac:dyDescent="0.2">
      <c r="A3" s="6" t="s">
        <v>9</v>
      </c>
      <c r="B3" s="6" t="s">
        <v>59</v>
      </c>
      <c r="C3" s="6" t="s">
        <v>60</v>
      </c>
    </row>
    <row r="4" spans="1:3" ht="17" x14ac:dyDescent="0.2">
      <c r="A4" s="6" t="s">
        <v>39</v>
      </c>
      <c r="B4" s="6" t="s">
        <v>62</v>
      </c>
      <c r="C4" s="6" t="s">
        <v>63</v>
      </c>
    </row>
    <row r="5" spans="1:3" ht="17" x14ac:dyDescent="0.2">
      <c r="A5" s="6" t="s">
        <v>7</v>
      </c>
      <c r="B5" s="6" t="s">
        <v>64</v>
      </c>
      <c r="C5" s="6" t="s">
        <v>65</v>
      </c>
    </row>
    <row r="6" spans="1:3" ht="17" x14ac:dyDescent="0.2">
      <c r="A6" s="6" t="s">
        <v>57</v>
      </c>
      <c r="B6" s="6" t="s">
        <v>66</v>
      </c>
      <c r="C6" s="6" t="str">
        <f>HYPERLINK("http://dx.doi.org/10.3354/meps170119","http://dx.doi.org/10.3354/meps170119")</f>
        <v>http://dx.doi.org/10.3354/meps170119</v>
      </c>
    </row>
    <row r="7" spans="1:3" ht="17" x14ac:dyDescent="0.2">
      <c r="A7" s="6" t="s">
        <v>8</v>
      </c>
      <c r="B7" s="6" t="s">
        <v>67</v>
      </c>
      <c r="C7" s="6" t="str">
        <f>HYPERLINK("http://dx.doi.org/10.3354/meps195179","http://dx.doi.org/10.3354/meps195179")</f>
        <v>http://dx.doi.org/10.3354/meps195179</v>
      </c>
    </row>
    <row r="8" spans="1:3" ht="17" x14ac:dyDescent="0.2">
      <c r="A8" s="2" t="s">
        <v>11</v>
      </c>
      <c r="B8" s="6" t="s">
        <v>68</v>
      </c>
      <c r="C8" s="6" t="s">
        <v>69</v>
      </c>
    </row>
    <row r="9" spans="1:3" ht="17" x14ac:dyDescent="0.2">
      <c r="A9" s="6" t="s">
        <v>10</v>
      </c>
      <c r="B9" s="6" t="s">
        <v>70</v>
      </c>
      <c r="C9" s="6" t="str">
        <f>HYPERLINK("http://dx.doi.org/10.1371/journal.pone.0152427","http://dx.doi.org/10.1371/journal.pone.0152427")</f>
        <v>http://dx.doi.org/10.1371/journal.pone.0152427</v>
      </c>
    </row>
    <row r="10" spans="1:3" ht="17" x14ac:dyDescent="0.2">
      <c r="A10" s="6" t="s">
        <v>14</v>
      </c>
      <c r="B10" s="6" t="s">
        <v>71</v>
      </c>
      <c r="C10" s="6" t="str">
        <f>HYPERLINK("http://dx.doi.org/10.1016/S0044-8486(98)00383-4","http://dx.doi.org/10.1016/S0044-8486(98)00383-4")</f>
        <v>http://dx.doi.org/10.1016/S0044-8486(98)00383-4</v>
      </c>
    </row>
    <row r="11" spans="1:3" ht="17" x14ac:dyDescent="0.2">
      <c r="A11" t="s">
        <v>85</v>
      </c>
      <c r="B11" s="10" t="s">
        <v>84</v>
      </c>
      <c r="C11" s="11" t="s">
        <v>86</v>
      </c>
    </row>
    <row r="12" spans="1:3" ht="17" x14ac:dyDescent="0.2">
      <c r="A12" s="2" t="s">
        <v>90</v>
      </c>
      <c r="B12" s="10" t="s">
        <v>93</v>
      </c>
      <c r="C12" t="s">
        <v>94</v>
      </c>
    </row>
  </sheetData>
  <hyperlinks>
    <hyperlink ref="C8" r:id="rId1" display="https://doi.org/10.1016/j.marenvres.2026.108237" xr:uid="{ECD2A9AD-0EA0-3F46-9065-046E426AA0A9}"/>
    <hyperlink ref="C11" r:id="rId2" display="https://doi.org/10.2478/v10104-012-0024-0" xr:uid="{EAB88CC6-2AEF-6E43-8ADB-8A577117DB1E}"/>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How to use</vt:lpstr>
      <vt:lpstr>Filtration_calculator</vt:lpstr>
      <vt:lpstr>length-weight_conversions</vt:lpstr>
      <vt:lpstr>Final_equations</vt:lpstr>
      <vt:lpstr>References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Philine zu Ermgassen</dc:creator>
  <cp:lastModifiedBy>Philine zu Ermgassen</cp:lastModifiedBy>
  <dcterms:created xsi:type="dcterms:W3CDTF">2026-06-17T12:25:56Z</dcterms:created>
  <dcterms:modified xsi:type="dcterms:W3CDTF">2026-07-23T11:51:07Z</dcterms:modified>
</cp:coreProperties>
</file>