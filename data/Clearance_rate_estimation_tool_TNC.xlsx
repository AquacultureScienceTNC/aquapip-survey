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pzuermg/Documents/Free_Lance_Projects/TNC_filtration_model/"/>
    </mc:Choice>
  </mc:AlternateContent>
  <xr:revisionPtr revIDLastSave="0" documentId="13_ncr:1_{40F4ABC1-6DD8-CA49-A545-9A1A478970C7}" xr6:coauthVersionLast="47" xr6:coauthVersionMax="47" xr10:uidLastSave="{00000000-0000-0000-0000-000000000000}"/>
  <bookViews>
    <workbookView xWindow="420" yWindow="3840" windowWidth="29820" windowHeight="13240" activeTab="3" xr2:uid="{4524DFD7-3AE3-A24A-B6DE-70A1E37A7C23}"/>
  </bookViews>
  <sheets>
    <sheet name="How to use" sheetId="21" r:id="rId1"/>
    <sheet name="Filtration_calculator" sheetId="4" r:id="rId2"/>
    <sheet name="length-weight_conversions" sheetId="19" r:id="rId3"/>
    <sheet name="Final_equations" sheetId="3" r:id="rId4"/>
    <sheet name="References" sheetId="2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4" l="1"/>
  <c r="B17" i="3" s="1"/>
  <c r="E4" i="19"/>
  <c r="E20" i="19"/>
  <c r="E19" i="19"/>
  <c r="E18" i="19"/>
  <c r="E17" i="19"/>
  <c r="E11" i="19"/>
  <c r="E12" i="19"/>
  <c r="E16" i="19"/>
  <c r="E15" i="19"/>
  <c r="E14" i="19"/>
  <c r="E13" i="19"/>
  <c r="E3" i="19"/>
  <c r="B16" i="3" l="1"/>
  <c r="E22" i="19"/>
  <c r="B13" i="3"/>
  <c r="E7" i="19"/>
  <c r="E6" i="19"/>
  <c r="E5" i="19"/>
  <c r="E2" i="19"/>
  <c r="B15" i="3" s="1"/>
  <c r="C13" i="20"/>
  <c r="C12" i="20"/>
  <c r="B8" i="3" l="1"/>
  <c r="B7" i="3"/>
  <c r="B11" i="3"/>
  <c r="C9" i="20" l="1"/>
  <c r="C8" i="20"/>
  <c r="C7" i="20"/>
  <c r="C6" i="20"/>
  <c r="C2" i="20"/>
  <c r="B6" i="3"/>
  <c r="B5" i="3"/>
  <c r="B12" i="3"/>
  <c r="B3" i="3"/>
  <c r="B9" i="3"/>
  <c r="B2" i="4"/>
  <c r="B4" i="3"/>
  <c r="F2" i="4" l="1"/>
  <c r="H2" i="4" s="1"/>
  <c r="I2" i="4" s="1"/>
</calcChain>
</file>

<file path=xl/sharedStrings.xml><?xml version="1.0" encoding="utf-8"?>
<sst xmlns="http://schemas.openxmlformats.org/spreadsheetml/2006/main" count="257" uniqueCount="187">
  <si>
    <t>Species</t>
  </si>
  <si>
    <t>Reference</t>
  </si>
  <si>
    <t>Shell height (mm)</t>
  </si>
  <si>
    <t>Number of bivalves</t>
  </si>
  <si>
    <t>Filtration (L/h)</t>
  </si>
  <si>
    <t>Mytilus edulis</t>
  </si>
  <si>
    <t>Notes</t>
  </si>
  <si>
    <t>Mondal_etal.2005</t>
  </si>
  <si>
    <t>Yukihira et al. 1998b</t>
  </si>
  <si>
    <t>Yuanshao_etal.2002</t>
  </si>
  <si>
    <t>Yoon Kang et al. 2006</t>
  </si>
  <si>
    <t>CR=(4.825-(0.013*(Temp-18.954)^2))*W^0.439</t>
  </si>
  <si>
    <t>Bougrier et al. 1995</t>
  </si>
  <si>
    <t>Haure et al 1998</t>
  </si>
  <si>
    <t>Temperature ©</t>
  </si>
  <si>
    <t>Filtration rate (L) per individual per hour</t>
  </si>
  <si>
    <t>CR formula</t>
  </si>
  <si>
    <t>Patinopecten yessoensis</t>
  </si>
  <si>
    <t>Crassostrea gigas</t>
  </si>
  <si>
    <t>Saccostrea glomerata</t>
  </si>
  <si>
    <t>Pinctada fucata</t>
  </si>
  <si>
    <t>Pinctada maxima</t>
  </si>
  <si>
    <t>Mytilus galloprovincialis</t>
  </si>
  <si>
    <t>Ruditapes decussatus</t>
  </si>
  <si>
    <t>Ruditapes philippinarum</t>
  </si>
  <si>
    <t>Pinctada imbricata</t>
  </si>
  <si>
    <t>Crassostrea rhizophorae</t>
  </si>
  <si>
    <t>Ostrea angasi</t>
  </si>
  <si>
    <t>Perna viridis</t>
  </si>
  <si>
    <t>Mytilus chilensis</t>
  </si>
  <si>
    <t>Clearance_rate_formula</t>
  </si>
  <si>
    <t>Location</t>
  </si>
  <si>
    <t>Season</t>
  </si>
  <si>
    <t>No CR formula available</t>
  </si>
  <si>
    <t>DTW (g)</t>
  </si>
  <si>
    <t>Formula_in_full</t>
  </si>
  <si>
    <t>Filtration m3/day</t>
  </si>
  <si>
    <t>Rennie et al. 2024</t>
  </si>
  <si>
    <t>Yuanshao_etal.2002 and Rennie et al. 2024</t>
  </si>
  <si>
    <t>Allometric relationship from Yuanshao_etal.2002, temperature relationship derived from least squares, data extracted from Figure 1, Rennie et al. 2024</t>
  </si>
  <si>
    <t>fitted to the CR values from the lowest concentration of SPM for each temperature. NB: the lowest SPMs are not the same at all temperatures</t>
  </si>
  <si>
    <t>CR=16.34*EXP(-0.0152*(T-28.6)^2 )*DTW^0.608</t>
  </si>
  <si>
    <t>CR = 2.54 * exp( -0.00411 * (T - 27.9)^2 ) * W^0.792</t>
  </si>
  <si>
    <t>NB: please select or input data in columns indicated in bold.</t>
  </si>
  <si>
    <t>O. edulis used as proxy: CR=(0.162+(0.072*1.131^Temp))*DW^0.622</t>
  </si>
  <si>
    <t>CR = 7.475 * exp( -0.00473 * (T - 29.1)^2 ) * W^(0.75)</t>
  </si>
  <si>
    <t>Mondal provides separate fits of filtration rate versus dry tissue weight at five temperatures. These fits have exponents, b ~ 0.75, that are almost independent of temperature. Therefore, we fixed this exponent and adjusted the amplitude such that the filtration rate at the average dry tissue weight across samples matched the original fit.</t>
  </si>
  <si>
    <t>Where the relationship between clearance rate and temperature has been fitted to extracted data, the logarithm of the amplitude was fitted as a quadratic function of temperature using a least squares fitting procedure in python to generate a model with the following terms: a * exp( b * (T - c)^2 ), where a is....</t>
  </si>
  <si>
    <t>Yukihira et al. 1998a and Yukihira et al. 1998b</t>
  </si>
  <si>
    <t>CR = 13.1 * exp( -0.0099 * (T - 28.3)^2 ) * W^0.617</t>
  </si>
  <si>
    <t>Citation</t>
  </si>
  <si>
    <t>Full reference</t>
  </si>
  <si>
    <t>Yukihira et al. 1998a</t>
  </si>
  <si>
    <t>Bougrier, S., Geairon, P., Deslous-Paoli, J. M., Bacher, C., &amp; Jonquières, G. (1995). Allometric relationships and effects of temperature on clearance and oxygen consumption rates of Crassostrea gigas (Thunberg). Aquaculture, 134(1-2), 143-154.</t>
  </si>
  <si>
    <r>
      <t>Yuanshoa, L., Wenxin, L., Wenqing, C., Donghui, G., Airong, Z., &amp; Changjiang, H. (2002). Studies on filtration rate in four species of suspension feeding bivalves. </t>
    </r>
    <r>
      <rPr>
        <i/>
        <sz val="13"/>
        <color rgb="FF222222"/>
        <rFont val="Arial"/>
        <family val="2"/>
      </rPr>
      <t>Acta oceanologica sinica</t>
    </r>
    <r>
      <rPr>
        <sz val="13"/>
        <color rgb="FF222222"/>
        <rFont val="Arial"/>
        <family val="2"/>
      </rPr>
      <t>, </t>
    </r>
    <r>
      <rPr>
        <i/>
        <sz val="13"/>
        <color rgb="FF222222"/>
        <rFont val="Arial"/>
        <family val="2"/>
      </rPr>
      <t>21</t>
    </r>
    <r>
      <rPr>
        <sz val="13"/>
        <color rgb="FF222222"/>
        <rFont val="Arial"/>
        <family val="2"/>
      </rPr>
      <t>(1), 147-155.</t>
    </r>
  </si>
  <si>
    <t>https://www.researchgate.net/profile/Guo-Donghui-2/publication/286722346_Studies_on_filtration_rate_in_four_species_of_suspension_feeding_bivalves/links/5786782008aec5c2e4e2ef1c/Studies-on-filtration-rate-in-four-species-of-suspension-feeding-bivalves.pdf</t>
  </si>
  <si>
    <t>Link</t>
  </si>
  <si>
    <r>
      <t>Rennie, B., Nowland, S. J., Cooke, I. R., &amp; Strugnell, J. M. (2024). Filtration rate and bioremediatory potential of the tropical blacklip rock oyster Saccostrea lineage J. </t>
    </r>
    <r>
      <rPr>
        <i/>
        <sz val="13"/>
        <color rgb="FF222222"/>
        <rFont val="Arial"/>
        <family val="2"/>
      </rPr>
      <t>Aquaculture Environment Interactions</t>
    </r>
    <r>
      <rPr>
        <sz val="13"/>
        <color rgb="FF222222"/>
        <rFont val="Arial"/>
        <family val="2"/>
      </rPr>
      <t>, </t>
    </r>
    <r>
      <rPr>
        <i/>
        <sz val="13"/>
        <color rgb="FF222222"/>
        <rFont val="Arial"/>
        <family val="2"/>
      </rPr>
      <t>16</t>
    </r>
    <r>
      <rPr>
        <sz val="13"/>
        <color rgb="FF222222"/>
        <rFont val="Arial"/>
        <family val="2"/>
      </rPr>
      <t>, 133-144.</t>
    </r>
  </si>
  <si>
    <t>https://www.int-res.com/articles/aei2024/16/q016p133.pdf</t>
  </si>
  <si>
    <r>
      <t>Mondal, S. K. (2006). Effect of temperature and body size on food utilization in the marine pearl oyster Pinctada fucata (Bivalvia: Pteridae). </t>
    </r>
    <r>
      <rPr>
        <i/>
        <sz val="13"/>
        <color rgb="FF222222"/>
        <rFont val="Arial"/>
        <family val="2"/>
      </rPr>
      <t>Indian Journal of Marine Sciences</t>
    </r>
    <r>
      <rPr>
        <sz val="13"/>
        <color rgb="FF222222"/>
        <rFont val="Arial"/>
        <family val="2"/>
      </rPr>
      <t>, </t>
    </r>
    <r>
      <rPr>
        <i/>
        <sz val="13"/>
        <color rgb="FF222222"/>
        <rFont val="Arial"/>
        <family val="2"/>
      </rPr>
      <t>35</t>
    </r>
    <r>
      <rPr>
        <sz val="13"/>
        <color rgb="FF222222"/>
        <rFont val="Arial"/>
        <family val="2"/>
      </rPr>
      <t>(1), 43-49.</t>
    </r>
  </si>
  <si>
    <t>http://eprints.cmfri.org.in/9905/1/IJMS_35%281%29_43-49_Mondal.pdf</t>
  </si>
  <si>
    <r>
      <t>Yukihira, H., Klumpp, D. W., &amp; Lucas, J. S. (1998). Effects of body size on suspension feeding and energy budgets of the pearl oysters Pinctada margaritifera and P. maxima. </t>
    </r>
    <r>
      <rPr>
        <i/>
        <sz val="13"/>
        <color rgb="FF222222"/>
        <rFont val="Arial"/>
        <family val="2"/>
      </rPr>
      <t>Marine Ecology Progress Series</t>
    </r>
    <r>
      <rPr>
        <sz val="13"/>
        <color rgb="FF222222"/>
        <rFont val="Arial"/>
        <family val="2"/>
      </rPr>
      <t>, </t>
    </r>
    <r>
      <rPr>
        <i/>
        <sz val="13"/>
        <color rgb="FF222222"/>
        <rFont val="Arial"/>
        <family val="2"/>
      </rPr>
      <t>170</t>
    </r>
    <r>
      <rPr>
        <sz val="13"/>
        <color rgb="FF222222"/>
        <rFont val="Arial"/>
        <family val="2"/>
      </rPr>
      <t>, 119-130.</t>
    </r>
  </si>
  <si>
    <r>
      <t>Yukihira, H., Lucas, J. S., &amp; Klumpp, D. W. (2000). Comparative effects of temperature on suspension feeding and energy budgets of the pearl oysters Pinctada margaritifera and P. maxima. </t>
    </r>
    <r>
      <rPr>
        <i/>
        <sz val="13"/>
        <color rgb="FF222222"/>
        <rFont val="Arial"/>
        <family val="2"/>
      </rPr>
      <t>Marine Ecology Progress Series</t>
    </r>
    <r>
      <rPr>
        <sz val="13"/>
        <color rgb="FF222222"/>
        <rFont val="Arial"/>
        <family val="2"/>
      </rPr>
      <t>, </t>
    </r>
    <r>
      <rPr>
        <i/>
        <sz val="13"/>
        <color rgb="FF222222"/>
        <rFont val="Arial"/>
        <family val="2"/>
      </rPr>
      <t>195</t>
    </r>
    <r>
      <rPr>
        <sz val="13"/>
        <color rgb="FF222222"/>
        <rFont val="Arial"/>
        <family val="2"/>
      </rPr>
      <t>, 179-188.</t>
    </r>
  </si>
  <si>
    <r>
      <t>Kang, H. Y., Lee, Y. J., Choi, K. S., Park, H. J., Yun, S. G., &amp; Kang, C. K. (2016). Combined effects of temperature and seston concentration on the physiological energetics of the Manila clam Ruditapes philippinarum. </t>
    </r>
    <r>
      <rPr>
        <i/>
        <sz val="13"/>
        <color rgb="FF222222"/>
        <rFont val="Arial"/>
        <family val="2"/>
      </rPr>
      <t>PLoS One</t>
    </r>
    <r>
      <rPr>
        <sz val="13"/>
        <color rgb="FF222222"/>
        <rFont val="Arial"/>
        <family val="2"/>
      </rPr>
      <t>, </t>
    </r>
    <r>
      <rPr>
        <i/>
        <sz val="13"/>
        <color rgb="FF222222"/>
        <rFont val="Arial"/>
        <family val="2"/>
      </rPr>
      <t>11</t>
    </r>
    <r>
      <rPr>
        <sz val="13"/>
        <color rgb="FF222222"/>
        <rFont val="Arial"/>
        <family val="2"/>
      </rPr>
      <t>(3), e0152427.</t>
    </r>
  </si>
  <si>
    <r>
      <t>Haure, J., Penisson, C., Bougrier, S., &amp; Baud, J. P. (1998). Influence of temperature on clearance and oxygen consumption rates of the flat oyster Ostrea edulis: determination of allometric coefficients. </t>
    </r>
    <r>
      <rPr>
        <i/>
        <sz val="13"/>
        <color rgb="FF222222"/>
        <rFont val="Arial"/>
        <family val="2"/>
      </rPr>
      <t>Aquaculture</t>
    </r>
    <r>
      <rPr>
        <sz val="13"/>
        <color rgb="FF222222"/>
        <rFont val="Arial"/>
        <family val="2"/>
      </rPr>
      <t>, </t>
    </r>
    <r>
      <rPr>
        <i/>
        <sz val="13"/>
        <color rgb="FF222222"/>
        <rFont val="Arial"/>
        <family val="2"/>
      </rPr>
      <t>169</t>
    </r>
    <r>
      <rPr>
        <sz val="13"/>
        <color rgb="FF222222"/>
        <rFont val="Arial"/>
        <family val="2"/>
      </rPr>
      <t>(3-4), 211-224.</t>
    </r>
  </si>
  <si>
    <t>Length-weight conversion (mm to g dry tissue weight)</t>
  </si>
  <si>
    <t>Welcome to the TNC Filtration Services estimator tool.</t>
  </si>
  <si>
    <t>Important caveats</t>
  </si>
  <si>
    <t xml:space="preserve"> There are a number of caveats as to how the "volume of water cleared" should be interpreted. Please be mindful of the fact that these estimates are a best case scenario derived only on water temperature and bivalve size alone and do not account for: particle size, salinity, particulate matter concentration, water flow rate, pollutant concentrations, diurnal variability; all of which may negatively affect the clearance rate. Furthmore, this tool does not account for re-fitration of water, and assumes a perfectly mixed watercolumn.</t>
  </si>
  <si>
    <t>This tool is designed to allow growers to estimate the potential maximum volume of water cleared by the bivalves being grown on site.</t>
  </si>
  <si>
    <t>Open the "Filtration_calculator" tab and select the species of interest from the drop down menu in the left most column.</t>
  </si>
  <si>
    <t>Instructions</t>
  </si>
  <si>
    <t>Enter your mean shell height into the yellow cell. The form will automatically fill in an estimated dry tissue weight for the inputted shell height.</t>
  </si>
  <si>
    <t>Enter your water temperature into the green cell. The estiamted volume of water cleared will be automatically generated.</t>
  </si>
  <si>
    <t>To account for different size classes of bivalves, these can be entered independently (size and number of individuals), and the totals summed.</t>
  </si>
  <si>
    <t>equation</t>
  </si>
  <si>
    <r>
      <t>Sroczyńska, K., Barroso, G., &amp; Chícharo, L. (2012). In situ effective clearance rate measurement of mangrove oysters (Crassostrea rhizophorae) in a tropical estuary in Brazil. </t>
    </r>
    <r>
      <rPr>
        <i/>
        <sz val="13"/>
        <color rgb="FF222222"/>
        <rFont val="Arial"/>
        <family val="2"/>
      </rPr>
      <t>Ecohydrology &amp; Hydrobiology</t>
    </r>
    <r>
      <rPr>
        <sz val="13"/>
        <color rgb="FF222222"/>
        <rFont val="Arial"/>
        <family val="2"/>
      </rPr>
      <t>, </t>
    </r>
    <r>
      <rPr>
        <i/>
        <sz val="13"/>
        <color rgb="FF222222"/>
        <rFont val="Arial"/>
        <family val="2"/>
      </rPr>
      <t>12</t>
    </r>
    <r>
      <rPr>
        <sz val="13"/>
        <color rgb="FF222222"/>
        <rFont val="Arial"/>
        <family val="2"/>
      </rPr>
      <t>(4), 301-310.</t>
    </r>
  </si>
  <si>
    <t>Sroczyńska et al. 2012</t>
  </si>
  <si>
    <t>10.2478/v10104-012-0024-0</t>
  </si>
  <si>
    <t>June (dry season)</t>
  </si>
  <si>
    <t>Aracruz, ES, Brazil</t>
  </si>
  <si>
    <t>Madrigal et al. 1985</t>
  </si>
  <si>
    <t>CR = 5.04 * exp( -0.0454 * (T - 29.3)^2 ) * DW^0.764</t>
  </si>
  <si>
    <t>Madrigal Castro, E., Pacheco Urpí, O., Zamora Madriz, E., Quesada Quesada, R., &amp; Alfaro-Montoya, J. (1985). Tasa de filtración del ostión de manglar,(Crassostrea rhizophorae, Guilding 1828), a diferentes salinidades y temperaturas.</t>
  </si>
  <si>
    <t>https://repositorio.una.ac.cr/server/api/core/bitstreams/02f6de5d-8386-4396-8593-9ed6d8d50b9d/content</t>
  </si>
  <si>
    <r>
      <t>Riisgård, H. U., Larsen, P. S., &amp; Pleissner, D. (2014). Allometric equations for maximum filtration rate in blue mussels Mytilus edulis and importance of condition index. </t>
    </r>
    <r>
      <rPr>
        <i/>
        <sz val="13"/>
        <color rgb="FF222222"/>
        <rFont val="Arial"/>
        <family val="2"/>
      </rPr>
      <t>Helgoland Marine Research</t>
    </r>
    <r>
      <rPr>
        <sz val="13"/>
        <color rgb="FF222222"/>
        <rFont val="Arial"/>
        <family val="2"/>
      </rPr>
      <t>, </t>
    </r>
    <r>
      <rPr>
        <i/>
        <sz val="13"/>
        <color rgb="FF222222"/>
        <rFont val="Arial"/>
        <family val="2"/>
      </rPr>
      <t>68</t>
    </r>
    <r>
      <rPr>
        <sz val="13"/>
        <color rgb="FF222222"/>
        <rFont val="Arial"/>
        <family val="2"/>
      </rPr>
      <t>(1), 193-198.</t>
    </r>
  </si>
  <si>
    <t>Riisgård et al. 2014</t>
  </si>
  <si>
    <r>
      <t>Kittner, C., &amp; Riisgård, H. U. (2005). Effect of temperature on filtration rate in the mussel Mytilus edulis: no evidence for temperature compensation. </t>
    </r>
    <r>
      <rPr>
        <i/>
        <sz val="13"/>
        <color rgb="FF222222"/>
        <rFont val="Arial"/>
        <family val="2"/>
      </rPr>
      <t>Marine Ecology Progress Series</t>
    </r>
    <r>
      <rPr>
        <sz val="13"/>
        <color rgb="FF222222"/>
        <rFont val="Arial"/>
        <family val="2"/>
      </rPr>
      <t>, </t>
    </r>
    <r>
      <rPr>
        <i/>
        <sz val="13"/>
        <color rgb="FF222222"/>
        <rFont val="Arial"/>
        <family val="2"/>
      </rPr>
      <t>305</t>
    </r>
    <r>
      <rPr>
        <sz val="13"/>
        <color rgb="FF222222"/>
        <rFont val="Arial"/>
        <family val="2"/>
      </rPr>
      <t>, 147-152.</t>
    </r>
  </si>
  <si>
    <t>Kittner and Riisgård 2005</t>
  </si>
  <si>
    <r>
      <t>Schulte, E. H. (1975). Influence of algal concentration and temperature on the filtration rate of Mytilus edulis. </t>
    </r>
    <r>
      <rPr>
        <i/>
        <sz val="13"/>
        <color rgb="FF222222"/>
        <rFont val="Arial"/>
        <family val="2"/>
      </rPr>
      <t>Marine biology</t>
    </r>
    <r>
      <rPr>
        <sz val="13"/>
        <color rgb="FF222222"/>
        <rFont val="Arial"/>
        <family val="2"/>
      </rPr>
      <t>, </t>
    </r>
    <r>
      <rPr>
        <i/>
        <sz val="13"/>
        <color rgb="FF222222"/>
        <rFont val="Arial"/>
        <family val="2"/>
      </rPr>
      <t>30</t>
    </r>
    <r>
      <rPr>
        <sz val="13"/>
        <color rgb="FF222222"/>
        <rFont val="Arial"/>
        <family val="2"/>
      </rPr>
      <t>(4), 331-341.</t>
    </r>
  </si>
  <si>
    <t>Schulte 1975</t>
  </si>
  <si>
    <t>Kittner and Riisgård 2005, Riisgård et al. 2014, Schulte 1975</t>
  </si>
  <si>
    <t>DTW(g)=0.000027*Length(mm)^2.525</t>
  </si>
  <si>
    <r>
      <t>Ibarrola, I., Arambalza, U., Navarro, J. M., Urrutia, M. B., &amp; Navarro, E. (2012). Allometric relationships in feeding and digestion in the Chilean mytilids Mytilus chilensis (Hupé), Choromytilus chorus (Molina) and Aulacomya ater (Molina): a comparative study. </t>
    </r>
    <r>
      <rPr>
        <i/>
        <sz val="13"/>
        <color rgb="FF222222"/>
        <rFont val="Arial"/>
        <family val="2"/>
      </rPr>
      <t>Journal of Experimental Marine Biology and Ecology</t>
    </r>
    <r>
      <rPr>
        <sz val="13"/>
        <color rgb="FF222222"/>
        <rFont val="Arial"/>
        <family val="2"/>
      </rPr>
      <t>, </t>
    </r>
    <r>
      <rPr>
        <i/>
        <sz val="13"/>
        <color rgb="FF222222"/>
        <rFont val="Arial"/>
        <family val="2"/>
      </rPr>
      <t>426</t>
    </r>
    <r>
      <rPr>
        <sz val="13"/>
        <color rgb="FF222222"/>
        <rFont val="Arial"/>
        <family val="2"/>
      </rPr>
      <t>, 18-27.</t>
    </r>
  </si>
  <si>
    <t>Ibarrola et al. 2012</t>
  </si>
  <si>
    <t>Corral bay (Chile)</t>
  </si>
  <si>
    <t>January (summer)</t>
  </si>
  <si>
    <r>
      <t>Navarro, J. M., &amp; Winter, J. E. (1982). Ingestion rate, assimilation efficiency and energy balance in Mytilus chilensis in relation to body size and different algal concentrations. </t>
    </r>
    <r>
      <rPr>
        <i/>
        <sz val="13"/>
        <color rgb="FF222222"/>
        <rFont val="Arial"/>
        <family val="2"/>
      </rPr>
      <t>Marine Biology</t>
    </r>
    <r>
      <rPr>
        <sz val="13"/>
        <color rgb="FF222222"/>
        <rFont val="Arial"/>
        <family val="2"/>
      </rPr>
      <t>, </t>
    </r>
    <r>
      <rPr>
        <i/>
        <sz val="13"/>
        <color rgb="FF222222"/>
        <rFont val="Arial"/>
        <family val="2"/>
      </rPr>
      <t>67</t>
    </r>
    <r>
      <rPr>
        <sz val="13"/>
        <color rgb="FF222222"/>
        <rFont val="Arial"/>
        <family val="2"/>
      </rPr>
      <t>(3), 255-266.</t>
    </r>
  </si>
  <si>
    <t>Navarro &amp; Winter 1982</t>
  </si>
  <si>
    <t>Yaldad Bay (southern Chile)</t>
  </si>
  <si>
    <t>February (summer)</t>
  </si>
  <si>
    <t>DTW(g)=0.0089*L(cm)^2.82</t>
  </si>
  <si>
    <t>Only valid for water temperatures between 10-14C</t>
  </si>
  <si>
    <t>CR (l/h) = 2.454 * (W / g)^0.492</t>
  </si>
  <si>
    <t>Lopez Bascur 2013</t>
  </si>
  <si>
    <r>
      <t>Lopez Bascur, J. A.(2013). </t>
    </r>
    <r>
      <rPr>
        <sz val="14"/>
        <color rgb="FF222222"/>
        <rFont val="Arial"/>
        <family val="2"/>
      </rPr>
      <t xml:space="preserve">Respuesta fisiologica de </t>
    </r>
    <r>
      <rPr>
        <i/>
        <sz val="14"/>
        <color rgb="FF222222"/>
        <rFont val="Arial"/>
        <family val="2"/>
      </rPr>
      <t>Mytilus chilensis (</t>
    </r>
    <r>
      <rPr>
        <sz val="14"/>
        <color rgb="FF222222"/>
        <rFont val="Arial"/>
        <family val="2"/>
      </rPr>
      <t>chorito) en cultivo suspendido (dalcahue, chiloe) y su relacion con las variables ambientales (Doctoral Dissertation, Universidad Austral</t>
    </r>
    <r>
      <rPr>
        <i/>
        <sz val="14"/>
        <color rgb="FF222222"/>
        <rFont val="Arial"/>
        <family val="2"/>
      </rPr>
      <t xml:space="preserve"> De Chile).</t>
    </r>
  </si>
  <si>
    <r>
      <t>Sarà, G., &amp; Mazzola, A. (1997). Effects of trophic and environmental conditions on the growth of Crassostrea gigas in culture. </t>
    </r>
    <r>
      <rPr>
        <i/>
        <sz val="13"/>
        <color rgb="FF222222"/>
        <rFont val="Arial"/>
        <family val="2"/>
      </rPr>
      <t>Aquaculture</t>
    </r>
    <r>
      <rPr>
        <sz val="13"/>
        <color rgb="FF222222"/>
        <rFont val="Arial"/>
        <family val="2"/>
      </rPr>
      <t>, </t>
    </r>
    <r>
      <rPr>
        <i/>
        <sz val="13"/>
        <color rgb="FF222222"/>
        <rFont val="Arial"/>
        <family val="2"/>
      </rPr>
      <t>153</t>
    </r>
    <r>
      <rPr>
        <sz val="13"/>
        <color rgb="FF222222"/>
        <rFont val="Arial"/>
        <family val="2"/>
      </rPr>
      <t>(1-2), 81-91.</t>
    </r>
  </si>
  <si>
    <t>Sarà &amp; Mazzola 1997</t>
  </si>
  <si>
    <t>Note</t>
  </si>
  <si>
    <t>Equation as given in the reference.</t>
  </si>
  <si>
    <t>DTW(g)=0.0041*L(cm)^2.54</t>
  </si>
  <si>
    <t>Marlborough Sounds, New Zealand</t>
  </si>
  <si>
    <t>April (Autumn)</t>
  </si>
  <si>
    <t>CR =   l per hr (0.0000513 * T + 0.000599) * (L in mm)^2.088 / (1 + exp(-2(T-4.1)) + exp(2(T-25)))</t>
  </si>
  <si>
    <t>CR = 4.16 exp( -0.0181 (T - 14.88)^2 ) * W^0.58</t>
  </si>
  <si>
    <t>Sobral and Widdows 1997</t>
  </si>
  <si>
    <r>
      <t>Sobral, P. &amp; Widdows, J. (1997). Effects of elevated temperatures on the scope for growth and resistance to air exposure of the clam Ruditapes decussatus (L.), from southern Portugal. </t>
    </r>
    <r>
      <rPr>
        <i/>
        <sz val="13"/>
        <color rgb="FF222222"/>
        <rFont val="Arial"/>
        <family val="2"/>
      </rPr>
      <t>Scientia Marina</t>
    </r>
    <r>
      <rPr>
        <sz val="13"/>
        <color rgb="FF222222"/>
        <rFont val="Arial"/>
        <family val="2"/>
      </rPr>
      <t>. 61:163-171</t>
    </r>
  </si>
  <si>
    <r>
      <t>Arranz, K., Labarta, U., Fernández-Reiriz, M. J., &amp; Navarro, E. (2016). Allometric size-scaling of biometric growth parameters and metabolic and excretion rates. A comparative study of intertidal and subtidal populations of mussels (Mytilus galloprovincialis). </t>
    </r>
    <r>
      <rPr>
        <i/>
        <sz val="13"/>
        <color rgb="FF222222"/>
        <rFont val="Arial"/>
        <family val="2"/>
      </rPr>
      <t>Hydrobiologia</t>
    </r>
    <r>
      <rPr>
        <sz val="13"/>
        <color rgb="FF222222"/>
        <rFont val="Arial"/>
        <family val="2"/>
      </rPr>
      <t>, </t>
    </r>
    <r>
      <rPr>
        <i/>
        <sz val="13"/>
        <color rgb="FF222222"/>
        <rFont val="Arial"/>
        <family val="2"/>
      </rPr>
      <t>772</t>
    </r>
    <r>
      <rPr>
        <sz val="13"/>
        <color rgb="FF222222"/>
        <rFont val="Arial"/>
        <family val="2"/>
      </rPr>
      <t>(1), 261-275.</t>
    </r>
  </si>
  <si>
    <r>
      <t>Filgueira, R., Labarta, U., &amp; Fernández-Reiriz, M. J. (2008). Effect of condition index on allometric relationships of clearance rate in Mytilus galloprovincialis Lamarck, 1819. </t>
    </r>
    <r>
      <rPr>
        <i/>
        <sz val="13"/>
        <color rgb="FF222222"/>
        <rFont val="Arial"/>
        <family val="2"/>
      </rPr>
      <t>Revista de biología marina y oceanografía</t>
    </r>
    <r>
      <rPr>
        <sz val="13"/>
        <color rgb="FF222222"/>
        <rFont val="Arial"/>
        <family val="2"/>
      </rPr>
      <t>, </t>
    </r>
    <r>
      <rPr>
        <i/>
        <sz val="13"/>
        <color rgb="FF222222"/>
        <rFont val="Arial"/>
        <family val="2"/>
      </rPr>
      <t>43</t>
    </r>
    <r>
      <rPr>
        <sz val="13"/>
        <color rgb="FF222222"/>
        <rFont val="Arial"/>
        <family val="2"/>
      </rPr>
      <t>(2), 391-398.</t>
    </r>
  </si>
  <si>
    <t>Filgueria et al. 2008</t>
  </si>
  <si>
    <t>Arranz et al. 2016</t>
  </si>
  <si>
    <t>https://dialnet.unirioja.es/descarga/articulo/5295154.pdf</t>
  </si>
  <si>
    <t>https://idp.springer.com/authorize/casa?redirect_uri=https://link.springer.com/content/pdf/10.1007/s10750-016-2672-3.pdf&amp;casa_token=z8bEXwsk2owAAAAA:dI1bb2qz59PAC7lgcTIdXTKZzrCP5FMeg1x29dR4HFpHjmHtDx5ULGT0n02Oi9PR4I8soCSRHqF62szTZg</t>
  </si>
  <si>
    <t>https://www.researchgate.net/publication/239558985_Effects_of_elevated_temperatures_on_the_scope_for_growth_and_resistance_to_air_exposure_of_the_clam_Ruditapes_decussatus_L_from_southern_Portugal</t>
  </si>
  <si>
    <t>https://www.sciencedirect.com/science/article/pii/S0044848697000094</t>
  </si>
  <si>
    <t>http://cybertesis.uach.cl/tesis/uach/2013/fcl864r/doc/fcl864r.pdf</t>
  </si>
  <si>
    <t>https://link.springer.com/article/10.1007/BF00397666</t>
  </si>
  <si>
    <t>https://www.sciencedirect.com/science/article/abs/pii/S0022098112001773</t>
  </si>
  <si>
    <t>https://link.springer.com/article/10.1007/BF00390638</t>
  </si>
  <si>
    <t>Not required</t>
  </si>
  <si>
    <t xml:space="preserve">CR = 5.14 * exp( -0.00246 * (T - 18.5)^2 ) (W in g)^0.7 l per hour </t>
  </si>
  <si>
    <r>
      <t>Cranford, P. J., Ward, J. E., &amp; Shumway, S. E. (2011). Bivalve filter feeding: variability and limits of the aquaculture biofilter. </t>
    </r>
    <r>
      <rPr>
        <i/>
        <sz val="13"/>
        <color rgb="FF222222"/>
        <rFont val="Arial"/>
        <family val="2"/>
      </rPr>
      <t>Shellfish aquaculture and the environment</t>
    </r>
    <r>
      <rPr>
        <sz val="13"/>
        <color rgb="FF222222"/>
        <rFont val="Arial"/>
        <family val="2"/>
      </rPr>
      <t>, 81-124.</t>
    </r>
  </si>
  <si>
    <t>Cranford et al. 2011</t>
  </si>
  <si>
    <t>http://nacsetac.org/wp-content/uploads/2021/05/Cranford_etal_2011_Shellf_Aq_Env-corrected.pdf</t>
  </si>
  <si>
    <t>Filgueria et al. 2008, Arranz et al. 2016, Cranford et al. 2011</t>
  </si>
  <si>
    <t>"Universal" allometric relationship used. Only valid for temps between 10 and 14C</t>
  </si>
  <si>
    <t>Length-weight conversion is for Pinna rudis</t>
  </si>
  <si>
    <t>Pinna nobilis</t>
  </si>
  <si>
    <t>Vila Joiosa, Alicante (Spain) </t>
  </si>
  <si>
    <t>unknown</t>
  </si>
  <si>
    <t>DWmeat.mg = 0.00554 (H.mm)^2.69</t>
  </si>
  <si>
    <t>Mar Menor, Spain</t>
  </si>
  <si>
    <r>
      <t xml:space="preserve">NB this data is for the proxy species </t>
    </r>
    <r>
      <rPr>
        <i/>
        <sz val="12"/>
        <color theme="1"/>
        <rFont val="Aptos Narrow"/>
        <scheme val="minor"/>
      </rPr>
      <t>Ostrea edulis</t>
    </r>
    <r>
      <rPr>
        <sz val="12"/>
        <color theme="1"/>
        <rFont val="Aptos Narrow"/>
        <family val="2"/>
        <scheme val="minor"/>
      </rPr>
      <t>. To obtain the height-weight conversion we fitted a linear model for log(Weight) as a function of log(height). The R^2 of the fit was 0.84.</t>
    </r>
  </si>
  <si>
    <t>Hernandes unpublished data</t>
  </si>
  <si>
    <t xml:space="preserve">Mundka, País vasco, Northern Spain </t>
  </si>
  <si>
    <r>
      <t>Urrutia, M. B., Ibarrola, I., Iglesias, J. I. P., &amp; Navarro, E. (1999). Energetics of growth and reproduction in a high-tidal population of the clam Ruditapes decussatus from Urdaibai Estuary (Basque Country, N. Spain). </t>
    </r>
    <r>
      <rPr>
        <i/>
        <sz val="13"/>
        <color rgb="FF222222"/>
        <rFont val="Arial"/>
        <family val="2"/>
      </rPr>
      <t>Journal of Sea Research</t>
    </r>
    <r>
      <rPr>
        <sz val="13"/>
        <color rgb="FF222222"/>
        <rFont val="Arial"/>
        <family val="2"/>
      </rPr>
      <t>, </t>
    </r>
    <r>
      <rPr>
        <i/>
        <sz val="13"/>
        <color rgb="FF222222"/>
        <rFont val="Arial"/>
        <family val="2"/>
      </rPr>
      <t>42</t>
    </r>
    <r>
      <rPr>
        <sz val="13"/>
        <color rgb="FF222222"/>
        <rFont val="Arial"/>
        <family val="2"/>
      </rPr>
      <t>(1), 35-48.</t>
    </r>
  </si>
  <si>
    <t>Urrutia et al. 1999</t>
  </si>
  <si>
    <t>Summer</t>
  </si>
  <si>
    <t>Autumn</t>
  </si>
  <si>
    <t>Winter</t>
  </si>
  <si>
    <t>Spring</t>
  </si>
  <si>
    <t>Noted that this is for a natural intertidal population and condition may therefore be lower than in aquaculture. Length to weight shows strong seasonal variability. The values presented here are the mean values by season.</t>
  </si>
  <si>
    <t>DTW (g)=  0.00000321 L(mm)^2.54</t>
  </si>
  <si>
    <t>DTW(g)=1.703*10^-5*(Lmm)^2.891</t>
  </si>
  <si>
    <t>DTW(g)=1.815*10^-5*(Lmm)^2.909</t>
  </si>
  <si>
    <t>DTW(g)=1.610*10^-5*(Lmm)^2.906</t>
  </si>
  <si>
    <t>DTW(g)=1.773*10^-5*(Lmm)^2.870</t>
  </si>
  <si>
    <t>Fangar, Ebro Delta</t>
  </si>
  <si>
    <t>Masnou, Ebro Delta</t>
  </si>
  <si>
    <t>Annual</t>
  </si>
  <si>
    <t>DTW(g)=(0.169*10^-5)*L(mm)^3.1475</t>
  </si>
  <si>
    <t>DTW(g)=(0.137*10^-5)*L(mm)^3.2171</t>
  </si>
  <si>
    <r>
      <t>Ramón, M., Fernández, M., &amp; Galimany, E. (2007). Development of mussel (Mytilus galloprovincialis) seed from two different origins in a semi-enclosed Mediterranean Bay (NE Spain). </t>
    </r>
    <r>
      <rPr>
        <i/>
        <sz val="13"/>
        <color rgb="FF222222"/>
        <rFont val="Arial"/>
        <family val="2"/>
      </rPr>
      <t>Aquaculture</t>
    </r>
    <r>
      <rPr>
        <sz val="13"/>
        <color rgb="FF222222"/>
        <rFont val="Arial"/>
        <family val="2"/>
      </rPr>
      <t>, </t>
    </r>
    <r>
      <rPr>
        <i/>
        <sz val="13"/>
        <color rgb="FF222222"/>
        <rFont val="Arial"/>
        <family val="2"/>
      </rPr>
      <t>264</t>
    </r>
    <r>
      <rPr>
        <sz val="13"/>
        <color rgb="FF222222"/>
        <rFont val="Arial"/>
        <family val="2"/>
      </rPr>
      <t>(1-4), 148-159.</t>
    </r>
  </si>
  <si>
    <t>Ramón et al. 2007</t>
  </si>
  <si>
    <t>DTW(g) = -0.451 + 0.0186 * (L/mm)</t>
  </si>
  <si>
    <t>Alvarez Jorna, P. (1995) Crecimiento, reproducción y energética fisiológica de la almeja tapes philippinarum. PhD Thesis. Universidad del País Vasco - Euskal Herriko Unibertsitatea</t>
  </si>
  <si>
    <t>Alvarez Jorna, P. (1995)</t>
  </si>
  <si>
    <t>Cantabria (Northern Spain)</t>
  </si>
  <si>
    <t>DTW(g)=18.9936333*10^-6*(Lmm)^2.7178</t>
  </si>
  <si>
    <t>DTW(g)=12.39494*10^-6*(Lmm)^2.89704</t>
  </si>
  <si>
    <t>DTW(g)=13.7052875*10^-6*(Lmm)^2.8253</t>
  </si>
  <si>
    <t>DTW(g)=17.1689125*10^-6*(Lmm)^2.7503</t>
  </si>
  <si>
    <t>Pinna rudis</t>
  </si>
  <si>
    <t>Hernandes et al. 2021</t>
  </si>
  <si>
    <r>
      <t>Hernandis, S., Ibarrola, I., Tena-Medialdea, J., Albentosa, M., Prado, P., Vázquez-Luis, M., &amp; García-March, J. R. (2023). Physiological responses of the fan mussel Pinna nobilis to temperature: ecological and captivity implications. </t>
    </r>
    <r>
      <rPr>
        <i/>
        <sz val="13"/>
        <color rgb="FF222222"/>
        <rFont val="Arial"/>
        <family val="2"/>
      </rPr>
      <t>Mediterranean Marine Science</t>
    </r>
    <r>
      <rPr>
        <sz val="13"/>
        <color rgb="FF222222"/>
        <rFont val="Arial"/>
        <family val="2"/>
      </rPr>
      <t>.</t>
    </r>
  </si>
  <si>
    <t>Hernandis et al. 2023</t>
  </si>
  <si>
    <t>Hernandes et al. 2023 and Hernandes unpublished data</t>
  </si>
  <si>
    <t>CR(L/h)= 18.3 exp( -0.00889 * (T - 26.8)^2 ) * (DTW)^0.784</t>
  </si>
  <si>
    <t>CR(L/h)= 12.3 exp( -0.00889 * (T - 26.8)^2 ) * (DTW)^0.784</t>
  </si>
  <si>
    <r>
      <t>Hernandis, S., Tena-Medialdea, J., Téllez, C., López, D., Prado, P., &amp; García-March, J. R. (2021). Suspended culture of Pinna rudis enhances survival and allows the development of a seasonal growth model for Mediterranean Pinnids. </t>
    </r>
    <r>
      <rPr>
        <i/>
        <sz val="13"/>
        <color rgb="FF222222"/>
        <rFont val="Arial"/>
        <family val="2"/>
      </rPr>
      <t>Aquaculture</t>
    </r>
    <r>
      <rPr>
        <sz val="13"/>
        <color rgb="FF222222"/>
        <rFont val="Arial"/>
        <family val="2"/>
      </rPr>
      <t>, </t>
    </r>
    <r>
      <rPr>
        <i/>
        <sz val="13"/>
        <color rgb="FF222222"/>
        <rFont val="Arial"/>
        <family val="2"/>
      </rPr>
      <t>543</t>
    </r>
    <r>
      <rPr>
        <sz val="13"/>
        <color rgb="FF222222"/>
        <rFont val="Arial"/>
        <family val="2"/>
      </rPr>
      <t>, 736964.</t>
    </r>
  </si>
  <si>
    <t>https://repositori.irta.cat/bitstream/handle/20.500.12327/1454/Hernandis_Suspended_2021.pdf?sequence=1</t>
  </si>
  <si>
    <t>https://repositori.irta.cat/bitstream/handle/20.500.12327/2228/Hernandis_Physiological_2023.pdf?sequence=1</t>
  </si>
  <si>
    <t>https://ecowin.org/pdf/documents/Ramon%20et%20al%202007%20Gallo%20mussel%20seed%20Aquaculture.pdf</t>
  </si>
  <si>
    <t>https://www.sciencedirect.com/science/article/pii/S1385110199000179</t>
  </si>
  <si>
    <t>At the moment, the spreadsheet picks up the first of the listed length to dry tissue weight conversion listed. If an alternative location/season is preferable, this currently has to be manually selected.</t>
  </si>
  <si>
    <t>Normalised to the Pinna rudis data, with temperature dependence derived from Pinna nobilis.</t>
  </si>
  <si>
    <t xml:space="preserve">Weight dependence fitted to CR data from Pinna rudis data and  temperature dependence fitted to CR estimates for Pinna nobilis.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</si>
</sst>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2"/>
      <color rgb="FF000000"/>
      <name val="Helvetica"/>
      <family val="2"/>
    </font>
    <font>
      <sz val="12"/>
      <color theme="1"/>
      <name val="Helvetica"/>
      <family val="2"/>
    </font>
    <font>
      <sz val="12"/>
      <color theme="1"/>
      <name val="Aptos"/>
    </font>
    <font>
      <i/>
      <sz val="12"/>
      <color theme="1"/>
      <name val="Aptos"/>
    </font>
    <font>
      <b/>
      <sz val="12"/>
      <color theme="1"/>
      <name val="Aptos Narrow"/>
      <scheme val="minor"/>
    </font>
    <font>
      <sz val="12"/>
      <color rgb="FF000000"/>
      <name val="Aptos Narrow"/>
      <family val="2"/>
      <scheme val="minor"/>
    </font>
    <font>
      <i/>
      <sz val="12"/>
      <color theme="1"/>
      <name val="Aptos Narrow"/>
      <scheme val="minor"/>
    </font>
    <font>
      <sz val="13"/>
      <color rgb="FF222222"/>
      <name val="Arial"/>
      <family val="2"/>
    </font>
    <font>
      <i/>
      <sz val="13"/>
      <color rgb="FF222222"/>
      <name val="Arial"/>
      <family val="2"/>
    </font>
    <font>
      <u/>
      <sz val="12"/>
      <color theme="10"/>
      <name val="Aptos Narrow"/>
      <family val="2"/>
      <scheme val="minor"/>
    </font>
    <font>
      <i/>
      <sz val="14"/>
      <color rgb="FF222222"/>
      <name val="Arial"/>
      <family val="2"/>
    </font>
    <font>
      <sz val="14"/>
      <color rgb="FF222222"/>
      <name val="Arial"/>
      <family val="2"/>
    </font>
    <font>
      <sz val="16"/>
      <color theme="1"/>
      <name val="Arial"/>
      <family val="2"/>
    </font>
    <font>
      <b/>
      <sz val="16"/>
      <color theme="1"/>
      <name val="Arial"/>
      <family val="2"/>
    </font>
  </fonts>
  <fills count="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0" fillId="0" borderId="0" applyNumberFormat="0" applyFill="0" applyBorder="0" applyAlignment="0" applyProtection="0"/>
  </cellStyleXfs>
  <cellXfs count="15">
    <xf numFmtId="0" fontId="0" fillId="0" borderId="0" xfId="0"/>
    <xf numFmtId="0" fontId="2" fillId="0" borderId="0" xfId="0" applyFont="1"/>
    <xf numFmtId="0" fontId="1" fillId="0" borderId="0" xfId="0" applyFont="1"/>
    <xf numFmtId="0" fontId="4" fillId="0" borderId="0" xfId="0" applyFont="1" applyAlignment="1">
      <alignment vertical="center"/>
    </xf>
    <xf numFmtId="0" fontId="5" fillId="0" borderId="0" xfId="0" applyFont="1"/>
    <xf numFmtId="0" fontId="3" fillId="0" borderId="0" xfId="0" applyFont="1" applyAlignment="1">
      <alignment vertical="center"/>
    </xf>
    <xf numFmtId="0" fontId="6" fillId="0" borderId="0" xfId="0" applyFont="1"/>
    <xf numFmtId="0" fontId="7" fillId="0" borderId="0" xfId="0" applyFont="1"/>
    <xf numFmtId="0" fontId="0" fillId="2" borderId="1" xfId="0" applyFill="1" applyBorder="1"/>
    <xf numFmtId="0" fontId="0" fillId="3" borderId="1" xfId="0" applyFill="1" applyBorder="1"/>
    <xf numFmtId="0" fontId="10" fillId="0" borderId="0" xfId="1"/>
    <xf numFmtId="0" fontId="8" fillId="0" borderId="0" xfId="0" applyFont="1"/>
    <xf numFmtId="0" fontId="13" fillId="0" borderId="0" xfId="0" applyFont="1"/>
    <xf numFmtId="0" fontId="14" fillId="0" borderId="0" xfId="0"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doi.org/10.2478/v10104-012-002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E48E-7BF1-2943-A195-E1F668C1711F}">
  <dimension ref="A1:A12"/>
  <sheetViews>
    <sheetView workbookViewId="0">
      <selection activeCell="D13" sqref="D13"/>
    </sheetView>
  </sheetViews>
  <sheetFormatPr baseColWidth="10" defaultRowHeight="16" x14ac:dyDescent="0.2"/>
  <sheetData>
    <row r="1" spans="1:1" x14ac:dyDescent="0.2">
      <c r="A1" t="s">
        <v>66</v>
      </c>
    </row>
    <row r="2" spans="1:1" x14ac:dyDescent="0.2">
      <c r="A2" t="s">
        <v>69</v>
      </c>
    </row>
    <row r="4" spans="1:1" x14ac:dyDescent="0.2">
      <c r="A4" t="s">
        <v>71</v>
      </c>
    </row>
    <row r="5" spans="1:1" x14ac:dyDescent="0.2">
      <c r="A5" t="s">
        <v>70</v>
      </c>
    </row>
    <row r="6" spans="1:1" x14ac:dyDescent="0.2">
      <c r="A6" t="s">
        <v>72</v>
      </c>
    </row>
    <row r="7" spans="1:1" x14ac:dyDescent="0.2">
      <c r="A7" t="s">
        <v>73</v>
      </c>
    </row>
    <row r="8" spans="1:1" x14ac:dyDescent="0.2">
      <c r="A8" t="s">
        <v>74</v>
      </c>
    </row>
    <row r="10" spans="1:1" x14ac:dyDescent="0.2">
      <c r="A10" s="4" t="s">
        <v>67</v>
      </c>
    </row>
    <row r="11" spans="1:1" x14ac:dyDescent="0.2">
      <c r="A11" t="s">
        <v>68</v>
      </c>
    </row>
    <row r="12" spans="1:1" x14ac:dyDescent="0.2">
      <c r="A12" t="s">
        <v>184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4FA4C-AA4A-434F-BEEF-985EBDDC1BD8}">
  <dimension ref="A1:K2"/>
  <sheetViews>
    <sheetView workbookViewId="0">
      <selection activeCell="D2" sqref="D2"/>
    </sheetView>
  </sheetViews>
  <sheetFormatPr baseColWidth="10" defaultRowHeight="16" x14ac:dyDescent="0.2"/>
  <cols>
    <col min="1" max="1" width="23.1640625" bestFit="1" customWidth="1"/>
    <col min="2" max="2" width="43" bestFit="1" customWidth="1"/>
    <col min="3" max="3" width="15" bestFit="1" customWidth="1"/>
    <col min="4" max="4" width="15" customWidth="1"/>
    <col min="5" max="5" width="19.33203125" customWidth="1"/>
    <col min="6" max="6" width="33.6640625" bestFit="1" customWidth="1"/>
    <col min="7" max="7" width="16.5" bestFit="1" customWidth="1"/>
    <col min="8" max="8" width="12.83203125" bestFit="1" customWidth="1"/>
  </cols>
  <sheetData>
    <row r="1" spans="1:11" ht="17" thickBot="1" x14ac:dyDescent="0.25">
      <c r="A1" s="4" t="s">
        <v>0</v>
      </c>
      <c r="B1" t="s">
        <v>30</v>
      </c>
      <c r="C1" s="4" t="s">
        <v>2</v>
      </c>
      <c r="D1" t="s">
        <v>34</v>
      </c>
      <c r="E1" s="4" t="s">
        <v>14</v>
      </c>
      <c r="F1" t="s">
        <v>15</v>
      </c>
      <c r="G1" t="s">
        <v>3</v>
      </c>
      <c r="H1" t="s">
        <v>4</v>
      </c>
      <c r="I1" t="s">
        <v>36</v>
      </c>
      <c r="K1" t="s">
        <v>43</v>
      </c>
    </row>
    <row r="2" spans="1:11" ht="17" thickBot="1" x14ac:dyDescent="0.25">
      <c r="A2" s="7" t="s">
        <v>172</v>
      </c>
      <c r="B2" t="str">
        <f>VLOOKUP(A2,Final_equations!A:C,3,FALSE)</f>
        <v>CR(L/h)= 12.3 exp( -0.00889 * (T - 26.8)^2 ) * (DTW)^0.784</v>
      </c>
      <c r="C2" s="8">
        <v>50</v>
      </c>
      <c r="D2">
        <f>VLOOKUP(Filtration_calculator!A2,'length-weight_conversions'!A1:E24,5,FALSE)</f>
        <v>6.6357320876920228E-2</v>
      </c>
      <c r="E2" s="9">
        <v>25</v>
      </c>
      <c r="F2">
        <f>VLOOKUP(A2,Final_equations!A:B,2,FALSE)</f>
        <v>1.4248092309525136</v>
      </c>
      <c r="G2">
        <v>10000</v>
      </c>
      <c r="H2">
        <f>F2*G2</f>
        <v>14248.092309525135</v>
      </c>
      <c r="I2">
        <f>H2/1000*24</f>
        <v>341.95421542860322</v>
      </c>
    </row>
  </sheetData>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3695E807-2BCC-8241-87F6-1806B3929A7D}">
          <x14:formula1>
            <xm:f>Final_equations!$A$2:$A$17</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C66F-7193-E948-864C-69260C6BDA23}">
  <dimension ref="A1:G23"/>
  <sheetViews>
    <sheetView topLeftCell="A10" workbookViewId="0">
      <selection activeCell="E4" sqref="E4"/>
    </sheetView>
  </sheetViews>
  <sheetFormatPr baseColWidth="10" defaultRowHeight="16" x14ac:dyDescent="0.2"/>
  <cols>
    <col min="1" max="1" width="23.6640625" bestFit="1" customWidth="1"/>
    <col min="5" max="5" width="45.83203125" bestFit="1" customWidth="1"/>
  </cols>
  <sheetData>
    <row r="1" spans="1:7" x14ac:dyDescent="0.2">
      <c r="A1" s="4" t="s">
        <v>0</v>
      </c>
      <c r="B1" s="4" t="s">
        <v>31</v>
      </c>
      <c r="C1" s="4" t="s">
        <v>32</v>
      </c>
      <c r="D1" s="4" t="s">
        <v>75</v>
      </c>
      <c r="E1" s="4" t="s">
        <v>65</v>
      </c>
      <c r="F1" s="4" t="s">
        <v>1</v>
      </c>
      <c r="G1" s="4" t="s">
        <v>108</v>
      </c>
    </row>
    <row r="2" spans="1:7" x14ac:dyDescent="0.2">
      <c r="A2" t="s">
        <v>26</v>
      </c>
      <c r="B2" t="s">
        <v>80</v>
      </c>
      <c r="C2" t="s">
        <v>79</v>
      </c>
      <c r="D2" t="s">
        <v>164</v>
      </c>
      <c r="E2">
        <f>-0.451+0.0186*Filtration_calculator!C2</f>
        <v>0.47899999999999993</v>
      </c>
      <c r="F2" t="s">
        <v>77</v>
      </c>
    </row>
    <row r="3" spans="1:7" x14ac:dyDescent="0.2">
      <c r="A3" t="s">
        <v>137</v>
      </c>
      <c r="B3" t="s">
        <v>138</v>
      </c>
      <c r="C3" t="s">
        <v>139</v>
      </c>
      <c r="D3" t="s">
        <v>152</v>
      </c>
      <c r="E3">
        <f>0.00000321*Filtration_calculator!C2^2.54</f>
        <v>6.6357320876920228E-2</v>
      </c>
      <c r="F3" t="s">
        <v>173</v>
      </c>
      <c r="G3" t="s">
        <v>136</v>
      </c>
    </row>
    <row r="4" spans="1:7" x14ac:dyDescent="0.2">
      <c r="A4" t="s">
        <v>172</v>
      </c>
      <c r="B4" t="s">
        <v>138</v>
      </c>
      <c r="C4" t="s">
        <v>139</v>
      </c>
      <c r="D4" t="s">
        <v>152</v>
      </c>
      <c r="E4">
        <f>0.00000321*Filtration_calculator!C2^2.54</f>
        <v>6.6357320876920228E-2</v>
      </c>
      <c r="F4" t="s">
        <v>173</v>
      </c>
    </row>
    <row r="5" spans="1:7" x14ac:dyDescent="0.2">
      <c r="A5" s="3" t="s">
        <v>29</v>
      </c>
      <c r="B5" t="s">
        <v>95</v>
      </c>
      <c r="C5" t="s">
        <v>96</v>
      </c>
      <c r="D5" t="s">
        <v>92</v>
      </c>
      <c r="E5">
        <f>0.000027*Filtration_calculator!C2^2.525</f>
        <v>0.52633593876385154</v>
      </c>
      <c r="F5" s="6" t="s">
        <v>94</v>
      </c>
    </row>
    <row r="6" spans="1:7" x14ac:dyDescent="0.2">
      <c r="A6" s="3" t="s">
        <v>29</v>
      </c>
      <c r="B6" t="s">
        <v>99</v>
      </c>
      <c r="C6" t="s">
        <v>100</v>
      </c>
      <c r="D6" t="s">
        <v>101</v>
      </c>
      <c r="E6">
        <f>0.0089*(Filtration_calculator!C2/10)^2.82</f>
        <v>0.83269396840975929</v>
      </c>
      <c r="F6" s="6" t="s">
        <v>98</v>
      </c>
    </row>
    <row r="7" spans="1:7" x14ac:dyDescent="0.2">
      <c r="A7" s="3" t="s">
        <v>18</v>
      </c>
      <c r="B7" t="s">
        <v>111</v>
      </c>
      <c r="C7" t="s">
        <v>112</v>
      </c>
      <c r="D7" t="s">
        <v>110</v>
      </c>
      <c r="E7">
        <f>0.0041*(Filtration_calculator!C2/10)^2.48</f>
        <v>0.22193687543402596</v>
      </c>
      <c r="F7" t="s">
        <v>107</v>
      </c>
    </row>
    <row r="8" spans="1:7" x14ac:dyDescent="0.2">
      <c r="A8" s="3" t="s">
        <v>19</v>
      </c>
    </row>
    <row r="9" spans="1:7" x14ac:dyDescent="0.2">
      <c r="A9" s="3" t="s">
        <v>20</v>
      </c>
    </row>
    <row r="10" spans="1:7" x14ac:dyDescent="0.2">
      <c r="A10" s="3" t="s">
        <v>21</v>
      </c>
    </row>
    <row r="11" spans="1:7" x14ac:dyDescent="0.2">
      <c r="A11" s="3" t="s">
        <v>22</v>
      </c>
      <c r="B11" t="s">
        <v>157</v>
      </c>
      <c r="C11" t="s">
        <v>159</v>
      </c>
      <c r="D11" t="s">
        <v>161</v>
      </c>
      <c r="E11">
        <f>(0.137*10^-5)*Filtration_calculator!C2^3.2171</f>
        <v>0.40038423423195663</v>
      </c>
      <c r="F11" t="s">
        <v>163</v>
      </c>
    </row>
    <row r="12" spans="1:7" x14ac:dyDescent="0.2">
      <c r="A12" s="3" t="s">
        <v>22</v>
      </c>
      <c r="B12" t="s">
        <v>158</v>
      </c>
      <c r="C12" t="s">
        <v>159</v>
      </c>
      <c r="D12" t="s">
        <v>160</v>
      </c>
      <c r="E12">
        <f>(0.169*10^-5)*Filtration_calculator!C2^3.1475</f>
        <v>0.37617921276716043</v>
      </c>
      <c r="F12" t="s">
        <v>163</v>
      </c>
    </row>
    <row r="13" spans="1:7" x14ac:dyDescent="0.2">
      <c r="A13" s="3" t="s">
        <v>23</v>
      </c>
      <c r="B13" t="s">
        <v>144</v>
      </c>
      <c r="C13" t="s">
        <v>147</v>
      </c>
      <c r="D13" t="s">
        <v>153</v>
      </c>
      <c r="E13">
        <f>1.703*10^-5*Filtration_calculator!C2^2.891</f>
        <v>1.3897507929243837</v>
      </c>
      <c r="F13" t="s">
        <v>146</v>
      </c>
      <c r="G13" t="s">
        <v>151</v>
      </c>
    </row>
    <row r="14" spans="1:7" x14ac:dyDescent="0.2">
      <c r="A14" s="3" t="s">
        <v>23</v>
      </c>
      <c r="B14" t="s">
        <v>144</v>
      </c>
      <c r="C14" t="s">
        <v>148</v>
      </c>
      <c r="D14" t="s">
        <v>154</v>
      </c>
      <c r="E14">
        <f>1.815*10^-5*Filtration_calculator!C2^2.909</f>
        <v>1.5892066437896442</v>
      </c>
      <c r="F14" t="s">
        <v>146</v>
      </c>
      <c r="G14" t="s">
        <v>151</v>
      </c>
    </row>
    <row r="15" spans="1:7" x14ac:dyDescent="0.2">
      <c r="A15" s="3" t="s">
        <v>23</v>
      </c>
      <c r="B15" t="s">
        <v>144</v>
      </c>
      <c r="C15" t="s">
        <v>149</v>
      </c>
      <c r="D15" s="6" t="s">
        <v>155</v>
      </c>
      <c r="E15">
        <f>1.61*10^-5*Filtration_calculator!C2^2.906</f>
        <v>1.3932617316781033</v>
      </c>
      <c r="F15" t="s">
        <v>146</v>
      </c>
      <c r="G15" t="s">
        <v>151</v>
      </c>
    </row>
    <row r="16" spans="1:7" x14ac:dyDescent="0.2">
      <c r="A16" s="3" t="s">
        <v>23</v>
      </c>
      <c r="B16" t="s">
        <v>144</v>
      </c>
      <c r="C16" t="s">
        <v>150</v>
      </c>
      <c r="D16" s="6" t="s">
        <v>156</v>
      </c>
      <c r="E16">
        <f>1.773*10^-5*Filtration_calculator!C2^2.87</f>
        <v>1.3327621427137633</v>
      </c>
      <c r="F16" t="s">
        <v>146</v>
      </c>
      <c r="G16" t="s">
        <v>151</v>
      </c>
    </row>
    <row r="17" spans="1:7" x14ac:dyDescent="0.2">
      <c r="A17" s="3" t="s">
        <v>24</v>
      </c>
      <c r="B17" s="14" t="s">
        <v>167</v>
      </c>
      <c r="C17" t="s">
        <v>147</v>
      </c>
      <c r="D17" s="6" t="s">
        <v>169</v>
      </c>
      <c r="E17">
        <f>12.39494*10^-6*Filtration_calculator!C2^2.89704</f>
        <v>1.0356869169985046</v>
      </c>
      <c r="F17" t="s">
        <v>166</v>
      </c>
    </row>
    <row r="18" spans="1:7" x14ac:dyDescent="0.2">
      <c r="A18" s="3" t="s">
        <v>24</v>
      </c>
      <c r="B18" s="14" t="s">
        <v>167</v>
      </c>
      <c r="C18" t="s">
        <v>148</v>
      </c>
      <c r="D18" s="6" t="s">
        <v>168</v>
      </c>
      <c r="E18">
        <f>18.9936333*10^-6*Filtration_calculator!C2^2.7178</f>
        <v>0.78717034907255012</v>
      </c>
      <c r="F18" t="s">
        <v>166</v>
      </c>
    </row>
    <row r="19" spans="1:7" x14ac:dyDescent="0.2">
      <c r="A19" s="3" t="s">
        <v>24</v>
      </c>
      <c r="B19" s="14" t="s">
        <v>167</v>
      </c>
      <c r="C19" t="s">
        <v>149</v>
      </c>
      <c r="D19" s="6" t="s">
        <v>170</v>
      </c>
      <c r="E19">
        <f>13.7052875*10^-6*Filtration_calculator!C2^2.8253</f>
        <v>0.86494422538912696</v>
      </c>
      <c r="F19" t="s">
        <v>166</v>
      </c>
    </row>
    <row r="20" spans="1:7" x14ac:dyDescent="0.2">
      <c r="A20" s="3" t="s">
        <v>24</v>
      </c>
      <c r="B20" s="14" t="s">
        <v>167</v>
      </c>
      <c r="C20" t="s">
        <v>150</v>
      </c>
      <c r="D20" s="6" t="s">
        <v>171</v>
      </c>
      <c r="E20">
        <f>17.1689125*10^-6*Filtration_calculator!C2^2.7503</f>
        <v>0.80801605513018993</v>
      </c>
      <c r="F20" t="s">
        <v>166</v>
      </c>
    </row>
    <row r="21" spans="1:7" x14ac:dyDescent="0.2">
      <c r="A21" s="3" t="s">
        <v>25</v>
      </c>
    </row>
    <row r="22" spans="1:7" x14ac:dyDescent="0.2">
      <c r="A22" s="3" t="s">
        <v>27</v>
      </c>
      <c r="B22" t="s">
        <v>141</v>
      </c>
      <c r="D22" s="6" t="s">
        <v>140</v>
      </c>
      <c r="E22">
        <f>0.00000554*(Filtration_calculator!C2)^2.69</f>
        <v>0.20593922610985879</v>
      </c>
      <c r="F22" t="s">
        <v>143</v>
      </c>
      <c r="G22" t="s">
        <v>142</v>
      </c>
    </row>
    <row r="23" spans="1:7" x14ac:dyDescent="0.2">
      <c r="A23" s="3" t="s">
        <v>5</v>
      </c>
      <c r="B23" t="s">
        <v>129</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CE0E-BF21-284D-9260-958A019E1EE9}">
  <dimension ref="A1:E19"/>
  <sheetViews>
    <sheetView tabSelected="1" topLeftCell="A2" workbookViewId="0">
      <selection activeCell="E16" sqref="E16"/>
    </sheetView>
  </sheetViews>
  <sheetFormatPr baseColWidth="10" defaultRowHeight="16" x14ac:dyDescent="0.2"/>
  <cols>
    <col min="1" max="1" width="23.83203125" bestFit="1" customWidth="1"/>
    <col min="2" max="2" width="23.6640625" customWidth="1"/>
    <col min="3" max="3" width="18.5" customWidth="1"/>
    <col min="4" max="5" width="16.33203125" customWidth="1"/>
    <col min="6" max="6" width="43.83203125" bestFit="1" customWidth="1"/>
  </cols>
  <sheetData>
    <row r="1" spans="1:5" s="4" customFormat="1" x14ac:dyDescent="0.2">
      <c r="A1" s="4" t="s">
        <v>0</v>
      </c>
      <c r="B1" s="4" t="s">
        <v>16</v>
      </c>
      <c r="C1" s="4" t="s">
        <v>35</v>
      </c>
      <c r="D1" s="4" t="s">
        <v>1</v>
      </c>
      <c r="E1" s="4" t="s">
        <v>6</v>
      </c>
    </row>
    <row r="2" spans="1:5" x14ac:dyDescent="0.2">
      <c r="A2" s="3" t="s">
        <v>17</v>
      </c>
      <c r="B2" t="s">
        <v>33</v>
      </c>
    </row>
    <row r="3" spans="1:5" x14ac:dyDescent="0.2">
      <c r="A3" s="3" t="s">
        <v>18</v>
      </c>
      <c r="B3">
        <f>(4.825-(0.013*(Filtration_calculator!E2-18.954)^2))*Filtration_calculator!D2^0.439</f>
        <v>1.3221421200212977</v>
      </c>
      <c r="C3" t="s">
        <v>11</v>
      </c>
      <c r="D3" t="s">
        <v>12</v>
      </c>
      <c r="E3" t="s">
        <v>109</v>
      </c>
    </row>
    <row r="4" spans="1:5" x14ac:dyDescent="0.2">
      <c r="A4" s="3" t="s">
        <v>19</v>
      </c>
      <c r="B4">
        <f>16.34*EXP(-0.0152*(Filtration_calculator!E2-28.6)^2 )*Filtration_calculator!D2^0.608</f>
        <v>2.5787422181471031</v>
      </c>
      <c r="C4" t="s">
        <v>41</v>
      </c>
      <c r="D4" t="s">
        <v>38</v>
      </c>
      <c r="E4" t="s">
        <v>39</v>
      </c>
    </row>
    <row r="5" spans="1:5" x14ac:dyDescent="0.2">
      <c r="A5" s="3" t="s">
        <v>20</v>
      </c>
      <c r="B5">
        <f>7.475*EXP(-0.00473*(Filtration_calculator!E2-29.1)^2 )*Filtration_calculator!D2^(0.75)</f>
        <v>0.90260245560773122</v>
      </c>
      <c r="C5" t="s">
        <v>45</v>
      </c>
      <c r="D5" t="s">
        <v>7</v>
      </c>
      <c r="E5" t="s">
        <v>46</v>
      </c>
    </row>
    <row r="6" spans="1:5" x14ac:dyDescent="0.2">
      <c r="A6" s="3" t="s">
        <v>21</v>
      </c>
      <c r="B6">
        <f>13.1*EXP(-0.0099*(Filtration_calculator!E2-28.3)^2)*Filtration_calculator!D2^0.617</f>
        <v>2.2057434063316479</v>
      </c>
      <c r="C6" t="s">
        <v>49</v>
      </c>
      <c r="D6" t="s">
        <v>48</v>
      </c>
    </row>
    <row r="7" spans="1:5" x14ac:dyDescent="0.2">
      <c r="A7" s="3" t="s">
        <v>22</v>
      </c>
      <c r="B7">
        <f>4.16*EXP(-0.0181*(Filtration_calculator!E2-14.88)^2)*Filtration_calculator!D2^0.58</f>
        <v>0.13512537143423445</v>
      </c>
      <c r="C7" t="s">
        <v>114</v>
      </c>
      <c r="D7" t="s">
        <v>134</v>
      </c>
      <c r="E7" t="s">
        <v>135</v>
      </c>
    </row>
    <row r="8" spans="1:5" x14ac:dyDescent="0.2">
      <c r="A8" s="3" t="s">
        <v>23</v>
      </c>
      <c r="B8">
        <f>5.14*EXP(-0.00246*(Filtration_calculator!E2- 18.5)^2 )*Filtration_calculator!D2^0.7</f>
        <v>0.69366041661892741</v>
      </c>
      <c r="C8" t="s">
        <v>130</v>
      </c>
      <c r="D8" s="1" t="s">
        <v>115</v>
      </c>
    </row>
    <row r="9" spans="1:5" x14ac:dyDescent="0.2">
      <c r="A9" s="3" t="s">
        <v>24</v>
      </c>
      <c r="B9">
        <f>2.54*EXP(-0.00411*(Filtration_calculator!E2-27.9)^2)*Filtration_calculator!D2^0.792</f>
        <v>0.28625840585825341</v>
      </c>
      <c r="C9" t="s">
        <v>42</v>
      </c>
      <c r="D9" t="s">
        <v>10</v>
      </c>
      <c r="E9" t="s">
        <v>40</v>
      </c>
    </row>
    <row r="10" spans="1:5" x14ac:dyDescent="0.2">
      <c r="A10" s="3" t="s">
        <v>25</v>
      </c>
      <c r="B10" t="s">
        <v>33</v>
      </c>
    </row>
    <row r="11" spans="1:5" x14ac:dyDescent="0.2">
      <c r="A11" s="3" t="s">
        <v>26</v>
      </c>
      <c r="B11" s="2">
        <f>5.04*EXP(-0.0454*(Filtration_calculator!E2-29.3)^2)*Filtration_calculator!D2^0.764</f>
        <v>0.27402289304878119</v>
      </c>
      <c r="C11" s="2" t="s">
        <v>82</v>
      </c>
      <c r="D11" s="2" t="s">
        <v>81</v>
      </c>
    </row>
    <row r="12" spans="1:5" x14ac:dyDescent="0.2">
      <c r="A12" s="3" t="s">
        <v>27</v>
      </c>
      <c r="B12">
        <f>(0.162+(0.072*1.131^Filtration_calculator!E2))*Filtration_calculator!D2^0.622</f>
        <v>0.31911584178111602</v>
      </c>
      <c r="C12" t="s">
        <v>44</v>
      </c>
      <c r="D12" t="s">
        <v>13</v>
      </c>
    </row>
    <row r="13" spans="1:5" x14ac:dyDescent="0.2">
      <c r="A13" s="3" t="s">
        <v>5</v>
      </c>
      <c r="B13" s="2">
        <f>(0.0000513*Filtration_calculator!E2+0.000599)*(Filtration_calculator!C2)^2.088/(1+EXP(-2*(Filtration_calculator!E2-4.1))+EXP(2*(Filtration_calculator!E2-25)))</f>
        <v>3.3183607362271923</v>
      </c>
      <c r="C13" s="2" t="s">
        <v>113</v>
      </c>
      <c r="D13" s="6" t="s">
        <v>91</v>
      </c>
    </row>
    <row r="14" spans="1:5" x14ac:dyDescent="0.2">
      <c r="A14" s="3" t="s">
        <v>28</v>
      </c>
      <c r="B14" t="s">
        <v>33</v>
      </c>
      <c r="D14" s="6"/>
    </row>
    <row r="15" spans="1:5" x14ac:dyDescent="0.2">
      <c r="A15" s="3" t="s">
        <v>29</v>
      </c>
      <c r="B15">
        <f>2.454*(Filtration_calculator!D2)^0.492</f>
        <v>0.64601688502441423</v>
      </c>
      <c r="C15" s="2" t="s">
        <v>103</v>
      </c>
      <c r="D15" s="6" t="s">
        <v>104</v>
      </c>
      <c r="E15" s="4" t="s">
        <v>102</v>
      </c>
    </row>
    <row r="16" spans="1:5" x14ac:dyDescent="0.2">
      <c r="A16" s="3" t="s">
        <v>137</v>
      </c>
      <c r="B16">
        <f>18.3*EXP(-0.00889*(Filtration_calculator!E2- 26.8)^2 )*Filtration_calculator!D2^0.784</f>
        <v>2.1198381241000814</v>
      </c>
      <c r="C16" t="s">
        <v>177</v>
      </c>
      <c r="D16" t="s">
        <v>176</v>
      </c>
      <c r="E16" s="2" t="s">
        <v>186</v>
      </c>
    </row>
    <row r="17" spans="1:5" x14ac:dyDescent="0.2">
      <c r="A17" s="3" t="s">
        <v>172</v>
      </c>
      <c r="B17">
        <f>12.3*EXP(-0.00889*(Filtration_calculator!E2- 26.8)^2 )*Filtration_calculator!D2^0.784</f>
        <v>1.4248092309525136</v>
      </c>
      <c r="C17" s="2" t="s">
        <v>178</v>
      </c>
      <c r="D17" t="s">
        <v>176</v>
      </c>
      <c r="E17" t="s">
        <v>185</v>
      </c>
    </row>
    <row r="18" spans="1:5" x14ac:dyDescent="0.2">
      <c r="A18" s="3" t="s">
        <v>6</v>
      </c>
    </row>
    <row r="19" spans="1:5" x14ac:dyDescent="0.2">
      <c r="A19" s="5" t="s">
        <v>47</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C9648-2F22-B347-91A2-7EAEF7624D43}">
  <dimension ref="A1:C32"/>
  <sheetViews>
    <sheetView workbookViewId="0">
      <selection activeCell="C23" sqref="C23"/>
    </sheetView>
  </sheetViews>
  <sheetFormatPr baseColWidth="10" defaultRowHeight="16" x14ac:dyDescent="0.2"/>
  <cols>
    <col min="1" max="1" width="19.33203125" bestFit="1" customWidth="1"/>
    <col min="2" max="2" width="77.1640625" customWidth="1"/>
  </cols>
  <sheetData>
    <row r="1" spans="1:3" x14ac:dyDescent="0.2">
      <c r="A1" s="4" t="s">
        <v>50</v>
      </c>
      <c r="B1" s="4" t="s">
        <v>51</v>
      </c>
      <c r="C1" s="4" t="s">
        <v>56</v>
      </c>
    </row>
    <row r="2" spans="1:3" x14ac:dyDescent="0.2">
      <c r="A2" s="6" t="s">
        <v>12</v>
      </c>
      <c r="B2" s="6" t="s">
        <v>53</v>
      </c>
      <c r="C2" s="6" t="str">
        <f>HYPERLINK("http://dx.doi.org/10.1016/0044-8486(95)00036-2","http://dx.doi.org/10.1016/0044-8486(95)00036-2")</f>
        <v>http://dx.doi.org/10.1016/0044-8486(95)00036-2</v>
      </c>
    </row>
    <row r="3" spans="1:3" ht="17" x14ac:dyDescent="0.2">
      <c r="A3" s="6" t="s">
        <v>9</v>
      </c>
      <c r="B3" s="6" t="s">
        <v>54</v>
      </c>
      <c r="C3" s="6" t="s">
        <v>55</v>
      </c>
    </row>
    <row r="4" spans="1:3" ht="17" x14ac:dyDescent="0.2">
      <c r="A4" s="6" t="s">
        <v>37</v>
      </c>
      <c r="B4" s="6" t="s">
        <v>57</v>
      </c>
      <c r="C4" s="6" t="s">
        <v>58</v>
      </c>
    </row>
    <row r="5" spans="1:3" ht="17" x14ac:dyDescent="0.2">
      <c r="A5" s="6" t="s">
        <v>7</v>
      </c>
      <c r="B5" s="6" t="s">
        <v>59</v>
      </c>
      <c r="C5" s="6" t="s">
        <v>60</v>
      </c>
    </row>
    <row r="6" spans="1:3" ht="17" x14ac:dyDescent="0.2">
      <c r="A6" s="6" t="s">
        <v>52</v>
      </c>
      <c r="B6" s="6" t="s">
        <v>61</v>
      </c>
      <c r="C6" s="6" t="str">
        <f>HYPERLINK("http://dx.doi.org/10.3354/meps170119","http://dx.doi.org/10.3354/meps170119")</f>
        <v>http://dx.doi.org/10.3354/meps170119</v>
      </c>
    </row>
    <row r="7" spans="1:3" ht="17" x14ac:dyDescent="0.2">
      <c r="A7" s="6" t="s">
        <v>8</v>
      </c>
      <c r="B7" s="6" t="s">
        <v>62</v>
      </c>
      <c r="C7" s="6" t="str">
        <f>HYPERLINK("http://dx.doi.org/10.3354/meps195179","http://dx.doi.org/10.3354/meps195179")</f>
        <v>http://dx.doi.org/10.3354/meps195179</v>
      </c>
    </row>
    <row r="8" spans="1:3" ht="17" x14ac:dyDescent="0.2">
      <c r="A8" s="6" t="s">
        <v>10</v>
      </c>
      <c r="B8" s="6" t="s">
        <v>63</v>
      </c>
      <c r="C8" s="6" t="str">
        <f>HYPERLINK("http://dx.doi.org/10.1371/journal.pone.0152427","http://dx.doi.org/10.1371/journal.pone.0152427")</f>
        <v>http://dx.doi.org/10.1371/journal.pone.0152427</v>
      </c>
    </row>
    <row r="9" spans="1:3" ht="17" x14ac:dyDescent="0.2">
      <c r="A9" s="6" t="s">
        <v>13</v>
      </c>
      <c r="B9" s="6" t="s">
        <v>64</v>
      </c>
      <c r="C9" s="6" t="str">
        <f>HYPERLINK("http://dx.doi.org/10.1016/S0044-8486(98)00383-4","http://dx.doi.org/10.1016/S0044-8486(98)00383-4")</f>
        <v>http://dx.doi.org/10.1016/S0044-8486(98)00383-4</v>
      </c>
    </row>
    <row r="10" spans="1:3" ht="17" x14ac:dyDescent="0.2">
      <c r="A10" s="6" t="s">
        <v>77</v>
      </c>
      <c r="B10" s="6" t="s">
        <v>76</v>
      </c>
      <c r="C10" s="10" t="s">
        <v>78</v>
      </c>
    </row>
    <row r="11" spans="1:3" x14ac:dyDescent="0.2">
      <c r="A11" s="6" t="s">
        <v>81</v>
      </c>
      <c r="B11" s="6" t="s">
        <v>83</v>
      </c>
      <c r="C11" t="s">
        <v>84</v>
      </c>
    </row>
    <row r="12" spans="1:3" ht="17" x14ac:dyDescent="0.2">
      <c r="A12" s="6" t="s">
        <v>86</v>
      </c>
      <c r="B12" s="6" t="s">
        <v>85</v>
      </c>
      <c r="C12" t="str">
        <f>HYPERLINK("http://dx.doi.org/10.1007/s10152-013-0377-9","http://dx.doi.org/10.1007/s10152-013-0377-9")</f>
        <v>http://dx.doi.org/10.1007/s10152-013-0377-9</v>
      </c>
    </row>
    <row r="13" spans="1:3" ht="17" x14ac:dyDescent="0.2">
      <c r="A13" s="6" t="s">
        <v>88</v>
      </c>
      <c r="B13" s="6" t="s">
        <v>87</v>
      </c>
      <c r="C13" t="str">
        <f>HYPERLINK("http://dx.doi.org/10.3354/meps305147","http://dx.doi.org/10.3354/meps305147")</f>
        <v>http://dx.doi.org/10.3354/meps305147</v>
      </c>
    </row>
    <row r="14" spans="1:3" ht="17" x14ac:dyDescent="0.2">
      <c r="A14" s="6" t="s">
        <v>90</v>
      </c>
      <c r="B14" s="11" t="s">
        <v>89</v>
      </c>
      <c r="C14" t="s">
        <v>128</v>
      </c>
    </row>
    <row r="15" spans="1:3" ht="17" x14ac:dyDescent="0.2">
      <c r="A15" s="6" t="s">
        <v>94</v>
      </c>
      <c r="B15" s="11" t="s">
        <v>93</v>
      </c>
      <c r="C15" t="s">
        <v>127</v>
      </c>
    </row>
    <row r="16" spans="1:3" ht="17" x14ac:dyDescent="0.2">
      <c r="A16" s="6" t="s">
        <v>98</v>
      </c>
      <c r="B16" s="11" t="s">
        <v>97</v>
      </c>
      <c r="C16" t="s">
        <v>126</v>
      </c>
    </row>
    <row r="17" spans="1:3" ht="18" x14ac:dyDescent="0.2">
      <c r="A17" s="6" t="s">
        <v>104</v>
      </c>
      <c r="B17" s="11" t="s">
        <v>105</v>
      </c>
      <c r="C17" t="s">
        <v>125</v>
      </c>
    </row>
    <row r="18" spans="1:3" ht="17" x14ac:dyDescent="0.2">
      <c r="A18" t="s">
        <v>107</v>
      </c>
      <c r="B18" s="11" t="s">
        <v>106</v>
      </c>
      <c r="C18" t="s">
        <v>124</v>
      </c>
    </row>
    <row r="19" spans="1:3" ht="17" x14ac:dyDescent="0.2">
      <c r="A19" s="6" t="s">
        <v>115</v>
      </c>
      <c r="B19" s="11" t="s">
        <v>116</v>
      </c>
      <c r="C19" t="s">
        <v>123</v>
      </c>
    </row>
    <row r="20" spans="1:3" ht="17" x14ac:dyDescent="0.2">
      <c r="A20" t="s">
        <v>120</v>
      </c>
      <c r="B20" s="11" t="s">
        <v>117</v>
      </c>
      <c r="C20" t="s">
        <v>122</v>
      </c>
    </row>
    <row r="21" spans="1:3" ht="17" x14ac:dyDescent="0.2">
      <c r="A21" t="s">
        <v>119</v>
      </c>
      <c r="B21" s="11" t="s">
        <v>118</v>
      </c>
      <c r="C21" t="s">
        <v>121</v>
      </c>
    </row>
    <row r="22" spans="1:3" ht="17" x14ac:dyDescent="0.2">
      <c r="A22" t="s">
        <v>132</v>
      </c>
      <c r="B22" s="11" t="s">
        <v>131</v>
      </c>
      <c r="C22" t="s">
        <v>133</v>
      </c>
    </row>
    <row r="23" spans="1:3" ht="17" x14ac:dyDescent="0.2">
      <c r="A23" t="s">
        <v>146</v>
      </c>
      <c r="B23" s="11" t="s">
        <v>145</v>
      </c>
      <c r="C23" t="s">
        <v>183</v>
      </c>
    </row>
    <row r="24" spans="1:3" ht="17" x14ac:dyDescent="0.2">
      <c r="A24" t="s">
        <v>163</v>
      </c>
      <c r="B24" s="11" t="s">
        <v>162</v>
      </c>
      <c r="C24" t="s">
        <v>182</v>
      </c>
    </row>
    <row r="25" spans="1:3" ht="17" x14ac:dyDescent="0.2">
      <c r="A25" t="s">
        <v>166</v>
      </c>
      <c r="B25" s="11" t="s">
        <v>165</v>
      </c>
    </row>
    <row r="26" spans="1:3" ht="17" x14ac:dyDescent="0.2">
      <c r="A26" t="s">
        <v>173</v>
      </c>
      <c r="B26" s="11" t="s">
        <v>179</v>
      </c>
      <c r="C26" t="s">
        <v>180</v>
      </c>
    </row>
    <row r="27" spans="1:3" ht="17" x14ac:dyDescent="0.2">
      <c r="A27" t="s">
        <v>175</v>
      </c>
      <c r="B27" s="11" t="s">
        <v>174</v>
      </c>
      <c r="C27" t="s">
        <v>181</v>
      </c>
    </row>
    <row r="28" spans="1:3" ht="20" x14ac:dyDescent="0.2">
      <c r="B28" s="13"/>
    </row>
    <row r="29" spans="1:3" ht="20" x14ac:dyDescent="0.2">
      <c r="B29" s="12"/>
    </row>
    <row r="31" spans="1:3" ht="20" x14ac:dyDescent="0.2">
      <c r="B31" s="13"/>
    </row>
    <row r="32" spans="1:3" ht="20" x14ac:dyDescent="0.2">
      <c r="B32" s="13"/>
    </row>
  </sheetData>
  <hyperlinks>
    <hyperlink ref="C10" r:id="rId1" display="https://doi.org/10.2478/v10104-012-0024-0" xr:uid="{EAB88CC6-2AEF-6E43-8ADB-8A577117DB1E}"/>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Filtration_calculator</vt:lpstr>
      <vt:lpstr>length-weight_conversions</vt:lpstr>
      <vt:lpstr>Final_equations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Philine zu Ermgassen</dc:creator>
  <cp:lastModifiedBy>Philine zu Ermgassen</cp:lastModifiedBy>
  <dcterms:created xsi:type="dcterms:W3CDTF">2026-06-17T12:25:56Z</dcterms:created>
  <dcterms:modified xsi:type="dcterms:W3CDTF">2026-09-04T07:17:36Z</dcterms:modified>
</cp:coreProperties>
</file>