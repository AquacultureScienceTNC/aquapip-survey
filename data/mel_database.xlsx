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0" yWindow="-60" windowWidth="15480" windowHeight="11640" tabRatio="600" firstSheet="0" activeTab="0" autoFilterDateGrouping="1"/>
  </bookViews>
  <sheets>
    <sheet xmlns:r="http://schemas.openxmlformats.org/officeDocument/2006/relationships" name="in" sheetId="1" state="visible" r:id="rId1"/>
    <sheet xmlns:r="http://schemas.openxmlformats.org/officeDocument/2006/relationships" name="Vocabularies" sheetId="2" state="visible" r:id="rId2"/>
    <sheet xmlns:r="http://schemas.openxmlformats.org/officeDocument/2006/relationships" name="Cost_Reference" sheetId="3" state="visible" r:id="rId3"/>
    <sheet xmlns:r="http://schemas.openxmlformats.org/officeDocument/2006/relationships" name="MM_Review" sheetId="4" state="visible" r:id="rId4"/>
  </sheets>
  <definedNames>
    <definedName name="_xlnm._FilterDatabase" localSheetId="2" hidden="1">'Cost_Reference'!$A$6:$L$81</definedName>
    <definedName name="_xlnm._FilterDatabase" localSheetId="3" hidden="1">'MM_Review'!$A$1:$G$577</definedName>
  </definedNames>
  <calcPr calcId="191028" fullCalcOnLoad="1"/>
</workbook>
</file>

<file path=xl/styles.xml><?xml version="1.0" encoding="utf-8"?>
<styleSheet xmlns="http://schemas.openxmlformats.org/spreadsheetml/2006/main">
  <numFmts count="2">
    <numFmt numFmtId="164" formatCode="0.0000"/>
    <numFmt numFmtId="165" formatCode="&quot;$&quot;#,##0.00"/>
  </numFmts>
  <fonts count="29">
    <font>
      <name val="Calibri"/>
      <family val="2"/>
      <color theme="1"/>
      <sz val="11"/>
      <scheme val="minor"/>
    </font>
    <font>
      <name val="Calibri"/>
      <family val="2"/>
      <color theme="1"/>
      <sz val="11"/>
      <scheme val="minor"/>
    </font>
    <font>
      <name val="Calibri Light"/>
      <family val="2"/>
      <color theme="3"/>
      <sz val="18"/>
      <scheme val="maj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006100"/>
      <sz val="11"/>
      <scheme val="minor"/>
    </font>
    <font>
      <name val="Calibri"/>
      <family val="2"/>
      <color rgb="FF9C0006"/>
      <sz val="11"/>
      <scheme val="minor"/>
    </font>
    <font>
      <name val="Calibri"/>
      <family val="2"/>
      <color rgb="FF9C5700"/>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color rgb="FFFF0000"/>
      <sz val="11"/>
      <scheme val="minor"/>
    </font>
    <font>
      <name val="Calibri"/>
      <family val="2"/>
      <i val="1"/>
      <color rgb="FF7F7F7F"/>
      <sz val="11"/>
      <scheme val="minor"/>
    </font>
    <font>
      <name val="Calibri"/>
      <family val="2"/>
      <b val="1"/>
      <color theme="1"/>
      <sz val="11"/>
      <scheme val="minor"/>
    </font>
    <font>
      <name val="Calibri"/>
      <family val="2"/>
      <color theme="0"/>
      <sz val="11"/>
      <scheme val="minor"/>
    </font>
    <font>
      <b val="1"/>
    </font>
    <font>
      <b val="1"/>
      <sz val="11"/>
    </font>
    <font>
      <name val="Arial"/>
      <b val="1"/>
      <sz val="10"/>
    </font>
    <font>
      <name val="Arial"/>
      <b val="1"/>
      <color rgb="001F3864"/>
      <sz val="14"/>
    </font>
    <font>
      <name val="Arial"/>
      <i val="1"/>
      <color rgb="00595959"/>
      <sz val="10"/>
    </font>
    <font>
      <name val="Arial"/>
      <sz val="10"/>
    </font>
    <font>
      <name val="Calibri"/>
      <sz val="11"/>
    </font>
    <font>
      <name val="Calibri"/>
      <i val="1"/>
      <sz val="11"/>
    </font>
    <font>
      <name val="Calibri"/>
      <b val="1"/>
      <sz val="11"/>
    </font>
    <font>
      <name val="Calibri"/>
      <color rgb="000000FF"/>
      <sz val="11"/>
    </font>
    <font>
      <name val="Calibri"/>
      <color rgb="000563C1"/>
      <sz val="11"/>
      <u val="single"/>
    </font>
  </fonts>
  <fills count="41">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00D9E1F2"/>
      </patternFill>
    </fill>
    <fill>
      <patternFill patternType="solid">
        <fgColor rgb="00FFF2CC"/>
      </patternFill>
    </fill>
    <fill>
      <patternFill patternType="solid">
        <fgColor rgb="00D9D9D9"/>
      </patternFill>
    </fill>
    <fill>
      <patternFill patternType="solid">
        <fgColor rgb="00FFD966"/>
      </patternFill>
    </fill>
    <fill>
      <patternFill patternType="solid">
        <fgColor rgb="00F08080"/>
      </patternFill>
    </fill>
    <fill>
      <patternFill patternType="solid">
        <fgColor rgb="00C5E0B4"/>
      </patternFill>
    </fill>
    <fill>
      <patternFill patternType="solid">
        <fgColor rgb="0092D050"/>
      </patternFill>
    </fill>
    <fill>
      <patternFill patternType="solid">
        <fgColor rgb="00BDD7EE"/>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bottom style="thin">
        <color rgb="00BFBFBF"/>
      </bottom>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45">
    <xf numFmtId="0" fontId="0" fillId="0" borderId="0" pivotButton="0" quotePrefix="0" xfId="0"/>
    <xf numFmtId="16" fontId="0" fillId="0" borderId="0" pivotButton="0" quotePrefix="0" xfId="0"/>
    <xf numFmtId="0" fontId="18" fillId="33" borderId="0" applyAlignment="1" pivotButton="0" quotePrefix="0" xfId="0">
      <alignment vertical="center" wrapText="1"/>
    </xf>
    <xf numFmtId="0" fontId="0" fillId="0" borderId="0" applyAlignment="1" pivotButton="0" quotePrefix="0" xfId="0">
      <alignment vertical="top" wrapText="1"/>
    </xf>
    <xf numFmtId="0" fontId="0" fillId="34" borderId="0" applyAlignment="1" pivotButton="0" quotePrefix="0" xfId="0">
      <alignment vertical="top" wrapText="1"/>
    </xf>
    <xf numFmtId="16" fontId="0" fillId="0" borderId="0" applyAlignment="1" pivotButton="0" quotePrefix="0" xfId="0">
      <alignment vertical="top" wrapText="1"/>
    </xf>
    <xf numFmtId="0" fontId="18" fillId="35" borderId="0" applyAlignment="1" pivotButton="0" quotePrefix="0" xfId="0">
      <alignment horizontal="center" vertical="center" wrapText="1"/>
    </xf>
    <xf numFmtId="0" fontId="19" fillId="36" borderId="0" applyAlignment="1" pivotButton="0" quotePrefix="0" xfId="0">
      <alignment horizontal="center" vertical="center" wrapText="1"/>
    </xf>
    <xf numFmtId="0" fontId="19" fillId="37" borderId="0" applyAlignment="1" pivotButton="0" quotePrefix="0" xfId="0">
      <alignment horizontal="center" vertical="center" wrapText="1"/>
    </xf>
    <xf numFmtId="0" fontId="19" fillId="38" borderId="0" applyAlignment="1" pivotButton="0" quotePrefix="0" xfId="0">
      <alignment horizontal="center" vertical="center" wrapText="1"/>
    </xf>
    <xf numFmtId="0" fontId="19" fillId="39" borderId="0" applyAlignment="1" pivotButton="0" quotePrefix="0" xfId="0">
      <alignment horizontal="center" vertical="center" wrapText="1"/>
    </xf>
    <xf numFmtId="0" fontId="20" fillId="35" borderId="0" applyAlignment="1" pivotButton="0" quotePrefix="0" xfId="0">
      <alignment horizontal="center" vertical="center" wrapText="1"/>
    </xf>
    <xf numFmtId="0" fontId="20" fillId="40" borderId="0" applyAlignment="1" pivotButton="0" quotePrefix="0" xfId="0">
      <alignment horizontal="center" vertical="center" wrapText="1"/>
    </xf>
    <xf numFmtId="0" fontId="21" fillId="0" borderId="0" pivotButton="0" quotePrefix="0" xfId="0"/>
    <xf numFmtId="0" fontId="22" fillId="0" borderId="0" applyAlignment="1" pivotButton="0" quotePrefix="0" xfId="0">
      <alignment vertical="top" wrapText="1"/>
    </xf>
    <xf numFmtId="0" fontId="23" fillId="0" borderId="0" pivotButton="0" quotePrefix="0" xfId="0"/>
    <xf numFmtId="0" fontId="24" fillId="0" borderId="0" applyAlignment="1" pivotButton="0" quotePrefix="0" xfId="0">
      <alignment vertical="top" wrapText="1"/>
    </xf>
    <xf numFmtId="0" fontId="24" fillId="0" borderId="0" applyAlignment="1" pivotButton="0" quotePrefix="0" xfId="0">
      <alignment horizontal="center" vertical="top"/>
    </xf>
    <xf numFmtId="0" fontId="1" fillId="0" borderId="0" applyAlignment="1" pivotButton="0" quotePrefix="0" xfId="0">
      <alignment horizontal="left" vertical="top"/>
    </xf>
    <xf numFmtId="0" fontId="1" fillId="0" borderId="0" applyAlignment="1" pivotButton="0" quotePrefix="0" xfId="0">
      <alignment horizontal="left" vertical="top" wrapText="1"/>
    </xf>
    <xf numFmtId="0" fontId="1" fillId="0" borderId="0" applyAlignment="1" pivotButton="0" quotePrefix="0" xfId="0">
      <alignment vertical="top" wrapText="1"/>
    </xf>
    <xf numFmtId="0" fontId="1" fillId="0" borderId="0" pivotButton="0" quotePrefix="0" xfId="0"/>
    <xf numFmtId="16" fontId="1" fillId="0" borderId="0" applyAlignment="1" pivotButton="0" quotePrefix="0" xfId="0">
      <alignment vertical="top" wrapText="1"/>
    </xf>
    <xf numFmtId="0" fontId="1" fillId="34" borderId="0" applyAlignment="1" pivotButton="0" quotePrefix="0" xfId="0">
      <alignment vertical="top" wrapText="1"/>
    </xf>
    <xf numFmtId="0" fontId="25" fillId="0" borderId="0" pivotButton="0" quotePrefix="0" xfId="0"/>
    <xf numFmtId="0" fontId="26" fillId="0" borderId="0" pivotButton="0" quotePrefix="0" xfId="0"/>
    <xf numFmtId="164" fontId="27" fillId="0" borderId="0" pivotButton="0" quotePrefix="0" xfId="0"/>
    <xf numFmtId="0" fontId="24" fillId="0" borderId="0" pivotButton="0" quotePrefix="0" xfId="0"/>
    <xf numFmtId="0" fontId="28" fillId="0" borderId="0" pivotButton="0" quotePrefix="0" xfId="0"/>
    <xf numFmtId="0" fontId="18" fillId="33" borderId="0" applyAlignment="1" pivotButton="0" quotePrefix="0" xfId="0">
      <alignment vertical="top" wrapText="1"/>
    </xf>
    <xf numFmtId="0" fontId="24" fillId="0" borderId="10" applyAlignment="1" pivotButton="0" quotePrefix="0" xfId="0">
      <alignment vertical="top" wrapText="1"/>
    </xf>
    <xf numFmtId="4" fontId="27" fillId="0" borderId="10" applyAlignment="1" pivotButton="0" quotePrefix="0" xfId="0">
      <alignment vertical="top" wrapText="1"/>
    </xf>
    <xf numFmtId="165" fontId="26" fillId="0" borderId="10" applyAlignment="1" pivotButton="0" quotePrefix="0" xfId="0">
      <alignment vertical="top" wrapText="1"/>
    </xf>
    <xf numFmtId="0" fontId="28" fillId="0" borderId="10" applyAlignment="1" pivotButton="0" quotePrefix="0" xfId="0">
      <alignment vertical="top" wrapText="1"/>
    </xf>
    <xf numFmtId="4" fontId="24" fillId="0" borderId="10" applyAlignment="1" pivotButton="0" quotePrefix="0" xfId="0">
      <alignment vertical="top" wrapText="1"/>
    </xf>
    <xf numFmtId="0" fontId="19" fillId="39" borderId="0" pivotButton="0" quotePrefix="0" xfId="0"/>
    <xf numFmtId="0" fontId="19" fillId="38" borderId="0" pivotButton="0" quotePrefix="0" xfId="0"/>
    <xf numFmtId="0" fontId="0" fillId="37" borderId="0" pivotButton="0" quotePrefix="0" xfId="0"/>
    <xf numFmtId="0" fontId="0" fillId="36" borderId="0" pivotButton="0" quotePrefix="0" xfId="0"/>
    <xf numFmtId="0" fontId="1" fillId="36" borderId="0" pivotButton="0" quotePrefix="0" xfId="0"/>
    <xf numFmtId="0" fontId="0" fillId="39" borderId="0" pivotButton="0" quotePrefix="0" xfId="0"/>
    <xf numFmtId="0" fontId="1" fillId="38" borderId="0" pivotButton="0" quotePrefix="0" xfId="0"/>
    <xf numFmtId="0" fontId="0" fillId="38" borderId="0" pivotButton="0" quotePrefix="0" xfId="0"/>
    <xf numFmtId="0" fontId="1" fillId="39" borderId="0" pivotButton="0" quotePrefix="0" xfId="0"/>
    <xf numFmtId="0" fontId="23" fillId="0" borderId="0" applyAlignment="1" pivotButton="0" quotePrefix="0" xfId="0">
      <alignment vertical="top" wrapText="1"/>
    </xf>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Vocab_Aquaculture_Type" displayName="Vocab_Aquaculture_Type" ref="A6:A12" headerRowCount="1">
  <autoFilter ref="A6:A12"/>
  <tableColumns count="1">
    <tableColumn id="1" name="Aquaculture Type"/>
  </tableColumns>
  <tableStyleInfo name="TableStyleLight9" showFirstColumn="0" showLastColumn="0" showRowStripes="1" showColumnStripes="0"/>
</table>
</file>

<file path=xl/tables/table2.xml><?xml version="1.0" encoding="utf-8"?>
<table xmlns="http://schemas.openxmlformats.org/spreadsheetml/2006/main" id="2" name="Vocab_MEL_Goal" displayName="Vocab_MEL_Goal" ref="B6:B10" headerRowCount="1">
  <autoFilter ref="B6:B10"/>
  <tableColumns count="1">
    <tableColumn id="2" name="MEL Goal"/>
  </tableColumns>
  <tableStyleInfo name="TableStyleLight9" showFirstColumn="0" showLastColumn="0" showRowStripes="1" showColumnStripes="0"/>
</table>
</file>

<file path=xl/tables/table3.xml><?xml version="1.0" encoding="utf-8"?>
<table xmlns="http://schemas.openxmlformats.org/spreadsheetml/2006/main" id="3" name="Vocab_MEL_Indicator" displayName="Vocab_MEL_Indicator" ref="C6:C21" headerRowCount="1">
  <autoFilter ref="C6:C21"/>
  <tableColumns count="1">
    <tableColumn id="3" name="MEL Indicator"/>
  </tableColumns>
  <tableStyleInfo name="TableStyleLight9" showFirstColumn="0" showLastColumn="0" showRowStripes="1" showColumnStripes="0"/>
</table>
</file>

<file path=xl/tables/table4.xml><?xml version="1.0" encoding="utf-8"?>
<table xmlns="http://schemas.openxmlformats.org/spreadsheetml/2006/main" id="4" name="Vocab_Climate_Zone" displayName="Vocab_Climate_Zone" ref="D6:D12" headerRowCount="1">
  <autoFilter ref="D6:D12"/>
  <tableColumns count="1">
    <tableColumn id="4" name="Climate Zone"/>
  </tableColumns>
  <tableStyleInfo name="TableStyleLight9" showFirstColumn="0" showLastColumn="0" showRowStripes="1" showColumnStripes="0"/>
</table>
</file>

<file path=xl/tables/table5.xml><?xml version="1.0" encoding="utf-8"?>
<table xmlns="http://schemas.openxmlformats.org/spreadsheetml/2006/main" id="5" name="Vocab_Cultivated_Species" displayName="Vocab_Cultivated_Species" ref="E6:E20" headerRowCount="1">
  <autoFilter ref="E6:E20"/>
  <tableColumns count="1">
    <tableColumn id="5" name="Cultivated Species"/>
  </tableColumns>
  <tableStyleInfo name="TableStyleLight9" showFirstColumn="0" showLastColumn="0" showRowStripes="1" showColumnStripes="0"/>
</table>
</file>

<file path=xl/tables/table6.xml><?xml version="1.0" encoding="utf-8"?>
<table xmlns="http://schemas.openxmlformats.org/spreadsheetml/2006/main" id="6" name="Vocab_Farm_Structure" displayName="Vocab_Farm_Structure" ref="F6:F16" headerRowCount="1">
  <autoFilter ref="F6:F16"/>
  <tableColumns count="1">
    <tableColumn id="6" name="Farm Structure"/>
  </tableColumns>
  <tableStyleInfo name="TableStyleLight9" showFirstColumn="0" showLastColumn="0" showRowStripes="1" showColumnStripes="0"/>
</table>
</file>

<file path=xl/tables/table7.xml><?xml version="1.0" encoding="utf-8"?>
<table xmlns="http://schemas.openxmlformats.org/spreadsheetml/2006/main" id="7" name="Vocab_Farm_Scale" displayName="Vocab_Farm_Scale" ref="G6:G11" headerRowCount="1">
  <autoFilter ref="G6:G11"/>
  <tableColumns count="1">
    <tableColumn id="7" name="Farm Scale"/>
  </tableColumns>
  <tableStyleInfo name="TableStyleLight9" showFirstColumn="0" showLastColumn="0" showRowStripes="1" showColumnStripes="0"/>
</table>
</file>

<file path=xl/tables/table8.xml><?xml version="1.0" encoding="utf-8"?>
<table xmlns="http://schemas.openxmlformats.org/spreadsheetml/2006/main" id="8" name="Vocab_Water_Clarity" displayName="Vocab_Water_Clarity" ref="H6:H10" headerRowCount="1">
  <autoFilter ref="H6:H10"/>
  <tableColumns count="1">
    <tableColumn id="8" name="Water Clarity"/>
  </tableColumns>
  <tableStyleInfo name="TableStyleLight9" showFirstColumn="0" showLastColumn="0" showRowStripes="1" showColumnStripes="0"/>
</table>
</file>

<file path=xl/tables/table9.xml><?xml version="1.0" encoding="utf-8"?>
<table xmlns="http://schemas.openxmlformats.org/spreadsheetml/2006/main" id="9" name="Vocab_Co_culture_Context" displayName="Vocab_Co_culture_Context" ref="I6:I12" headerRowCount="1">
  <autoFilter ref="I6:I12"/>
  <tableColumns count="1">
    <tableColumn id="9" name="Co-culture Context"/>
  </tableColumns>
  <tableStyleInfo name="TableStyleLight9" showFirstColumn="0" showLastColumn="0" showRowStripes="1" showColumnStripes="0"/>
</table>
</file>

<file path=xl/tables/table10.xml><?xml version="1.0" encoding="utf-8"?>
<table xmlns="http://schemas.openxmlformats.org/spreadsheetml/2006/main" id="10" name="Vocab_Method_Category" displayName="Vocab_Method_Category" ref="J6:J17" headerRowCount="1">
  <autoFilter ref="J6:J17"/>
  <tableColumns count="1">
    <tableColumn id="10" name="Method Category"/>
  </tableColumns>
  <tableStyleInfo name="TableStyleLight9" showFirstColumn="0" showLastColumn="0" showRowStripes="1" showColumnStripes="0"/>
</table>
</file>

<file path=xl/tables/table11.xml><?xml version="1.0" encoding="utf-8"?>
<table xmlns="http://schemas.openxmlformats.org/spreadsheetml/2006/main" id="11" name="Vocab_Algae_Type" displayName="Vocab_Algae_Type" ref="K6:K12" headerRowCount="1">
  <autoFilter ref="K6:K12"/>
  <tableColumns count="1">
    <tableColumn id="11" name="Algae Type"/>
  </tableColumns>
  <tableStyleInfo name="TableStyleLight9" showFirstColumn="0" showLastColumn="0" showRowStripes="1" showColumnStripes="0"/>
</table>
</file>

<file path=xl/tables/table12.xml><?xml version="1.0" encoding="utf-8"?>
<table xmlns="http://schemas.openxmlformats.org/spreadsheetml/2006/main" id="12" name="Vocab_Site_Depth" displayName="Vocab_Site_Depth" ref="L6:L12" headerRowCount="1">
  <autoFilter ref="L6:L12"/>
  <tableColumns count="1">
    <tableColumn id="12" name="Site Depth"/>
  </tableColumns>
  <tableStyleInfo name="TableStyleLight9" showFirstColumn="0" showLastColumn="0" showRowStripes="1" showColumnStripes="0"/>
</table>
</file>

<file path=xl/tables/table13.xml><?xml version="1.0" encoding="utf-8"?>
<table xmlns="http://schemas.openxmlformats.org/spreadsheetml/2006/main" id="13" name="Vocab_Wave_Energy" displayName="Vocab_Wave_Energy" ref="M6:M11" headerRowCount="1">
  <autoFilter ref="M6:M11"/>
  <tableColumns count="1">
    <tableColumn id="13" name="Wave Energy"/>
  </tableColumns>
  <tableStyleInfo name="TableStyleLight9" showFirstColumn="0" showLastColumn="0" showRowStripes="1" showColumnStripes="0"/>
</table>
</file>

<file path=xl/tables/table14.xml><?xml version="1.0" encoding="utf-8"?>
<table xmlns="http://schemas.openxmlformats.org/spreadsheetml/2006/main" id="14" name="Vocab_Sampling_Effort" displayName="Vocab_Sampling_Effort" ref="N6:N15" headerRowCount="1">
  <autoFilter ref="N6:N14"/>
  <tableColumns count="1">
    <tableColumn id="14" name="Sampling Effort"/>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 Type="http://schemas.openxmlformats.org/officeDocument/2006/relationships/table" Target="/xl/tables/table5.xml" Id="rId5"/><Relationship Type="http://schemas.openxmlformats.org/officeDocument/2006/relationships/table" Target="/xl/tables/table6.xml" Id="rId6"/><Relationship Type="http://schemas.openxmlformats.org/officeDocument/2006/relationships/table" Target="/xl/tables/table7.xml" Id="rId7"/><Relationship Type="http://schemas.openxmlformats.org/officeDocument/2006/relationships/table" Target="/xl/tables/table8.xml" Id="rId8"/><Relationship Type="http://schemas.openxmlformats.org/officeDocument/2006/relationships/table" Target="/xl/tables/table9.xml" Id="rId9"/><Relationship Type="http://schemas.openxmlformats.org/officeDocument/2006/relationships/table" Target="/xl/tables/table10.xml" Id="rId10"/><Relationship Type="http://schemas.openxmlformats.org/officeDocument/2006/relationships/table" Target="/xl/tables/table11.xml" Id="rId11"/><Relationship Type="http://schemas.openxmlformats.org/officeDocument/2006/relationships/table" Target="/xl/tables/table12.xml" Id="rId12"/><Relationship Type="http://schemas.openxmlformats.org/officeDocument/2006/relationships/table" Target="/xl/tables/table13.xml" Id="rId13"/><Relationship Type="http://schemas.openxmlformats.org/officeDocument/2006/relationships/table" Target="/xl/tables/table14.xml" Id="rId14"/></Relationships>
</file>

<file path=xl/worksheets/_rels/sheet3.xml.rels><Relationships xmlns="http://schemas.openxmlformats.org/package/2006/relationships"><Relationship Type="http://schemas.openxmlformats.org/officeDocument/2006/relationships/hyperlink" Target="https://ycharts.com/indicators/euro_exchange_rate" TargetMode="External" Id="rId1"/><Relationship Type="http://schemas.openxmlformats.org/officeDocument/2006/relationships/hyperlink" Target="https://environmental-sciences-engineering-center.media.uconn.edu/wp-content/uploads/sites/3703/2026/03/Nutrients-Lab-price-list-effective-3-1-2026.pdf" TargetMode="External" Id="rId2"/><Relationship Type="http://schemas.openxmlformats.org/officeDocument/2006/relationships/hyperlink" Target="https://environmental-sciences-engineering-center.media.uconn.edu/wp-content/uploads/sites/3703/2026/03/Nutrients-Lab-price-list-effective-3-1-2026.pdf" TargetMode="External" Id="rId3"/><Relationship Type="http://schemas.openxmlformats.org/officeDocument/2006/relationships/hyperlink" Target="https://environmental-sciences-engineering-center.media.uconn.edu/wp-content/uploads/sites/3703/2026/03/Nutrients-Lab-price-list-effective-3-1-2026.pdf" TargetMode="External" Id="rId4"/><Relationship Type="http://schemas.openxmlformats.org/officeDocument/2006/relationships/hyperlink" Target="https://environmental-sciences-engineering-center.media.uconn.edu/wp-content/uploads/sites/3703/2026/03/Nutrients-Lab-price-list-effective-3-1-2026.pdf" TargetMode="External" Id="rId5"/><Relationship Type="http://schemas.openxmlformats.org/officeDocument/2006/relationships/hyperlink" Target="https://extension.missouri.edu/programs/soil-and-plant-testing-laboratory/spl-submit-samples/spl-tests-fees" TargetMode="External" Id="rId6"/><Relationship Type="http://schemas.openxmlformats.org/officeDocument/2006/relationships/hyperlink" Target="https://extension.missouri.edu/programs/soil-and-plant-testing-laboratory/spl-submit-samples/spl-tests-fees" TargetMode="External" Id="rId7"/><Relationship Type="http://schemas.openxmlformats.org/officeDocument/2006/relationships/hyperlink" Target="https://soils.ifas.ufl.edu/media/soilsifasufledu/sws-main-site/pdf/research/SIMS-lab-pricing-Spring-2025.pdf" TargetMode="External" Id="rId8"/><Relationship Type="http://schemas.openxmlformats.org/officeDocument/2006/relationships/hyperlink" Target="https://pws.byu.edu/eal/price-lists" TargetMode="External" Id="rId9"/><Relationship Type="http://schemas.openxmlformats.org/officeDocument/2006/relationships/hyperlink" Target="https://www.usu.edu/analytical-laboratories/price-lists" TargetMode="External" Id="rId10"/><Relationship Type="http://schemas.openxmlformats.org/officeDocument/2006/relationships/hyperlink" Target="https://pws.byu.edu/eal/price-lists" TargetMode="External" Id="rId11"/><Relationship Type="http://schemas.openxmlformats.org/officeDocument/2006/relationships/hyperlink" Target="https://www.mass.gov/info-details/cyanobacteria-andor-cyanotoxins-contract-services-list" TargetMode="External" Id="rId12"/><Relationship Type="http://schemas.openxmlformats.org/officeDocument/2006/relationships/hyperlink" Target="https://lhei.lv/en/?p=6082" TargetMode="External" Id="rId13"/><Relationship Type="http://schemas.openxmlformats.org/officeDocument/2006/relationships/hyperlink" Target="https://lhei.lv/en/?p=6082" TargetMode="External" Id="rId14"/><Relationship Type="http://schemas.openxmlformats.org/officeDocument/2006/relationships/hyperlink" Target="https://www.peerj.com/articles/16847/" TargetMode="External" Id="rId15"/><Relationship Type="http://schemas.openxmlformats.org/officeDocument/2006/relationships/hyperlink" Target="https://www.soest.hawaii.edu/S-LAB/slab_prices.htm" TargetMode="External" Id="rId16"/><Relationship Type="http://schemas.openxmlformats.org/officeDocument/2006/relationships/hyperlink" Target="https://transcat.com/onset-hobo-data-loggers-u26-001-u26-001-207141" TargetMode="External" Id="rId17"/><Relationship Type="http://schemas.openxmlformats.org/officeDocument/2006/relationships/hyperlink" Target="https://transcat.com/onset-hobo-data-loggers-u26-001-u26-001-207141" TargetMode="External" Id="rId18"/><Relationship Type="http://schemas.openxmlformats.org/officeDocument/2006/relationships/hyperlink" Target="https://seabird.com/seafet" TargetMode="External" Id="rId19"/><Relationship Type="http://schemas.openxmlformats.org/officeDocument/2006/relationships/hyperlink" Target="https://www.fishersci.be/shop/products/wildco-horizontal-alpha-water-sampler/p-7116310" TargetMode="External" Id="rId20"/><Relationship Type="http://schemas.openxmlformats.org/officeDocument/2006/relationships/hyperlink" Target="https://www.wardsci.com/us/en/product/NA4683390/plank-tow-net-12in-20m" TargetMode="External" Id="rId21"/><Relationship Type="http://schemas.openxmlformats.org/officeDocument/2006/relationships/hyperlink" Target="https://www.wardsci.com/us/en/product/BP0000673006/petite-ponar-grab-sampler" TargetMode="External" Id="rId22"/><Relationship Type="http://schemas.openxmlformats.org/officeDocument/2006/relationships/hyperlink" Target="https://www.fishersci.com/shop/products/fisherbrand-u-s-standard-stainless-steel-sieves-8-in-dia-2-in-d/0488110A" TargetMode="External" Id="rId23"/><Relationship Type="http://schemas.openxmlformats.org/officeDocument/2006/relationships/hyperlink" Target="https://www.divein.com/product/gopro-hero13-black-dive-bundle-with-memory-card/" TargetMode="External" Id="rId24"/><Relationship Type="http://schemas.openxmlformats.org/officeDocument/2006/relationships/hyperlink" Target="https://www.bco-dmo.org/instrument/684481" TargetMode="External" Id="rId25"/><Relationship Type="http://schemas.openxmlformats.org/officeDocument/2006/relationships/hyperlink" Target="https://www.memphisnet.net/product/Eel-Crawfish-Flounder-Trap-1-2in-Sq-Mesh-24in-by-18in-by-8in" TargetMode="External" Id="rId26"/><Relationship Type="http://schemas.openxmlformats.org/officeDocument/2006/relationships/hyperlink" Target="https://www.walmart.com/c/kp/seines" TargetMode="External" Id="rId27"/></Relationships>
</file>

<file path=xl/worksheets/sheet1.xml><?xml version="1.0" encoding="utf-8"?>
<worksheet xmlns="http://schemas.openxmlformats.org/spreadsheetml/2006/main">
  <sheetPr>
    <outlinePr summaryBelow="1" summaryRight="1"/>
    <pageSetUpPr/>
  </sheetPr>
  <dimension ref="A1:AT230"/>
  <sheetViews>
    <sheetView tabSelected="1" workbookViewId="0">
      <pane ySplit="1" topLeftCell="A2" activePane="bottomLeft" state="frozen"/>
      <selection pane="bottomLeft" activeCell="A1" sqref="A1"/>
    </sheetView>
  </sheetViews>
  <sheetFormatPr baseColWidth="8" defaultRowHeight="15"/>
  <cols>
    <col width="30" customWidth="1" min="1" max="1"/>
    <col width="45" customWidth="1" min="2" max="2"/>
    <col width="47.5703125" customWidth="1" min="8" max="8"/>
    <col width="32" customWidth="1" min="9" max="9"/>
    <col width="32" customWidth="1" min="10" max="10"/>
    <col width="32" customWidth="1" min="11" max="11"/>
    <col width="32" customWidth="1" min="12" max="12"/>
    <col width="32" customWidth="1" min="13" max="13"/>
    <col width="30" customWidth="1" min="14" max="14"/>
    <col width="22" customWidth="1" min="15" max="15"/>
    <col width="26" customWidth="1" min="16" max="16"/>
    <col width="26" customWidth="1" min="17" max="17"/>
    <col width="24" customWidth="1" min="18" max="18"/>
    <col width="22" customWidth="1" min="19" max="19"/>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8" customWidth="1" min="33" max="33"/>
    <col width="28" customWidth="1" min="34" max="34"/>
    <col width="28" customWidth="1" min="35" max="35"/>
    <col width="70" customWidth="1" min="37" max="37"/>
    <col width="18" customWidth="1" min="38" max="38"/>
    <col width="24" customWidth="1" min="39" max="39"/>
    <col width="42" customWidth="1" min="40" max="40"/>
    <col width="42" customWidth="1" min="41" max="41"/>
    <col width="42" customWidth="1" min="42" max="42"/>
    <col width="42" customWidth="1" min="43" max="43"/>
    <col width="45" customWidth="1" min="46" max="46"/>
  </cols>
  <sheetData>
    <row r="1">
      <c r="A1" s="2" t="inlineStr">
        <is>
          <t>Authors</t>
        </is>
      </c>
      <c r="B1" s="2" t="inlineStr">
        <is>
          <t>Title</t>
        </is>
      </c>
      <c r="C1" s="2" t="inlineStr">
        <is>
          <t>Publication</t>
        </is>
      </c>
      <c r="D1" s="2" t="inlineStr">
        <is>
          <t>Volume</t>
        </is>
      </c>
      <c r="E1" s="2" t="inlineStr">
        <is>
          <t>Number</t>
        </is>
      </c>
      <c r="F1" s="2" t="inlineStr">
        <is>
          <t>Pages</t>
        </is>
      </c>
      <c r="G1" s="2" t="inlineStr">
        <is>
          <t>Year</t>
        </is>
      </c>
      <c r="H1" s="2" t="inlineStr">
        <is>
          <t>Publisher</t>
        </is>
      </c>
      <c r="I1" s="2" t="inlineStr">
        <is>
          <t>MEL Indicator(s) Matched</t>
        </is>
      </c>
      <c r="J1" s="2" t="inlineStr">
        <is>
          <t>Protocol or Reference?</t>
        </is>
      </c>
      <c r="K1" s="2" t="inlineStr">
        <is>
          <t>Adequately Measures Indicator? (1–2 sentences)</t>
        </is>
      </c>
      <c r="L1" s="2" t="inlineStr">
        <is>
          <t>Executable by Practitioner (Farmer)?</t>
        </is>
      </c>
      <c r="M1" s="2" t="inlineStr">
        <is>
          <t>Executable by Researcher / Academic?</t>
        </is>
      </c>
      <c r="N1" s="11" t="inlineStr">
        <is>
          <t>Equipment Type</t>
        </is>
      </c>
      <c r="O1" s="11" t="inlineStr">
        <is>
          <t>Estimated Cost</t>
        </is>
      </c>
      <c r="P1" s="11" t="inlineStr">
        <is>
          <t>Sampling Effort (deployment time)</t>
        </is>
      </c>
      <c r="Q1" s="11" t="inlineStr">
        <is>
          <t>Statistical Approach</t>
        </is>
      </c>
      <c r="R1" s="2" t="inlineStr">
        <is>
          <t>Openly Accessible?</t>
        </is>
      </c>
      <c r="S1" s="2" t="inlineStr">
        <is>
          <t>Source Read</t>
        </is>
      </c>
      <c r="T1" s="2" t="inlineStr">
        <is>
          <t>Access URL / Repository</t>
        </is>
      </c>
      <c r="U1" s="2" t="inlineStr">
        <is>
          <t>Notes / Caveats</t>
        </is>
      </c>
      <c r="V1" s="2" t="inlineStr">
        <is>
          <t>Source</t>
        </is>
      </c>
      <c r="W1" s="6" t="inlineStr">
        <is>
          <t>Usability Rating</t>
        </is>
      </c>
      <c r="X1" s="12" t="inlineStr">
        <is>
          <t>Aquaculture Type (multi-select)</t>
        </is>
      </c>
      <c r="Y1" s="12" t="inlineStr">
        <is>
          <t>MEL Goal (multi-select)</t>
        </is>
      </c>
      <c r="Z1" s="12" t="inlineStr">
        <is>
          <t>MEL Indicator (multi-select)</t>
        </is>
      </c>
      <c r="AA1" s="12" t="inlineStr">
        <is>
          <t>Climate Zone</t>
        </is>
      </c>
      <c r="AB1" s="12" t="inlineStr">
        <is>
          <t>Cultivated Species (multi-select)</t>
        </is>
      </c>
      <c r="AC1" s="12" t="inlineStr">
        <is>
          <t>Farm Structure</t>
        </is>
      </c>
      <c r="AD1" s="12" t="inlineStr">
        <is>
          <t>Farm Scale</t>
        </is>
      </c>
      <c r="AE1" s="12" t="inlineStr">
        <is>
          <t>Water Clarity</t>
        </is>
      </c>
      <c r="AF1" s="12" t="inlineStr">
        <is>
          <t>Co-culture Context</t>
        </is>
      </c>
      <c r="AG1" s="12" t="inlineStr">
        <is>
          <t>Method Category (multi-select)</t>
        </is>
      </c>
      <c r="AH1" s="12" t="inlineStr">
        <is>
          <t>Algae Type (multi-select)</t>
        </is>
      </c>
      <c r="AI1" s="12" t="inlineStr">
        <is>
          <t>Site Depth</t>
        </is>
      </c>
      <c r="AJ1" s="12" t="inlineStr">
        <is>
          <t>Wave Energy</t>
        </is>
      </c>
      <c r="AK1" s="12" t="inlineStr">
        <is>
          <t>Protocol Method Summary</t>
        </is>
      </c>
      <c r="AL1" s="12" t="inlineStr">
        <is>
          <t>Summary Confidence</t>
        </is>
      </c>
      <c r="AM1" s="12" t="inlineStr">
        <is>
          <t>Protocol ID</t>
        </is>
      </c>
      <c r="AN1" s="12" t="inlineStr">
        <is>
          <t>Protocol Template URL</t>
        </is>
      </c>
      <c r="AO1" s="12" t="inlineStr">
        <is>
          <t>Data Sheet URL</t>
        </is>
      </c>
      <c r="AP1" s="12" t="inlineStr">
        <is>
          <t>Stats Workbook URL</t>
        </is>
      </c>
      <c r="AQ1" s="12" t="inlineStr">
        <is>
          <t>Normalized Protocol Title</t>
        </is>
      </c>
      <c r="AR1" s="12" t="inlineStr">
        <is>
          <t>Authors (full)</t>
        </is>
      </c>
      <c r="AS1" s="12" t="inlineStr">
        <is>
          <t>Refinement Log</t>
        </is>
      </c>
      <c r="AT1" s="12" t="inlineStr">
        <is>
          <t>Monitoring Methods (multi-select)</t>
        </is>
      </c>
    </row>
    <row r="2" ht="240" customHeight="1">
      <c r="A2" s="3" t="inlineStr">
        <is>
          <t>Corrigan, S., et al.</t>
        </is>
      </c>
      <c r="B2" s="3" t="inlineStr">
        <is>
          <t>Quantifying habitat provisioning at macroalgal cultivation sites</t>
        </is>
      </c>
      <c r="C2" s="3" t="inlineStr">
        <is>
          <t>Reviews in Aquaculture</t>
        </is>
      </c>
      <c r="D2" s="3" t="n">
        <v>14</v>
      </c>
      <c r="E2" s="3" t="n">
        <v>3</v>
      </c>
      <c r="F2" s="3" t="inlineStr">
        <is>
          <t>1671-1694</t>
        </is>
      </c>
      <c r="G2" s="3" t="n">
        <v>2022</v>
      </c>
      <c r="H2" s="3" t="inlineStr">
        <is>
          <t>Wiley Online Library</t>
        </is>
      </c>
      <c r="I2" s="3" t="inlineStr">
        <is>
          <t>Seaweed Habitat &amp; Biodiversity — covers Indicators 1.1.1 (epibiota), 1.2.1 (mobile fauna), 1.3.1 (benthic infauna), 1.4.1 (sediment), 2.1.1 (community composition), 2.2.1 (spawning/recruitment). Touches every H&amp;B indicator.</t>
        </is>
      </c>
      <c r="J2" s="3" t="inlineStr">
        <is>
          <t>Reference (methods review)</t>
        </is>
      </c>
      <c r="K2" s="3" t="inlineStr">
        <is>
          <t>Adequate as a decision-support tool, not as a standalone protocol. Catalogues techniques (Table 1) with pros/cons and standardisation recommendations for each, but readers must go to the cited primary papers to obtain step-by-step procedures.</t>
        </is>
      </c>
      <c r="L2" s="3" t="inlineStr">
        <is>
          <t>Partial — the comparative table helps a farmer choose between accessible options (visual surveys, photo-quadrats, biomass-sample collection), but the paper doesn't give them how-to procedures.</t>
        </is>
      </c>
      <c r="M2" s="3" t="inlineStr">
        <is>
          <t>Yes — it is written for the research community and provides the design rationale for selecting and standardising monitoring techniques across sites.</t>
        </is>
      </c>
      <c r="N2" s="3" t="inlineStr">
        <is>
          <t>N/A — methods review (no primary data collection)</t>
        </is>
      </c>
      <c r="O2" s="3" t="inlineStr">
        <is>
          <t>N/A</t>
        </is>
      </c>
      <c r="P2" s="3" t="inlineStr">
        <is>
          <t>One-time (no sampling — desk-based)</t>
        </is>
      </c>
      <c r="Q2" s="3" t="inlineStr">
        <is>
          <t>Narrative review</t>
        </is>
      </c>
      <c r="R2" s="3" t="inlineStr">
        <is>
          <t>Yes — Open Access (CC BY 4.0)</t>
        </is>
      </c>
      <c r="T2" s="3" t="inlineStr">
        <is>
          <t>https://onlinelibrary.wiley.com/doi/10.1111/raq.12669 ; PDF: https://plymsea.ac.uk/id/eprint/9643/</t>
        </is>
      </c>
      <c r="U2" s="3" t="inlineStr"/>
      <c r="V2" s="3" t="inlineStr">
        <is>
          <t>Original list</t>
        </is>
      </c>
      <c r="W2" s="7" t="inlineStr">
        <is>
          <t>2 — Researcher</t>
        </is>
      </c>
      <c r="X2" s="3" t="inlineStr">
        <is>
          <t>Seaweed</t>
        </is>
      </c>
      <c r="Y2" s="3" t="inlineStr">
        <is>
          <t>Habitat &amp; Biodiversity, Cross-cutting / Framework</t>
        </is>
      </c>
      <c r="Z2" s="3" t="inlineStr">
        <is>
          <t>H&amp;B 1.1.1 — Epibiota, H&amp;B 1.2.1 — Mobile fauna, H&amp;B 2.1.1 — Community composition</t>
        </is>
      </c>
      <c r="AA2" s="3" t="inlineStr">
        <is>
          <t>Cross-zone / global</t>
        </is>
      </c>
      <c r="AB2" s="3" t="inlineStr">
        <is>
          <t>Not species-specific</t>
        </is>
      </c>
      <c r="AC2" s="3" t="inlineStr">
        <is>
          <t>Not gear-specific</t>
        </is>
      </c>
      <c r="AD2" s="3" t="inlineStr">
        <is>
          <t>Not scale-specific</t>
        </is>
      </c>
      <c r="AE2" s="3" t="inlineStr">
        <is>
          <t>Not site-specific</t>
        </is>
      </c>
      <c r="AF2" s="3" t="inlineStr">
        <is>
          <t>Not specific</t>
        </is>
      </c>
      <c r="AG2" s="3" t="inlineStr">
        <is>
          <t>Mixed methods</t>
        </is>
      </c>
      <c r="AH2" s="3" t="inlineStr">
        <is>
          <t>Not algae-specific</t>
        </is>
      </c>
      <c r="AI2" s="3" t="inlineStr">
        <is>
          <t>Not depth-specific</t>
        </is>
      </c>
      <c r="AJ2" s="3" t="inlineStr">
        <is>
          <t>Not exposure-specific</t>
        </is>
      </c>
      <c r="AK2" s="16" t="inlineStr">
        <is>
          <t>Methods review — no primary data collection. It catalogues and compares field techniques for measuring habitat and biodiversity provisioning at seaweed farms, indicator by indicator (epibiota, mobile fauna, benthic infauna, sediment, community composition), with the trade-offs and standardisation notes for each. Use it to pick which method fits a given indicator, then follow the primary papers it cites for the step-by-step procedure.</t>
        </is>
      </c>
      <c r="AL2" s="17" t="inlineStr">
        <is>
          <t>Ref</t>
        </is>
      </c>
      <c r="AM2" s="18" t="inlineStr">
        <is>
          <t>corrigan_2022</t>
        </is>
      </c>
      <c r="AN2" s="19" t="n"/>
      <c r="AO2" s="19" t="n"/>
      <c r="AP2" s="19" t="n"/>
      <c r="AQ2" s="16" t="inlineStr">
        <is>
          <t>Choosing Field Methods for Farm Habitat &amp; Biodiversity (Methods Review)</t>
        </is>
      </c>
      <c r="AR2" s="16" t="inlineStr">
        <is>
          <t xml:space="preserve">Corrigan, Sophie; Brown, Andrew Ross; Ashton, Ian GC; Smale, Dan A; Tyler, Charles R; </t>
        </is>
      </c>
      <c r="AS2" s="16" t="inlineStr">
        <is>
          <t>Cited directly in the MEL framework Tools &amp; Resources (p. 37). Best used to choose WHICH method to apply per indicator, then to chase the primary protocol papers it cites.</t>
        </is>
      </c>
      <c r="AT2" s="20" t="n"/>
    </row>
    <row r="3" ht="240" customHeight="1">
      <c r="A3" s="3" t="inlineStr">
        <is>
          <t>Diruit, W., et al.</t>
        </is>
      </c>
      <c r="B3" s="3" t="inlineStr">
        <is>
          <t>Seaweed habitats on the shore: Characterization through hyperspectral UAV imagery and field sampling</t>
        </is>
      </c>
      <c r="C3" s="3" t="inlineStr">
        <is>
          <t>Remote Sensing</t>
        </is>
      </c>
      <c r="D3" s="3" t="n">
        <v>14</v>
      </c>
      <c r="E3" s="3" t="n">
        <v>13</v>
      </c>
      <c r="F3" s="3" t="n">
        <v>3124</v>
      </c>
      <c r="G3" s="3" t="n">
        <v>2022</v>
      </c>
      <c r="H3" s="3" t="inlineStr">
        <is>
          <t>MDPI</t>
        </is>
      </c>
      <c r="I3" s="3" t="inlineStr">
        <is>
          <t>Seaweed Habitat &amp; Biodiversity — peripheral. Maps to Indicator 2.1.1 (community composition of WILD intertidal macroalgae) and could inform site-context characterisation for farm-vs-wild Archetype 3 sampling, but the paper is not about farms.</t>
        </is>
      </c>
      <c r="J3" s="3" t="inlineStr">
        <is>
          <t>Protocol (empirical, fully specified) — transferable methods for site characterisation, not direct indicator measurement at farms.</t>
        </is>
      </c>
      <c r="K3" s="3" t="inlineStr">
        <is>
          <t>Yes for what it does — UAV hyperspectral imaging of intertidal rocky shore in Brittany (Porspoder), classification of 7 seaweed classes via image processing, validated against in-situ quadrats at 24 sites across four bathymetric levels. Useful for baseline site characterisation but doesn't map farm-derived faunal or chemical indicators.</t>
        </is>
      </c>
      <c r="L3" s="3" t="inlineStr">
        <is>
          <t>No — hyperspectral drone surveys require pilot licensing, specialised camera, georeferencing, and classification expertise.</t>
        </is>
      </c>
      <c r="M3" s="3" t="inlineStr">
        <is>
          <t>Yes — methods fully specified for replication by a remote-sensing lab.</t>
        </is>
      </c>
      <c r="N3" s="3" t="inlineStr">
        <is>
          <t>Hyperspectral UAV camera, drone platform, GIS / ENVI image-processing software, validation quadrats</t>
        </is>
      </c>
      <c r="O3" s="3" t="inlineStr">
        <is>
          <t>High — hyperspectral camera $20K+, drone $2–5K, processing software (free if QGIS/Python)</t>
        </is>
      </c>
      <c r="P3" s="3" t="inlineStr">
        <is>
          <t>Short campaign (days to 2 weeks)</t>
        </is>
      </c>
      <c r="Q3" s="3" t="inlineStr">
        <is>
          <t>Supervised image classification (SAM, MLC), in-situ quadrat validation, accuracy assessment</t>
        </is>
      </c>
      <c r="R3" s="3" t="inlineStr">
        <is>
          <t>Yes — Open Access (CC BY, MDPI)</t>
        </is>
      </c>
      <c r="T3" s="3" t="inlineStr">
        <is>
          <t>https://www.mdpi.com/2072-4292/14/13/3124</t>
        </is>
      </c>
      <c r="U3" s="3" t="inlineStr">
        <is>
          <t>Developed on wild intertidal macroalgae, so use it for site/baseline mapping rather than direct farm-indicator measurement.</t>
        </is>
      </c>
      <c r="V3" s="3" t="inlineStr">
        <is>
          <t>Original list</t>
        </is>
      </c>
      <c r="W3" s="7" t="inlineStr">
        <is>
          <t>2 — Researcher</t>
        </is>
      </c>
      <c r="X3" s="3" t="inlineStr">
        <is>
          <t>Seaweed</t>
        </is>
      </c>
      <c r="Y3" s="3" t="inlineStr">
        <is>
          <t>Habitat &amp; Biodiversity</t>
        </is>
      </c>
      <c r="Z3" s="3" t="inlineStr">
        <is>
          <t>H&amp;B 2.1.1 — Community composition</t>
        </is>
      </c>
      <c r="AA3" s="3" t="inlineStr">
        <is>
          <t>Temperate Atlantic</t>
        </is>
      </c>
      <c r="AB3" s="3" t="inlineStr">
        <is>
          <t>Multi-species / mixed</t>
        </is>
      </c>
      <c r="AC3" s="3" t="inlineStr">
        <is>
          <t>Not gear-specific</t>
        </is>
      </c>
      <c r="AD3" s="3" t="inlineStr">
        <is>
          <t>Not scale-specific</t>
        </is>
      </c>
      <c r="AE3" s="3" t="inlineStr">
        <is>
          <t>Variable / seasonal</t>
        </is>
      </c>
      <c r="AF3" s="3" t="inlineStr">
        <is>
          <t>Not specific</t>
        </is>
      </c>
      <c r="AG3" s="3" t="inlineStr">
        <is>
          <t>Remote sensing</t>
        </is>
      </c>
      <c r="AH3" s="3" t="inlineStr">
        <is>
          <t>Multi-type</t>
        </is>
      </c>
      <c r="AI3" s="3" t="inlineStr">
        <is>
          <t>Intertidal / very shallow (&lt; 2 m)</t>
        </is>
      </c>
      <c r="AJ3" s="3" t="inlineStr">
        <is>
          <t>Not exposure-specific</t>
        </is>
      </c>
      <c r="AK3" s="16" t="inlineStr">
        <is>
          <t>To map your seaweed canopy and community as a baseline for habitat/community indicators, fly a drone carrying a hyperspectral (or multispectral) camera along transects over the site at low tide. Process the imagery in GIS software and classify each pixel into seaweed types using a supervised classifier. Validate the map by reading quadrats on the ground at points spread across the tidal range, then score overall accuracy against those points. The result is a repeatable canopy/habitat map rather than a direct measure of farm-derived fauna or chemistry.</t>
        </is>
      </c>
      <c r="AL3" s="17" t="inlineStr">
        <is>
          <t>Med</t>
        </is>
      </c>
      <c r="AM3" s="18" t="inlineStr">
        <is>
          <t>diruit_2022</t>
        </is>
      </c>
      <c r="AN3" s="19" t="n"/>
      <c r="AO3" s="19" t="n"/>
      <c r="AP3" s="19" t="n"/>
      <c r="AQ3" s="16" t="inlineStr">
        <is>
          <t>Hyperspectral Mapping of Seaweed Canopy &amp; Community</t>
        </is>
      </c>
      <c r="AR3" s="16" t="inlineStr">
        <is>
          <t xml:space="preserve">Diruit, Wendy; Le Bris, Anthony; Bajjouk, Touria; Richier, Sophie; Helias, Mathieu; Burel, Thomas; Lennon, Marc; Guyot, Alexandre; Ar Gall, Erwan; </t>
        </is>
      </c>
      <c r="AS3" s="16" t="inlineStr">
        <is>
          <t>About wild intertidal macroalgae, not farms — transferable for site context / baseline mapping rather than direct indicator measurement.  |  [2026-10-16 monitoring-methods pass] AT (Monitoring Methods) set from the protocol's method summary (AK): Drone / UAV imagery, Farm / bloom extent mapping.</t>
        </is>
      </c>
      <c r="AT3" s="20" t="inlineStr">
        <is>
          <t>Drone / UAV imagery, Farm / bloom extent mapping</t>
        </is>
      </c>
    </row>
    <row r="4" ht="240" customHeight="1">
      <c r="A4" s="3" t="inlineStr">
        <is>
          <t>Campbell, I., et al.</t>
        </is>
      </c>
      <c r="B4" s="3" t="inlineStr">
        <is>
          <t>The environmental risks associated with the development of seaweed farming in Europe-prioritizing key knowledge gaps</t>
        </is>
      </c>
      <c r="C4" s="3" t="inlineStr">
        <is>
          <t>Frontiers in Marine Science</t>
        </is>
      </c>
      <c r="D4" s="3" t="n">
        <v>6</v>
      </c>
      <c r="E4" s="3" t="n"/>
      <c r="F4" s="3" t="n">
        <v>379461</v>
      </c>
      <c r="G4" s="3" t="n">
        <v>2019</v>
      </c>
      <c r="H4" s="3" t="inlineStr">
        <is>
          <t>Frontiers</t>
        </is>
      </c>
      <c r="I4" s="3" t="inlineStr">
        <is>
          <t>Seaweed Habitat &amp; Biodiversity — risk-scoping reference cutting across all H&amp;B indicators, plus negative-impact dimensions (disease, population genetics, invasive species) the MEL framework explicitly leaves out of scope.</t>
        </is>
      </c>
      <c r="J4" s="3" t="inlineStr">
        <is>
          <t>Reference (systematic review / knowledge-gap prioritisation)</t>
        </is>
      </c>
      <c r="K4" s="3" t="inlineStr">
        <is>
          <t>Adequate as a risk scoping document; not adequate as a protocol. The paper systematically identifies and prioritises ecological risks but does not prescribe how to measure them.</t>
        </is>
      </c>
      <c r="L4" s="3" t="inlineStr">
        <is>
          <t>No — not a protocol; nothing to execute.</t>
        </is>
      </c>
      <c r="M4" s="3" t="inlineStr">
        <is>
          <t>Yes — useful for researchers designing programmes around European farms.</t>
        </is>
      </c>
      <c r="N4" s="3" t="inlineStr">
        <is>
          <t>N/A — systematic risk-scoping review</t>
        </is>
      </c>
      <c r="O4" s="3" t="inlineStr">
        <is>
          <t>N/A</t>
        </is>
      </c>
      <c r="P4" s="3" t="inlineStr">
        <is>
          <t>One-time (no sampling — desk-based)</t>
        </is>
      </c>
      <c r="Q4" s="3" t="inlineStr">
        <is>
          <t>Risk prioritisation framework</t>
        </is>
      </c>
      <c r="R4" s="3" t="inlineStr">
        <is>
          <t>Yes — Open Access (CC BY, Frontiers Marine Science)</t>
        </is>
      </c>
      <c r="T4" s="3" t="inlineStr">
        <is>
          <t>https://www.frontiersin.org/articles/10.3389/fmars.2019.00107</t>
        </is>
      </c>
      <c r="U4" s="3" t="inlineStr"/>
      <c r="V4" s="3" t="inlineStr">
        <is>
          <t>Original list</t>
        </is>
      </c>
      <c r="W4" s="8" t="inlineStr">
        <is>
          <t>1 — Reference</t>
        </is>
      </c>
      <c r="X4" s="3" t="inlineStr">
        <is>
          <t>Seaweed</t>
        </is>
      </c>
      <c r="Y4" s="3" t="inlineStr">
        <is>
          <t>Cross-cutting / Framework</t>
        </is>
      </c>
      <c r="Z4" s="3" t="inlineStr">
        <is>
          <t>Cross-cutting / framework</t>
        </is>
      </c>
      <c r="AA4" s="3" t="inlineStr">
        <is>
          <t>Cross-zone / global</t>
        </is>
      </c>
      <c r="AB4" s="3" t="inlineStr">
        <is>
          <t>Not species-specific</t>
        </is>
      </c>
      <c r="AC4" s="3" t="inlineStr">
        <is>
          <t>Not gear-specific</t>
        </is>
      </c>
      <c r="AD4" s="3" t="inlineStr">
        <is>
          <t>Not scale-specific</t>
        </is>
      </c>
      <c r="AE4" s="3" t="inlineStr">
        <is>
          <t>Not site-specific</t>
        </is>
      </c>
      <c r="AF4" s="3" t="inlineStr">
        <is>
          <t>Not specific</t>
        </is>
      </c>
      <c r="AG4" s="3" t="inlineStr">
        <is>
          <t>Mixed methods</t>
        </is>
      </c>
      <c r="AH4" s="3" t="inlineStr">
        <is>
          <t>Not algae-specific</t>
        </is>
      </c>
      <c r="AI4" s="3" t="inlineStr">
        <is>
          <t>Not depth-specific</t>
        </is>
      </c>
      <c r="AJ4" s="3" t="inlineStr">
        <is>
          <t>Not exposure-specific</t>
        </is>
      </c>
      <c r="AK4" s="16" t="inlineStr">
        <is>
          <t>Reference — no primary data collection. It systematically compiles and ranks the ecological risks of expanding seaweed farming in Europe (disease, genetic effects, habitat change and others) and prioritises the key knowledge gaps. It tells a programme what negative-impact dimensions may need watching but does not prescribe how to measure any of them.</t>
        </is>
      </c>
      <c r="AL4" s="17" t="inlineStr">
        <is>
          <t>Ref</t>
        </is>
      </c>
      <c r="AM4" s="18" t="inlineStr">
        <is>
          <t>campbell_2019</t>
        </is>
      </c>
      <c r="AN4" s="19" t="n"/>
      <c r="AO4" s="19" t="n"/>
      <c r="AP4" s="19" t="n"/>
      <c r="AQ4" s="16" t="inlineStr">
        <is>
          <t>Ranking the Ecological Risks of Seaweed Farming (Scoping Reference)</t>
        </is>
      </c>
      <c r="AR4" s="16" t="inlineStr">
        <is>
          <t xml:space="preserve">Campbell, Iona; Macleod, Adrian; Sahlmann, Christian; Neves, Luiza; Funderud, Jon; Øverland, Margareth; Hughes, Adam D; Stanley, Michele; </t>
        </is>
      </c>
      <c r="AS4" s="16" t="inlineStr">
        <is>
          <t>Companion-level scoping paper to Corrigan 2022. Use to identify which negative-impact dimensions a programme may need to monitor alongside the MEL ecosystem-service indicators.</t>
        </is>
      </c>
      <c r="AT4" s="20" t="n"/>
    </row>
    <row r="5" ht="240" customHeight="1">
      <c r="A5" s="3" t="inlineStr">
        <is>
          <t>Xing, Q., et al.</t>
        </is>
      </c>
      <c r="B5" s="3" t="inlineStr">
        <is>
          <t>Monitoring seaweed aquaculture in the Yellow Sea with multiple sensors for managing the disaster of macroalgal blooms</t>
        </is>
      </c>
      <c r="C5" s="3" t="inlineStr">
        <is>
          <t>Remote Sensing of Environment</t>
        </is>
      </c>
      <c r="D5" s="3" t="n">
        <v>231</v>
      </c>
      <c r="E5" s="3" t="n"/>
      <c r="F5" s="3" t="n">
        <v>111279</v>
      </c>
      <c r="G5" s="3" t="n">
        <v>2019</v>
      </c>
      <c r="H5" s="3" t="inlineStr">
        <is>
          <t>Elsevier</t>
        </is>
      </c>
      <c r="I5" s="3" t="inlineStr">
        <is>
          <t>Seaweed Habitat &amp; Biodiversity — marginal fit. The paper is about REMOTE DETECTION of seaweed farm footprint and green-tide (Ulva) bloom hazard management; closer to MEL framework's "standard environmental monitoring procedures" (p. 9) than to the ecosystem-service indicators.</t>
        </is>
      </c>
      <c r="J5" s="3" t="inlineStr">
        <is>
          <t>Protocol (multi-sensor satellite + UAV + spectroradiometer remote sensing for farm extent and bloom tracking)</t>
        </is>
      </c>
      <c r="K5" s="3" t="inlineStr">
        <is>
          <t>Yes for farm-extent mapping and HAB tracking at regional scale. Not a direct measure of any seaweed MEL ecosystem-service indicator; could inform farm-area inputs for the Xiao 2017 nutrient-removal calculation chain.</t>
        </is>
      </c>
      <c r="L5" s="3" t="inlineStr">
        <is>
          <t>No — requires satellite imagery analysis, UAV piloting, and spectroradiometer fieldwork.</t>
        </is>
      </c>
      <c r="M5" s="3" t="inlineStr">
        <is>
          <t>Yes — fully specified for replication by a remote-sensing group.</t>
        </is>
      </c>
      <c r="N5" s="3" t="inlineStr">
        <is>
          <t>Satellite imagery (Sentinel/MODIS), UAV, field spectroradiometer</t>
        </is>
      </c>
      <c r="O5" s="3" t="inlineStr">
        <is>
          <t>N/A — not in MEL framework</t>
        </is>
      </c>
      <c r="P5" s="3" t="inlineStr">
        <is>
          <t>Short campaign (days to 2 weeks)</t>
        </is>
      </c>
      <c r="Q5" s="3" t="inlineStr">
        <is>
          <t>Remote-sensing classification, bloom area calculation</t>
        </is>
      </c>
      <c r="R5" s="3" t="inlineStr">
        <is>
          <t>No — Paywalled at Elsevier (Remote Sensing of Environment)</t>
        </is>
      </c>
      <c r="T5" s="3" t="inlineStr">
        <is>
          <t>Paywall: https://www.sciencedirect.com/science/article/pii/S0034425719302986</t>
        </is>
      </c>
      <c r="U5" s="3" t="inlineStr">
        <is>
          <t>This is hazard/area mapping, not a benefit indicator - use it to delineate farm extent.</t>
        </is>
      </c>
      <c r="V5" s="3" t="inlineStr">
        <is>
          <t>Original list</t>
        </is>
      </c>
      <c r="W5" s="7" t="inlineStr">
        <is>
          <t>2 — Researcher</t>
        </is>
      </c>
      <c r="X5" s="3" t="inlineStr">
        <is>
          <t>Seaweed</t>
        </is>
      </c>
      <c r="Y5" s="3" t="inlineStr">
        <is>
          <t>Cross-cutting / Framework</t>
        </is>
      </c>
      <c r="Z5" s="3" t="inlineStr">
        <is>
          <t>Not in MEL framework</t>
        </is>
      </c>
      <c r="AA5" s="3" t="inlineStr">
        <is>
          <t>Temperate Pacific</t>
        </is>
      </c>
      <c r="AB5" s="3" t="inlineStr">
        <is>
          <t>Porphyra / Pyropia (nori/laver)</t>
        </is>
      </c>
      <c r="AC5" s="3" t="inlineStr">
        <is>
          <t>Raft / floating</t>
        </is>
      </c>
      <c r="AD5" s="3" t="inlineStr">
        <is>
          <t>Multi-farm regional</t>
        </is>
      </c>
      <c r="AE5" s="3" t="inlineStr">
        <is>
          <t>Variable / seasonal</t>
        </is>
      </c>
      <c r="AF5" s="3" t="inlineStr">
        <is>
          <t>Not specific</t>
        </is>
      </c>
      <c r="AG5" s="3" t="inlineStr">
        <is>
          <t>Remote sensing</t>
        </is>
      </c>
      <c r="AH5" s="3" t="inlineStr">
        <is>
          <t>Red</t>
        </is>
      </c>
      <c r="AI5" s="3" t="inlineStr">
        <is>
          <t>Not depth-specific</t>
        </is>
      </c>
      <c r="AJ5" s="3" t="inlineStr">
        <is>
          <t>Not exposure-specific</t>
        </is>
      </c>
      <c r="AK5" s="16" t="inlineStr">
        <is>
          <t>To map the extent of your farm footprint and track nearby macroalgal (green-tide) blooms, combine satellite imagery with drone flights and, if available, field spectroradiometer readings, then classify the images to delineate farm and bloom areas. Repeat over a short campaign to capture change through the season. This yields farm-area and bloom-extent figures for context or as an input to a separate nutrient-removal calculation, rather than a direct ecosystem-benefit measurement.</t>
        </is>
      </c>
      <c r="AL5" s="17" t="inlineStr">
        <is>
          <t>Med</t>
        </is>
      </c>
      <c r="AM5" s="18" t="inlineStr">
        <is>
          <t>xing_2019</t>
        </is>
      </c>
      <c r="AN5" s="19" t="n"/>
      <c r="AO5" s="19" t="n"/>
      <c r="AP5" s="19" t="n"/>
      <c r="AQ5" s="16" t="inlineStr">
        <is>
          <t>Satellite Mapping of Farm Footprint &amp; Nearby Blooms</t>
        </is>
      </c>
      <c r="AR5" s="16" t="inlineStr">
        <is>
          <t xml:space="preserve">Xing, Qianguo; An, Deyu; Zheng, Xiangyang; Wei, Zhenning; Wang, Xinhua; Li, Lin; Tian, Liqiao; Chen, Jun; </t>
        </is>
      </c>
      <c r="AS5" s="16" t="inlineStr">
        <is>
          <t>Negative-impact / hazard monitoring rather than benefit monitoring. Best framed as supporting "farm area mapping" inputs rather than a benefit indicator protocol.  |  [2026-10-13 Rule 15 cost re-rate, batch 9] No MEL indicator tagged (farm-extent and bloom mapping), so there is no Framework design to cost; set to N/A like the other not-in-framework rows (bennion_2019, bodycomb_2023). Prior O: 'High — spectroradiometer $20K+, UAV, satellite imagery (free Sentinel or licensed)'.  |  [2026-10-16 monitoring-methods pass] AT (Monitoring Methods) set from the protocol's method summary (AK): Drone / UAV imagery, Farm / bloom extent mapping.</t>
        </is>
      </c>
      <c r="AT5" s="20" t="inlineStr">
        <is>
          <t>Drone / UAV imagery, Farm / bloom extent mapping</t>
        </is>
      </c>
    </row>
    <row r="6" ht="240" customHeight="1">
      <c r="A6" s="3" t="inlineStr">
        <is>
          <t>Schutt, E., et al.</t>
        </is>
      </c>
      <c r="B6" s="3" t="inlineStr">
        <is>
          <t>Supporting ecosystem services of habitat and biodiversity in temperate seaweed (Saccharina spp.) farms</t>
        </is>
      </c>
      <c r="C6" s="3" t="inlineStr">
        <is>
          <t>Marine Environmental Research</t>
        </is>
      </c>
      <c r="D6" s="3" t="n">
        <v>191</v>
      </c>
      <c r="E6" s="3" t="n"/>
      <c r="F6" s="3" t="n">
        <v>106162</v>
      </c>
      <c r="G6" s="3" t="n">
        <v>2023</v>
      </c>
      <c r="H6" s="3" t="inlineStr">
        <is>
          <t>Elsevier</t>
        </is>
      </c>
      <c r="I6" s="3" t="inlineStr">
        <is>
          <t>Maps to H&amp;B 1.1.1 — Epibiota. Collector devices (three 8 cm kitchen-scrubber sponges in a mesh bag) suspended at kelp-line depth (2 m), 2 near the outer grow line and 2 at a non-farm area ~100 m away, soaked ~4 weeks per period; sponges frozen, teased apart and flushed in the lab, and small (&lt;5 mm) invertebrates identified to genus/species and counted. Match: Partial — collectors sample small invertebrates colonising at farm depth (a Framework-listed method), not organisms on the kelp itself.</t>
        </is>
      </c>
      <c r="J6" s="3" t="inlineStr">
        <is>
          <t>Protocol (empirical, fully specified)</t>
        </is>
      </c>
      <c r="K6" s="3" t="inlineStr">
        <is>
          <t>Confirmed standalone (full read). 88 collector samples over four ~4-week periods in two growing seasons; richness, Shannon diversity, nested ANOVA, PERMANOVA (presence/absence) and negative binomial models (abundance) — robust for H&amp;B 1.1.1 (Partial; collector-based). No farm effect found.</t>
        </is>
      </c>
      <c r="L6" s="3" t="inlineStr">
        <is>
          <t>Partial — deploying and retrieving sponge collectors is farmer-doable; sorting and identifying the small (&lt;5 mm) amphipods, copepods and caprellids needs a microscope and a partner lab. The eDNA component is out of scope.</t>
        </is>
      </c>
      <c r="M6" s="3" t="inlineStr">
        <is>
          <t>Yes — the full pipeline including eDNA, primer choice (MiFish, 18S), bioinformatics, and statistical design (nested ANOVA, PERMANOVA, NMDS) is described in detail.</t>
        </is>
      </c>
      <c r="N6" s="3" t="inlineStr">
        <is>
          <t>Collector devices: three 8 cm round plastic scrubber sponges in a large-mesh bag on a buoy–rope–anchor line (or hung from the grow line) at 2 m; freezer (−20 °C) for storage; partner-lab dissecting microscope and ID.</t>
        </is>
      </c>
      <c r="O6" s="3" t="inlineStr">
        <is>
          <t>Medium — ~$5.1K yr 1: no start-up cost + $5.13K/yr (epibiota ID 12 × $414 [est]; sponge collector 12 × $5 [est]; bags + preservative $100 [est])</t>
        </is>
      </c>
      <c r="P6" s="3" t="inlineStr">
        <is>
          <t>Multi-year monitoring (&gt; 1 year) — four ~4-week collector soaks per year (peak kelp productivity, peak biomass, early and late summer), repeated over two years (2020–2022)</t>
        </is>
      </c>
      <c r="Q6" s="3" t="inlineStr">
        <is>
          <t>Species richness and Shannon diversity (nested ANOVA, rank-transformed where needed); beta diversity by PERMANOVA on 1 − Sørensen (presence/absence) and negative binomial models on abundance (R).</t>
        </is>
      </c>
      <c r="R6" s="3" t="inlineStr">
        <is>
          <t>Mixed — journal version paywalled at Elsevier; a freely available author/TNC-hosted PDF exists.</t>
        </is>
      </c>
      <c r="S6" t="inlineStr">
        <is>
          <t>Full PDF</t>
        </is>
      </c>
      <c r="T6" s="3" t="inlineStr">
        <is>
          <t>Paywall: https://www.sciencedirect.com/science/article/abs/pii/S0141113623002908 ; Free PDF: https://www.aquaculturescience.org/content/dam/tnc/nature/en/documents/aquaculture/SeaweedHabitatEcosystemServices.pdf</t>
        </is>
      </c>
      <c r="U6" s="3" t="inlineStr">
        <is>
          <t>A useful counter-example: these farms did NOT enhance biodiversity, so results are archetype-dependent. The scrubber-sponge collector design is very practical.</t>
        </is>
      </c>
      <c r="V6" s="3" t="inlineStr">
        <is>
          <t>Original list</t>
        </is>
      </c>
      <c r="W6" s="9" t="inlineStr">
        <is>
          <t>3 — Partnership</t>
        </is>
      </c>
      <c r="X6" s="3" t="inlineStr">
        <is>
          <t>Seaweed</t>
        </is>
      </c>
      <c r="Y6" s="3" t="inlineStr">
        <is>
          <t>Habitat &amp; Biodiversity</t>
        </is>
      </c>
      <c r="Z6" s="3" t="inlineStr">
        <is>
          <t>H&amp;B 1.1.1 — Epibiota</t>
        </is>
      </c>
      <c r="AA6" s="3" t="inlineStr">
        <is>
          <t>Temperate Atlantic</t>
        </is>
      </c>
      <c r="AB6" s="3" t="inlineStr">
        <is>
          <t>Saccharina (sugar kelp)</t>
        </is>
      </c>
      <c r="AC6" s="3" t="inlineStr">
        <is>
          <t>Longline (surface)</t>
        </is>
      </c>
      <c r="AD6" s="3" t="inlineStr">
        <is>
          <t>Medium (1–20 ha)</t>
        </is>
      </c>
      <c r="AE6" s="3" t="inlineStr">
        <is>
          <t>Clear (visual methods feasible)</t>
        </is>
      </c>
      <c r="AF6" s="3" t="inlineStr">
        <is>
          <t>Monoculture</t>
        </is>
      </c>
      <c r="AG6" s="3" t="inlineStr">
        <is>
          <t>Visual survey</t>
        </is>
      </c>
      <c r="AH6" s="3" t="inlineStr">
        <is>
          <t>Brown</t>
        </is>
      </c>
      <c r="AI6" s="3" t="inlineStr">
        <is>
          <t>Shallow nearshore (2–10 m)</t>
        </is>
      </c>
      <c r="AJ6" s="3" t="inlineStr">
        <is>
          <t>Not exposure-specific</t>
        </is>
      </c>
      <c r="AK6" s="16" t="inlineStr">
        <is>
          <t>To sample the small animals that colonise your seaweed farm, hang collectors — three plastic kitchen-scrubber sponges (about 8 cm) inside a mesh bag — at the depth of your grow lines, [3] within the farm and [3] at its edge, and leave them for about four weeks, once in each season the crop is in the water. Keep the bags clean of fouling so water flows through the sponges. Bag and freeze each set of sponges on retrieval and send them to a partner lab, which flushes the animals out and identifies and counts them (mostly amphipods, skeleton shrimps and copepods). Compare numbers, species richness and diversity between farm and edge, and if you can between the growing and fallow seasons, since seasonal change can be larger than any farm effect.</t>
        </is>
      </c>
      <c r="AL6" s="17" t="inlineStr">
        <is>
          <t>High</t>
        </is>
      </c>
      <c r="AM6" s="18" t="inlineStr">
        <is>
          <t>schutt_2023_hb111</t>
        </is>
      </c>
      <c r="AN6" s="19" t="n"/>
      <c r="AO6" s="19" t="n"/>
      <c r="AP6" s="19" t="n"/>
      <c r="AQ6" s="16" t="inlineStr">
        <is>
          <t>Epibiota / fouling survey — Seaweed</t>
        </is>
      </c>
      <c r="AR6" s="16" t="inlineStr">
        <is>
          <t xml:space="preserve">Schutt, Emilly; Francolini, Rene; Price, Nichole; Olson, Zachary; Byron, Carrie J; </t>
        </is>
      </c>
      <c r="AS6" s="16" t="inlineStr">
        <is>
          <t>Cited in MEL Table 1 (p. 16). Useful temperate counter-example — farms in this study did NOT enhance biodiversity, highlighting Archetype-dependence. Kitchen-scrubber-sponge collector design is exceptionally practical for farmers.  |  Migration (one-indicator-per-row, 2026-09-04): split from schutt_2023 -&gt; {schutt_2023_hb111, schutt_2023_hb121, schutt_2023_hb211}. This row = schutt_2023_hb111 (H&amp;B 1.1.1 — Epibiota). Candidate: AK/N/Q blanked and I/K/W/O/P provisional; per-indicator method text, tier/cost/effort and match adjudication to be finalised at generation. Combined parent I/AK/N/Q retained in v37 (pre-split).  |  [2026-10-09 Rule 15 cost re-rate, batch 2] Framework basis: SW H&amp;B 1.1.1: within farm + edge; once per season (2 visits); 2 locations × 2 visits × 3 replicates = 12. Sponge collectors hung from farm lines, one retrieved per sample; partner-lab ID (fee is a proxy estimate); eDNA treated as supplementary (presence only) and excluded; gear inferred from method note. Prior O: 'Low — &lt;$1K for full kit ($300–700 per BRUV unit; sponges &lt;$50)'.  |  [2026-10-13 Rule 15 lab-fee waiver] ID moved to the field with a guide (Peter, 2026-10-13: species counts and field-identifiable taxa carry no lab fee); L already puts basic invertebrate ID within a farmer's reach; preservative dropped; design unchanged. Prior O: 'Medium — ~$5.1K yr 1: no start-up cost + $5.13K/yr (epibiota ID 12 × $414 [est]; sponge collector 12 × $5 [est]; bags + preservative $100 [est])'.  |  [2026-10-13 method-summary pass] I, K: candidate-split text replaced after full read (prior: 'Maps to … Candidate split…' / 'Standalone-candidate…'). S: blank → 'Full PDF' (TNC-hosted copy). L: row-specific (microscope ID). N, Q: blank → filled. P: 'Short campaign (days to 2 weeks)' → Multi-year + detail. AG: → 'Visual survey'. O: 'Low — ~$140 yr 1 … (field ID kit $80 [est]) + $60/yr (sponge collector 12 × $5 [est])' → Medium ~$5.1K: lab-fee waiver reversed after full read — the animals are &lt;5 mm amphipods, copepods and caprellids identified under a microscope, not field-identifiable (same basis as tano, Peter 2026-10-13); restores the pre-waiver value. Rule 15 basis unchanged (SW H&amp;B 1.1.1: 2 strata × 2 visits × 3 = 12). W stays 3. AK written; AL High.  |  [2026-10-16 monitoring-methods pass] AT (Monitoring Methods) set from the protocol's method summary (AK): Epifauna on crop / rope.</t>
        </is>
      </c>
      <c r="AT6" s="20" t="inlineStr">
        <is>
          <t>Epifauna on crop / rope</t>
        </is>
      </c>
    </row>
    <row r="7" ht="240" customHeight="1">
      <c r="A7" s="20" t="inlineStr">
        <is>
          <t>Schutt, E., et al.</t>
        </is>
      </c>
      <c r="B7" s="20" t="inlineStr">
        <is>
          <t>Supporting ecosystem services of habitat and biodiversity in temperate seaweed (Saccharina spp.) farms</t>
        </is>
      </c>
      <c r="C7" s="20" t="inlineStr">
        <is>
          <t>Marine Environmental Research</t>
        </is>
      </c>
      <c r="D7" s="20" t="n">
        <v>191</v>
      </c>
      <c r="E7" s="20" t="n"/>
      <c r="F7" s="20" t="n">
        <v>106162</v>
      </c>
      <c r="G7" s="20" t="n">
        <v>2023</v>
      </c>
      <c r="H7" s="20" t="inlineStr">
        <is>
          <t>Elsevier</t>
        </is>
      </c>
      <c r="I7" s="20" t="inlineStr">
        <is>
          <t>Maps to H&amp;B 1.2.1 — Mobile fauna. GoPro time-lapse cameras (0.5 s interval, ~2 h, mid-morning, monthly): one on a farm spacer buoy at grow-line depth and one lowered to the seabed in the farm area, plus a benthic camera at a non-farm area ~100 m away; fish, crabs, lobsters and seals counted by species per deployment. Match: Exact.</t>
        </is>
      </c>
      <c r="J7" s="20" t="inlineStr">
        <is>
          <t>Protocol (empirical, fully specified)</t>
        </is>
      </c>
      <c r="K7" s="20" t="inlineStr">
        <is>
          <t>Confirmed standalone (full read). 160 deployments (338 h) Nov 2020–Aug 2022, richness and Shannon per deployment, nested ANOVA and PERMANOVA/negative binomial — robust for H&amp;B 1.2.1 (Exact). Surface cameras picked up juvenile lumpfish in the kelp that benthic cameras missed.</t>
        </is>
      </c>
      <c r="L7" s="20" t="inlineStr">
        <is>
          <t>Yes — deploying action cameras on a buoy and a weighted frame and counting animals from the footage needs no lab.</t>
        </is>
      </c>
      <c r="M7" s="20" t="inlineStr">
        <is>
          <t>Yes — the full pipeline including eDNA, primer choice (MiFish, 18S), bioinformatics, and statistical design (nested ANOVA, PERMANOVA, NMDS) is described in detail.</t>
        </is>
      </c>
      <c r="N7" s="20" t="inlineStr">
        <is>
          <t>Action cameras (GoPro Hero 6 / Fusion 360) in dive housings, time-lapse 0.5 s; attachment to a farm spacer buoy (surface) and a weighted frame on a line (benthic); viewing software; fish and crustacean ID guide.</t>
        </is>
      </c>
      <c r="O7" s="20" t="inlineStr">
        <is>
          <t>Low — ~$580 yr 1: $580 start-up (action camera + dive housing $430 [list]; BRUV frame $100 [est]; rope + float $50 [est]) + no recurring cost</t>
        </is>
      </c>
      <c r="P7" s="20" t="inlineStr">
        <is>
          <t>Multi-year monitoring (&gt; 1 year) — monthly ~2 h camera drops, Nov 2020–Aug 2022</t>
        </is>
      </c>
      <c r="Q7" s="20" t="inlineStr">
        <is>
          <t>Species richness and Shannon diversity per deployment (nested ANOVA; t-test for surface vs benthic cameras); PERMANOVA on 1 − Sørensen and negative binomial models on abundance (R).</t>
        </is>
      </c>
      <c r="R7" s="20" t="inlineStr">
        <is>
          <t>Mixed — journal version paywalled at Elsevier; a freely available author/TNC-hosted PDF exists.</t>
        </is>
      </c>
      <c r="S7" s="21" t="inlineStr">
        <is>
          <t>Full PDF</t>
        </is>
      </c>
      <c r="T7" s="20" t="inlineStr">
        <is>
          <t>Paywall: https://www.sciencedirect.com/science/article/abs/pii/S0141113623002908 ; Free PDF: https://www.aquaculturescience.org/content/dam/tnc/nature/en/documents/aquaculture/SeaweedHabitatEcosystemServices.pdf</t>
        </is>
      </c>
      <c r="U7" s="20" t="inlineStr">
        <is>
          <t>A useful counter-example: these farms did NOT enhance biodiversity, so results are archetype-dependent. The scrubber-sponge collector design is very practical.</t>
        </is>
      </c>
      <c r="V7" s="20" t="inlineStr">
        <is>
          <t>Original list</t>
        </is>
      </c>
      <c r="W7" s="10" t="inlineStr">
        <is>
          <t>4 — Practitioner</t>
        </is>
      </c>
      <c r="X7" s="20" t="inlineStr">
        <is>
          <t>Seaweed</t>
        </is>
      </c>
      <c r="Y7" s="20" t="inlineStr">
        <is>
          <t>Habitat &amp; Biodiversity</t>
        </is>
      </c>
      <c r="Z7" s="20" t="inlineStr">
        <is>
          <t>H&amp;B 1.2.1 — Mobile fauna</t>
        </is>
      </c>
      <c r="AA7" s="20" t="inlineStr">
        <is>
          <t>Temperate Atlantic</t>
        </is>
      </c>
      <c r="AB7" s="20" t="inlineStr">
        <is>
          <t>Saccharina (sugar kelp)</t>
        </is>
      </c>
      <c r="AC7" s="20" t="inlineStr">
        <is>
          <t>Longline (surface)</t>
        </is>
      </c>
      <c r="AD7" s="20" t="inlineStr">
        <is>
          <t>Medium (1–20 ha)</t>
        </is>
      </c>
      <c r="AE7" s="20" t="inlineStr">
        <is>
          <t>Clear (visual methods feasible)</t>
        </is>
      </c>
      <c r="AF7" s="20" t="inlineStr">
        <is>
          <t>Monoculture</t>
        </is>
      </c>
      <c r="AG7" s="20" t="inlineStr">
        <is>
          <t>BRUVs / video</t>
        </is>
      </c>
      <c r="AH7" s="20" t="inlineStr">
        <is>
          <t>Brown</t>
        </is>
      </c>
      <c r="AI7" s="20" t="inlineStr">
        <is>
          <t>Shallow nearshore (2–10 m)</t>
        </is>
      </c>
      <c r="AJ7" s="20" t="inlineStr">
        <is>
          <t>Not exposure-specific</t>
        </is>
      </c>
      <c r="AK7" s="16" t="inlineStr">
        <is>
          <t>To see which fish and large crustaceans use your seaweed farm, set an action camera on time-lapse (a frame every 0.5–1 s) for about two hours, once fixed to a buoy at grow-line depth and once on a weighted frame lowered to the seabed, at [3] spots within the farm and [3] at its edge, once in each season the crop is in the water. Deploy at a similar time of day and tide each visit. Watch the footage and record every animal by species, using the number of species and individuals per deployment as your measure. Compare farm and edge, and surface with seabed cameras: animals sheltering in the kelp (such as juvenile lumpfish) show up only on the surface camera.</t>
        </is>
      </c>
      <c r="AL7" s="17" t="inlineStr">
        <is>
          <t>High</t>
        </is>
      </c>
      <c r="AM7" s="18" t="inlineStr">
        <is>
          <t>schutt_2023_hb121</t>
        </is>
      </c>
      <c r="AN7" s="19" t="n"/>
      <c r="AO7" s="19" t="n"/>
      <c r="AP7" s="19" t="n"/>
      <c r="AQ7" s="16" t="inlineStr">
        <is>
          <t>Mobile-fauna monitoring — Seaweed</t>
        </is>
      </c>
      <c r="AR7" s="16" t="inlineStr">
        <is>
          <t xml:space="preserve">Schutt, Emilly; Francolini, Rene; Price, Nichole; Olson, Zachary; Byron, Carrie J; </t>
        </is>
      </c>
      <c r="AS7" s="16" t="inlineStr">
        <is>
          <t>Cited in MEL Table 1 (p. 16). Useful temperate counter-example — farms in this study did NOT enhance biodiversity, highlighting Archetype-dependence. Kitchen-scrubber-sponge collector design is exceptionally practical for farmers.  |  Migration (one-indicator-per-row, 2026-09-04): split from schutt_2023 -&gt; {schutt_2023_hb111, schutt_2023_hb121, schutt_2023_hb211}. This row = schutt_2023_hb121 (H&amp;B 1.2.1 — Mobile fauna). Candidate: AK/N/Q blanked and I/K/W/O/P provisional; per-indicator method text, tier/cost/effort and match adjudication to be finalised at generation. Combined parent I/AK/N/Q retained in v37 (pre-split).  |  [2026-10-09 Rule 15 cost re-rate, batch 2] Framework basis: SW H&amp;B 1.2.1: within farm + edge; once per season (2 visits); 2 locations × 2 visits × 3 replicates = 12. Unbaited time-lapse video, BRUV frame used as the camera mount; eDNA treated as supplementary (presence only) and excluded; gear inferred from method note. Prior O: 'Low — &lt;$1K for full kit ($300–700 per BRUV unit; sponges &lt;$50)'.  |  [2026-10-13 method-summary pass] I, K: candidate-split text replaced after full read (prior: 'Maps to … Candidate split…' / 'Standalone-candidate…'). S: blank → 'Full PDF'. L: 'Partial — GoPro…; eDNA… is not' → Yes. W: '3 — Partnership' → '4 — Practitioner' (Rule 14 both ways: video counts, no lab step). N, Q: blank → filled. P: → Multi-year + detail. AG: → 'BRUVs / video'. O unchanged (camera route). AK written; AL High.  |  [2026-10-16 monitoring-methods pass] AT (Monitoring Methods) set from the protocol's method summary (AK): Time-lapse / GoPro cameras.</t>
        </is>
      </c>
      <c r="AT7" s="20" t="inlineStr">
        <is>
          <t>Time-lapse / GoPro cameras</t>
        </is>
      </c>
    </row>
    <row r="8" ht="240" customHeight="1">
      <c r="A8" s="20" t="inlineStr">
        <is>
          <t>Schutt, E., et al.</t>
        </is>
      </c>
      <c r="B8" s="20" t="inlineStr">
        <is>
          <t>Supporting ecosystem services of habitat and biodiversity in temperate seaweed (Saccharina spp.) farms</t>
        </is>
      </c>
      <c r="C8" s="20" t="inlineStr">
        <is>
          <t>Marine Environmental Research</t>
        </is>
      </c>
      <c r="D8" s="20" t="n">
        <v>191</v>
      </c>
      <c r="E8" s="20" t="n"/>
      <c r="F8" s="20" t="n">
        <v>106162</v>
      </c>
      <c r="G8" s="20" t="n">
        <v>2023</v>
      </c>
      <c r="H8" s="20" t="inlineStr">
        <is>
          <t>Elsevier</t>
        </is>
      </c>
      <c r="I8" s="20" t="inlineStr">
        <is>
          <t>Maps to H&amp;B 2.1.1 — Community composition. Paired farm (≤5 m from the outer grow line) and non-farm (~100 m, same depth ±1.5 m and substrate) areas at four sites, sampled with benthic cameras and sponge collectors through growing and fallow seasons; eDNA (12S, 18S) as a check. Match: Partial — one non-farm reference per site; fish, large crustaceans and small pelagic invertebrates only.</t>
        </is>
      </c>
      <c r="J8" s="20" t="inlineStr">
        <is>
          <t>Protocol (empirical, fully specified)</t>
        </is>
      </c>
      <c r="K8" s="20" t="inlineStr">
        <is>
          <t>Confirmed standalone (full read). Farm vs non-farm alpha and beta diversity across 2 bays × 4 sites × 2 seasons (nested ANOVA, PERMANOVA, negative binomial) — robust for H&amp;B 2.1.1 (Partial). No farm effect detected; season dominated.</t>
        </is>
      </c>
      <c r="L8" s="20" t="inlineStr">
        <is>
          <t>Partial — cameras and collector deployment are farmer-doable; identifying the small invertebrates from the collectors needs a partner lab; eDNA is out of scope.</t>
        </is>
      </c>
      <c r="M8" s="20" t="inlineStr">
        <is>
          <t>Yes — the full pipeline including eDNA, primer choice (MiFish, 18S), bioinformatics, and statistical design (nested ANOVA, PERMANOVA, NMDS) is described in detail.</t>
        </is>
      </c>
      <c r="N8" s="20" t="inlineStr">
        <is>
          <t>Action cameras on weighted frames (benthic) and farm buoys (surface); sponge collectors (three 8 cm scrubber sponges in a mesh bag) on buoy–rope–anchor lines at 2 m; freezer; partner-lab microscope ID.</t>
        </is>
      </c>
      <c r="O8" s="20" t="inlineStr">
        <is>
          <t>Medium — ~$5.9K yr 1: $780 start-up (action camera + dive housing $430 [list]; BRUV frame $100 [est]; rope + float $50 [est]; mooring ×2 $200 [est]) + $5.13K/yr (epibiota ID 12 × $414 [est]; sponge collector 12 × $5 [est]; bags + preservative $100 [est])</t>
        </is>
      </c>
      <c r="P8" s="20" t="inlineStr">
        <is>
          <t>Multi-year monitoring (&gt; 1 year) — monthly camera drops and four ~4-week collector soaks per year, Nov 2020–Aug 2022</t>
        </is>
      </c>
      <c r="Q8" s="20" t="inlineStr">
        <is>
          <t>Alpha diversity (richness, Shannon) by nested ANOVA with area nested in site in bay; beta diversity by PERMANOVA (1 − Sørensen) and negative binomial models; eDNA nMDS as corroboration (R).</t>
        </is>
      </c>
      <c r="R8" s="20" t="inlineStr">
        <is>
          <t>Mixed — journal version paywalled at Elsevier; a freely available author/TNC-hosted PDF exists.</t>
        </is>
      </c>
      <c r="S8" s="21" t="inlineStr">
        <is>
          <t>Full PDF</t>
        </is>
      </c>
      <c r="T8" s="20" t="inlineStr">
        <is>
          <t>Paywall: https://www.sciencedirect.com/science/article/abs/pii/S0141113623002908 ; Free PDF: https://www.aquaculturescience.org/content/dam/tnc/nature/en/documents/aquaculture/SeaweedHabitatEcosystemServices.pdf</t>
        </is>
      </c>
      <c r="U8" s="20" t="inlineStr">
        <is>
          <t>A useful counter-example: these farms did NOT enhance biodiversity, so results are archetype-dependent. The scrubber-sponge collector design is very practical.</t>
        </is>
      </c>
      <c r="V8" s="20" t="inlineStr">
        <is>
          <t>Original list</t>
        </is>
      </c>
      <c r="W8" s="9" t="inlineStr">
        <is>
          <t>3 — Partnership</t>
        </is>
      </c>
      <c r="X8" s="20" t="inlineStr">
        <is>
          <t>Seaweed</t>
        </is>
      </c>
      <c r="Y8" s="20" t="inlineStr">
        <is>
          <t>Habitat &amp; Biodiversity</t>
        </is>
      </c>
      <c r="Z8" s="20" t="inlineStr">
        <is>
          <t>H&amp;B 2.1.1 — Community composition</t>
        </is>
      </c>
      <c r="AA8" s="20" t="inlineStr">
        <is>
          <t>Temperate Atlantic</t>
        </is>
      </c>
      <c r="AB8" s="20" t="inlineStr">
        <is>
          <t>Saccharina (sugar kelp)</t>
        </is>
      </c>
      <c r="AC8" s="20" t="inlineStr">
        <is>
          <t>Longline (surface)</t>
        </is>
      </c>
      <c r="AD8" s="20" t="inlineStr">
        <is>
          <t>Medium (1–20 ha)</t>
        </is>
      </c>
      <c r="AE8" s="20" t="inlineStr">
        <is>
          <t>Clear (visual methods feasible)</t>
        </is>
      </c>
      <c r="AF8" s="20" t="inlineStr">
        <is>
          <t>Monoculture</t>
        </is>
      </c>
      <c r="AG8" s="20" t="inlineStr">
        <is>
          <t>BRUVs / video, Visual survey</t>
        </is>
      </c>
      <c r="AH8" s="20" t="inlineStr">
        <is>
          <t>Brown</t>
        </is>
      </c>
      <c r="AI8" s="20" t="inlineStr">
        <is>
          <t>Shallow nearshore (2–10 m)</t>
        </is>
      </c>
      <c r="AJ8" s="20" t="inlineStr">
        <is>
          <t>Not exposure-specific</t>
        </is>
      </c>
      <c r="AK8" s="16" t="inlineStr">
        <is>
          <t>To test whether your seaweed farm changes the local animal community, compare the farm (within and at its edge) with [2] unfarmed reference areas of the same depth and seabed type about 100 m or more away, using the same gear at every location on the same days. At each location run [3] two-hour time-lapse camera drops on the seabed and hang [3] sponge collectors at grow-line depth for about four weeks, sending the collectors to a partner lab for identification. Do this at least once a year while the crop is in the water, and ideally once after harvest too. Compare species richness, diversity and the mix of species between farm and references (e.g. PERMANOVA); seasonal swings and differences between sites can outweigh the farm, so keep sites, timing and gear consistent.</t>
        </is>
      </c>
      <c r="AL8" s="17" t="inlineStr">
        <is>
          <t>High</t>
        </is>
      </c>
      <c r="AM8" s="18" t="inlineStr">
        <is>
          <t>schutt_2023_hb211</t>
        </is>
      </c>
      <c r="AN8" s="19" t="n"/>
      <c r="AO8" s="19" t="n"/>
      <c r="AP8" s="19" t="n"/>
      <c r="AQ8" s="16" t="inlineStr">
        <is>
          <t>Community-composition survey — Seaweed</t>
        </is>
      </c>
      <c r="AR8" s="16" t="inlineStr">
        <is>
          <t xml:space="preserve">Schutt, Emilly; Francolini, Rene; Price, Nichole; Olson, Zachary; Byron, Carrie J; </t>
        </is>
      </c>
      <c r="AS8" s="16" t="inlineStr">
        <is>
          <t>Cited in MEL Table 1 (p. 16). Useful temperate counter-example — farms in this study did NOT enhance biodiversity, highlighting Archetype-dependence. Kitchen-scrubber-sponge collector design is exceptionally practical for farmers.  |  Migration (one-indicator-per-row, 2026-09-04): split from schutt_2023 -&gt; {schutt_2023_hb111, schutt_2023_hb121, schutt_2023_hb211}. This row = schutt_2023_hb211 (H&amp;B 2.1.1 — Community composition). Candidate: AK/N/Q blanked and I/K/W/O/P provisional; per-indicator method text, tier/cost/effort and match adjudication to be finalised at generation. Combined parent I/AK/N/Q retained in v37 (pre-split).  |  [2026-10-09 Rule 15 cost re-rate, batch 2] Framework basis: SW H&amp;B 2.1.1: 2 farm strata + 2 offsite refs; annual (1 visit); 4 locations × 1 visits × 3 replicates = 12. Sponge collectors + time-lapse video, one camera kit carried between sites; collectors moored at the 2 reference sites; partner-lab ID (fee is a proxy estimate); eDNA excluded as supplementary; gear inferred from method note. Prior O: 'Low — &lt;$1K for full kit ($300–700 per BRUV unit; sponges &lt;$50)'.  |  [2026-10-13 Rule 15 lab-fee waiver] ID moved to the field with a guide (Peter, 2026-10-13: species counts and field-identifiable taxa carry no lab fee); preservative dropped; design unchanged. Prior O: 'Medium — ~$5.9K yr 1: $780 start-up (action camera + dive housing $430 [list]; BRUV frame $100 [est]; rope + float $50 [est]; mooring ×2 $200 [est]) + $5.13K/yr (epibiota ID 12 × $414 [est]; sponge collector 12 × $5 [est]; bags + preservative $100 [est])'.  |  [2026-10-13 method-summary pass] I, K: candidate-split text replaced after full read (prior: 'Maps to … Candidate split…' / 'Standalone-candidate…'). S: blank → 'Full PDF'. L: row-specific. N, Q: blank → filled. P: → Multi-year + detail. O: 'Low — ~$920 yr 1 … (+ field ID kit; no ID fees)' → Medium ~$5.9K: lab-fee waiver reversed (microscope ID of &lt;5 mm invertebrates, as tano; restores the pre-waiver value); Rule 15 basis unchanged (SW H&amp;B 2.1.1: 4 locations × 1 visit × 3 = 12). W stays 3. AK written; AL High.  |  [2026-10-16 monitoring-methods pass] AT (Monitoring Methods) set from the protocol's method summary (AK): Time-lapse / GoPro cameras.</t>
        </is>
      </c>
      <c r="AT8" s="20" t="inlineStr">
        <is>
          <t>Time-lapse / GoPro cameras</t>
        </is>
      </c>
    </row>
    <row r="9" ht="240" customHeight="1">
      <c r="A9" s="3" t="inlineStr">
        <is>
          <t>Powers, M. J., et al.</t>
        </is>
      </c>
      <c r="B9" s="3" t="inlineStr">
        <is>
          <t>Macroalgal growth on bivalve aquaculture netting enhances nursery habitat for mobile invertebrates and juvenile fishes</t>
        </is>
      </c>
      <c r="C9" s="3" t="inlineStr">
        <is>
          <t>Marine Ecology Progress Series</t>
        </is>
      </c>
      <c r="D9" s="3" t="n">
        <v>339</v>
      </c>
      <c r="E9" s="3" t="n"/>
      <c r="F9" s="3" t="inlineStr">
        <is>
          <t>109-122</t>
        </is>
      </c>
      <c r="G9" s="3" t="n">
        <v>2007</v>
      </c>
      <c r="H9" s="3" t="n"/>
      <c r="I9" s="3" t="inlineStr">
        <is>
          <t>Maps to H&amp;B 1.1.1 — Epibiota. Fixed-area (10 × 10 cm) suction samples of the macroalgae and attached epifauna growing on clam-culture bottom mesh, dried and weighed each season. Match: Partial — aggregate epibiota biomass (habitat structure) only; no counts or diversity.</t>
        </is>
      </c>
      <c r="J9" s="3" t="inlineStr">
        <is>
          <t>Protocol (empirical, fully specified) — transferable to seaweed farms as a habitat-comparison field design.</t>
        </is>
      </c>
      <c r="K9" s="3" t="inlineStr">
        <is>
          <t>Confirmed standalone (full read). Seasonal epibiota biomass (g dry wt m⁻²) from 3 quadrats in each of 3 plots per habitat, compared with seagrass and sandflat — robust for the abundance (biomass) part of H&amp;B 1.1.1 (Partial: macroalgae &gt;85% of the biomass; taxa listed qualitatively, not quantified).</t>
        </is>
      </c>
      <c r="L9" s="3" t="inlineStr">
        <is>
          <t>Partial — fixed-area sampling of gear growth is farmer-doable in shallow water; drying to constant mass and weighing needs an oven and balance (partner lab).</t>
        </is>
      </c>
      <c r="M9" s="3" t="inlineStr">
        <is>
          <t>Yes — full habitat-comparison design specified (lease vs seagrass vs sandflat; no before data).</t>
        </is>
      </c>
      <c r="N9" s="3" t="inlineStr">
        <is>
          <t>10 × 10 cm quadrat with a buoyant 1 mm mesh enclosure; Venturi suction pump with 5 cm intake hose (hand-scraping into a 1 mm mesh bag is the simpler alternative); 1 mm mesh bags; 10% formalin or freezing; drying oven (80 °C) and balance.</t>
        </is>
      </c>
      <c r="O9" s="3" t="inlineStr">
        <is>
          <t>Low — ~$490 yr 1: $30 start-up (quadrat $30 [est]) + $460/yr (24 × dry mass $15 [est]; bags + preservative $100 [est])</t>
        </is>
      </c>
      <c r="P9" s="3" t="inlineStr">
        <is>
          <t>Multi-season (3–9 months) — one epibiota sample per season, Oct 1997–Jun 1998</t>
        </is>
      </c>
      <c r="Q9" s="3" t="inlineStr">
        <is>
          <t>Two-way factorial ANOVA (season × habitat) on ln(x+1) dry biomass, Cochran's C test, SNK post hoc contrasts (StatView).</t>
        </is>
      </c>
      <c r="R9" s="3" t="inlineStr">
        <is>
          <t>Yes — Open Access (PDF available at Inter-Research)</t>
        </is>
      </c>
      <c r="S9" t="inlineStr">
        <is>
          <t>Full PDF</t>
        </is>
      </c>
      <c r="T9" s="3" t="inlineStr">
        <is>
          <t>https://www.int-res.com/articles/meps2007/339/m339p109.pdf</t>
        </is>
      </c>
      <c r="U9" s="3" t="inlineStr">
        <is>
          <t>From a bivalve-netting study, but the paired farm/seagrass/bare-sediment design transfers directly to seaweed.</t>
        </is>
      </c>
      <c r="V9" s="3" t="inlineStr">
        <is>
          <t>Original list</t>
        </is>
      </c>
      <c r="W9" s="9" t="inlineStr">
        <is>
          <t>3 — Partnership</t>
        </is>
      </c>
      <c r="X9" s="3" t="inlineStr">
        <is>
          <t>Mollusk, Seaweed</t>
        </is>
      </c>
      <c r="Y9" s="3" t="inlineStr">
        <is>
          <t>Habitat &amp; Biodiversity</t>
        </is>
      </c>
      <c r="Z9" s="3" t="inlineStr">
        <is>
          <t>H&amp;B 1.1.1 — Epibiota</t>
        </is>
      </c>
      <c r="AA9" s="3" t="inlineStr">
        <is>
          <t>Temperate Atlantic</t>
        </is>
      </c>
      <c r="AB9" s="3" t="inlineStr">
        <is>
          <t>Not species-specific</t>
        </is>
      </c>
      <c r="AC9" s="3" t="inlineStr">
        <is>
          <t>Bottom culture</t>
        </is>
      </c>
      <c r="AD9" s="3" t="inlineStr">
        <is>
          <t>Medium (1–20 ha)</t>
        </is>
      </c>
      <c r="AE9" s="3" t="inlineStr">
        <is>
          <t>Clear (visual methods feasible)</t>
        </is>
      </c>
      <c r="AF9" s="3" t="inlineStr">
        <is>
          <t>Not specific</t>
        </is>
      </c>
      <c r="AG9" s="3" t="inlineStr">
        <is>
          <t>Visual survey</t>
        </is>
      </c>
      <c r="AH9" s="3" t="inlineStr">
        <is>
          <t>Not algae-specific</t>
        </is>
      </c>
      <c r="AI9" s="3" t="inlineStr">
        <is>
          <t>Intertidal / very shallow (&lt; 2 m)</t>
        </is>
      </c>
      <c r="AJ9" s="3" t="inlineStr">
        <is>
          <t>Sheltered</t>
        </is>
      </c>
      <c r="AK9" s="16" t="inlineStr">
        <is>
          <t>To measure how much attached growth (seaweed and fouling animals) your gear provides as habitat, once per season fix a small frame (about 10 × 10 cm) on the gear surface — e.g. the protective mesh over clam beds — and remove everything growing inside it into a 1 mm mesh bag; a suction sampler under a mesh enclosure avoids losing fragments. Take [3] frames in each of [3] randomly chosen plots within the farm and at its edge. Rinse off sand and shell, dry the material to constant weight (about 80 °C for 24 h) and weigh it, reporting grams dry weight per square metre. This measures the amount of habitat structure, not which species are present, so note the dominant seaweeds and animals — or add species identification — if diversity matters.</t>
        </is>
      </c>
      <c r="AL9" s="17" t="inlineStr">
        <is>
          <t>High</t>
        </is>
      </c>
      <c r="AM9" s="18" t="inlineStr">
        <is>
          <t>powers_2007_hb111</t>
        </is>
      </c>
      <c r="AN9" s="19" t="n"/>
      <c r="AO9" s="19" t="n"/>
      <c r="AP9" s="19" t="n"/>
      <c r="AQ9" s="16" t="inlineStr">
        <is>
          <t>Epibiota / fouling survey — Mollusk, Seaweed</t>
        </is>
      </c>
      <c r="AR9" s="16" t="inlineStr">
        <is>
          <t xml:space="preserve">Powers, Monica J; Peterson, Charles H; Summerson, Henry C; Powers, Sean P; </t>
        </is>
      </c>
      <c r="AS9" s="16" t="inlineStr">
        <is>
          <t>Bivalve aquaculture study, not seaweed — but the methods (paired farm/seagrass/sandflat comparisons) are directly applicable to seaweed Archetype 3 sampling per MEL Figure 3.  |  Migration (one-indicator-per-row, 2026-09-04): split from powers_2007 -&gt; {powers_2007_hb111, powers_2007_hb121}. This row = powers_2007_hb111 (H&amp;B 1.1.1 — Epibiota). Candidate: AK/N/Q blanked and I/K/W/O/P provisional; per-indicator method text, tier/cost/effort and match adjudication to be finalised at generation. Combined parent I/AK/N/Q retained in v37 (pre-split).  |  [2026-10-13 method-summary pass] S: 'Abstract + DOI metadata' → 'Full PDF' (public copy via CRMC). I, K: candidate-split text replaced after full read (prior: 'Maps to H&amp;B 1.1.1 — Epibiota. Candidate split…' / 'Standalone-candidate…'). L: 'Partial — visual diver/snorkel surveys and basic invertebrate/fish counts…' → method is fixed-area sampling + dry mass. M: 'Yes — full BACI-style sampling design described.' → no before data, so not BACI. N, Q: blank → filled. P: 'Year-long study (12 months)' → Multi-season (epibiota sampled in 4 seasons over ~9 months). O: 'Low–Medium — quadrats and gear &lt;$500; boat/SCUBA adds $500–$5K' → Low; Rule 15 basis: Mol H&amp;B 1.1.1 amongst farmed biomass, within + edge; seasonal, stock in year-round = 4 visits; 2 locations × 4 visits × 3 samples (source n: 3 plots, 3 pooled quadrats each) = 24 dry-mass samples; hand-scraping route (a suction sampler would add ~$500 [est] and stay Low–Medium). New Cost_Reference item lab_dry_mass $15 [est]. AK written; AL High (unchanged).  |  [2026-10-13 Partial review] Partial match reviewed and kept (Peter 2026-10-13).  |  [2026-10-16 monitoring-methods pass] AT (Monitoring Methods) set from the protocol's method summary (AK): Bivalve condition index / growth.</t>
        </is>
      </c>
      <c r="AT9" s="20" t="inlineStr">
        <is>
          <t>Bivalve condition index / growth</t>
        </is>
      </c>
    </row>
    <row r="10" ht="240" customHeight="1">
      <c r="A10" s="20" t="inlineStr">
        <is>
          <t>Powers, M. J., et al.</t>
        </is>
      </c>
      <c r="B10" s="20" t="inlineStr">
        <is>
          <t>Macroalgal growth on bivalve aquaculture netting enhances nursery habitat for mobile invertebrates and juvenile fishes</t>
        </is>
      </c>
      <c r="C10" s="20" t="inlineStr">
        <is>
          <t>Marine Ecology Progress Series</t>
        </is>
      </c>
      <c r="D10" s="20" t="n">
        <v>339</v>
      </c>
      <c r="E10" s="20" t="n"/>
      <c r="F10" s="20" t="inlineStr">
        <is>
          <t>109-122</t>
        </is>
      </c>
      <c r="G10" s="20" t="n">
        <v>2007</v>
      </c>
      <c r="H10" s="20" t="n"/>
      <c r="I10" s="20" t="inlineStr">
        <is>
          <t>Maps to H&amp;B 1.2.1 — Mobile fauna. Day and night seine hauls (4 m wide, 3 mm mesh, 9 m long) count and identify juvenile fishes and mobile invertebrates on clam leases vs seagrass and sandflat. Match: Exact — samples mobile-fauna density and composition at the farm.</t>
        </is>
      </c>
      <c r="J10" s="20" t="inlineStr">
        <is>
          <t>Protocol (empirical, fully specified) — transferable to seaweed farms as a habitat-comparison field design.</t>
        </is>
      </c>
      <c r="K10" s="20" t="inlineStr">
        <is>
          <t>Confirmed standalone (full read). Six replicate 9 m seine hauls per habitat, day and night, on 11 dates over 20 months (520 hauls); fish and decapods identified to species — robust for H&amp;B 1.2.1 (Exact). Seining suits bottom culture in very shallow water; it can't be pulled through suspended or floating gear.</t>
        </is>
      </c>
      <c r="L10" s="20" t="inlineStr">
        <is>
          <t>Partial — seining and counting are farmer-doable; the source preserved catches for later identification of juvenile fish and shrimps, which may need a trained identifier.</t>
        </is>
      </c>
      <c r="M10" s="20" t="inlineStr">
        <is>
          <t>Yes — full habitat-comparison design specified (lease vs seagrass vs sandflat; no before data).</t>
        </is>
      </c>
      <c r="N10" s="20" t="inlineStr">
        <is>
          <t>Beach seine (4 m wide × 1.2 m tall, 3 mm delta mesh, 1.2 × 1.2 m centre bag); PVC marker posts; buckets; 10% formalin or ethanol and jars; regional fish and decapod ID guides.</t>
        </is>
      </c>
      <c r="O10" s="20" t="inlineStr">
        <is>
          <t>Low — ~$490 yr 1: $440 start-up (beach seine $300 [est]; field ID kit $80 [est]; fish ID guide $30 [est]; buckets $30 [est]) + $50/yr (ethanol + jars $50 [est])</t>
        </is>
      </c>
      <c r="P10" s="20" t="inlineStr">
        <is>
          <t>Multi-year monitoring (&gt; 1 year) — 11 seine dates, Aug 1997–Apr 1999</t>
        </is>
      </c>
      <c r="Q10" s="20" t="inlineStr">
        <is>
          <t>Three- and two-way factorial ANOVAs (date × habitat × day/night) on densities of 10 taxonomic/functional groups, Cochran's C, SNK post hoc contrasts; nMDS on Bray-Curtis (PRIMER 5).</t>
        </is>
      </c>
      <c r="R10" s="20" t="inlineStr">
        <is>
          <t>Yes — Open Access (PDF available at Inter-Research)</t>
        </is>
      </c>
      <c r="S10" s="21" t="inlineStr">
        <is>
          <t>Full PDF</t>
        </is>
      </c>
      <c r="T10" s="20" t="inlineStr">
        <is>
          <t>https://www.int-res.com/articles/meps2007/339/m339p109.pdf</t>
        </is>
      </c>
      <c r="U10" s="20" t="inlineStr">
        <is>
          <t>From a bivalve-netting study, but the paired farm/seagrass/bare-sediment design transfers directly to seaweed.</t>
        </is>
      </c>
      <c r="V10" s="20" t="inlineStr">
        <is>
          <t>Original list</t>
        </is>
      </c>
      <c r="W10" s="9" t="inlineStr">
        <is>
          <t>3 — Partnership</t>
        </is>
      </c>
      <c r="X10" s="20" t="inlineStr">
        <is>
          <t>Mollusk, Seaweed</t>
        </is>
      </c>
      <c r="Y10" s="20" t="inlineStr">
        <is>
          <t>Habitat &amp; Biodiversity</t>
        </is>
      </c>
      <c r="Z10" s="20" t="inlineStr">
        <is>
          <t>H&amp;B 1.2.1 — Mobile fauna</t>
        </is>
      </c>
      <c r="AA10" s="20" t="inlineStr">
        <is>
          <t>Temperate Atlantic</t>
        </is>
      </c>
      <c r="AB10" s="20" t="inlineStr">
        <is>
          <t>Not species-specific</t>
        </is>
      </c>
      <c r="AC10" s="20" t="inlineStr">
        <is>
          <t>Bottom culture</t>
        </is>
      </c>
      <c r="AD10" s="20" t="inlineStr">
        <is>
          <t>Medium (1–20 ha)</t>
        </is>
      </c>
      <c r="AE10" s="20" t="inlineStr">
        <is>
          <t>Clear (visual methods feasible)</t>
        </is>
      </c>
      <c r="AF10" s="20" t="inlineStr">
        <is>
          <t>Not specific</t>
        </is>
      </c>
      <c r="AG10" s="20" t="inlineStr">
        <is>
          <t>Visual survey</t>
        </is>
      </c>
      <c r="AH10" s="20" t="inlineStr">
        <is>
          <t>Not algae-specific</t>
        </is>
      </c>
      <c r="AI10" s="20" t="inlineStr">
        <is>
          <t>Intertidal / very shallow (&lt; 2 m)</t>
        </is>
      </c>
      <c r="AJ10" s="20" t="inlineStr">
        <is>
          <t>Sheltered</t>
        </is>
      </c>
      <c r="AK10" s="16" t="inlineStr">
        <is>
          <t>To measure the juvenile fish, shrimp and crabs using your farm, pull a small fine-mesh seine (about 4 m wide, 3 mm mesh, with a centre bag) for a fixed distance (e.g. 9 m) at [6] randomly placed spots within the farm and at its edge on a rising tide, closing the wings into a circle at the end of each haul so nothing escapes. Identify and count every fish and decapod to species (juveniles to genus) with a regional guide, preserving any you can't name for later checking. Repeat once per season; night hauls catch more animals and suffer less net avoidance, so sample both day and night if you can. Seining works over bottom gear in very shallow water (here 0.2–1.5 m) but not among floating or suspended gear, and counts are densities per haul area, comparable only between hauls of the same size.</t>
        </is>
      </c>
      <c r="AL10" s="17" t="inlineStr">
        <is>
          <t>High</t>
        </is>
      </c>
      <c r="AM10" s="18" t="inlineStr">
        <is>
          <t>powers_2007_hb121</t>
        </is>
      </c>
      <c r="AN10" s="19" t="n"/>
      <c r="AO10" s="19" t="n"/>
      <c r="AP10" s="19" t="n"/>
      <c r="AQ10" s="16" t="inlineStr">
        <is>
          <t>Mobile-fauna monitoring — Mollusk, Seaweed</t>
        </is>
      </c>
      <c r="AR10" s="16" t="inlineStr">
        <is>
          <t xml:space="preserve">Powers, Monica J; Peterson, Charles H; Summerson, Henry C; Powers, Sean P; </t>
        </is>
      </c>
      <c r="AS10" s="16" t="inlineStr">
        <is>
          <t>Bivalve aquaculture study, not seaweed — but the methods (paired farm/seagrass/sandflat comparisons) are directly applicable to seaweed Archetype 3 sampling per MEL Figure 3.  |  Migration (one-indicator-per-row, 2026-09-04): split from powers_2007 -&gt; {powers_2007_hb111, powers_2007_hb121}. This row = powers_2007_hb121 (H&amp;B 1.2.1 — Mobile fauna). Candidate: AK/N/Q blanked and I/K/W/O/P provisional; per-indicator method text, tier/cost/effort and match adjudication to be finalised at generation. Combined parent I/AK/N/Q retained in v37 (pre-split).  |  [2026-10-13 method-summary pass] S: 'Abstract + DOI metadata' → 'Full PDF' (public copy via CRMC). I, K: candidate-split text replaced after full read (prior: 'Maps to H&amp;B 1.2.1 — Mobile fauna. Candidate split…' / 'Standalone-candidate…'). L: 'Partial — visual diver/snorkel surveys…' → method is seining. M: 'Yes — full BACI-style sampling design described.' → no before data. N, Q: blank → filled. P: 'Year-long study (12 months)' → Multi-year (Aug 1997–Apr 1999). O: 'Low–Medium — quadrats and gear &lt;$500; boat/SCUBA adds $500–$5K' → Low; Rule 15 basis: Mol H&amp;B 1.2.1 within + edge; seasonal = 4 visits; 2 locations × 4 visits × 6 hauls (source n) = 48 hauls; fish and decapods identifiable in the field with a guide (lab-fee waiver), gear only. AK written; AL High (unchanged).  |  [2026-10-16 monitoring-methods pass] AT (Monitoring Methods) set from the protocol's method summary (AK): Nets &amp; baited traps.</t>
        </is>
      </c>
      <c r="AT10" s="20" t="inlineStr">
        <is>
          <t>Nets &amp; baited traps</t>
        </is>
      </c>
    </row>
    <row r="11" ht="240" customHeight="1">
      <c r="A11" s="3" t="inlineStr">
        <is>
          <t>Berger, C., et al.</t>
        </is>
      </c>
      <c r="B11" s="3" t="inlineStr">
        <is>
          <t>Integrating environmental and ecological monitoring with seaweed farming</t>
        </is>
      </c>
      <c r="C11" s="3" t="inlineStr">
        <is>
          <t>bioRxiv</t>
        </is>
      </c>
      <c r="D11" s="3" t="n"/>
      <c r="E11" s="3" t="n"/>
      <c r="F11" s="3" t="inlineStr">
        <is>
          <t>2024.02. 15.580450</t>
        </is>
      </c>
      <c r="G11" s="3" t="n">
        <v>2024</v>
      </c>
      <c r="H11" s="3" t="inlineStr">
        <is>
          <t>Cold Spring Harbor Laboratory</t>
        </is>
      </c>
      <c r="I11" s="3" t="inlineStr">
        <is>
          <t>Maps to H&amp;B 1.1.1 (Epibiota). Visual surveys of cultivation lines and infrastructure quantify sessile colonisers (epibionts) on header/cultivation ropes and on the kelp. Match: Exact — directly surveys epibiota on farm structures.</t>
        </is>
      </c>
      <c r="J11" s="3" t="inlineStr">
        <is>
          <t>Protocol (empirical, fully specified) — explicitly designed around methods "affordable and integrable into existing seaweed farming operations".</t>
        </is>
      </c>
      <c r="K11" s="3" t="inlineStr">
        <is>
          <t>Yes — pull-and-score visual survey of ~0.5 m line sections at replicate points quantifies epibiont cover and identity. Standalone-candidate (T4): survey executes independently with a basic survey kit.</t>
        </is>
      </c>
      <c r="L11" s="3" t="inlineStr">
        <is>
          <t>Yes for BRUVs (action camera + bait cage + dropframe) and infrastructure visual surveys — these are explicitly framed as farmer-integratable. PAM hydrophone deployments need partner support for data analysis.</t>
        </is>
      </c>
      <c r="M11" s="3" t="inlineStr">
        <is>
          <t>Yes — full pipeline including PAR loggers, kelp morphometrics, and BRUV video analysis described.</t>
        </is>
      </c>
      <c r="N11" s="3" t="inlineStr">
        <is>
          <t>Visual-survey kit (line sections, quadrat/scoring sheet); optional action camera</t>
        </is>
      </c>
      <c r="O11" s="3" t="inlineStr">
        <is>
          <t>Low — ~$70 yr 1: $70 start-up (quadrat $30 [est]; slate + datasheets $40 [est]) + no recurring cost</t>
        </is>
      </c>
      <c r="P11" s="3" t="inlineStr">
        <is>
          <t>Seasonal (1–3 months)</t>
        </is>
      </c>
      <c r="Q11" s="3" t="inlineStr">
        <is>
          <t>Epibiont cover / taxon scoring from line-section samples</t>
        </is>
      </c>
      <c r="R11" s="3" t="inlineStr">
        <is>
          <t>Yes — Open Access bioRxiv preprint (CC BY)</t>
        </is>
      </c>
      <c r="T11" s="3" t="inlineStr">
        <is>
          <t>https://www.biorxiv.org/content/10.1101/2024.02.15.580450v1</t>
        </is>
      </c>
      <c r="U11" s="3" t="n"/>
      <c r="V11" s="3" t="inlineStr">
        <is>
          <t>Original list</t>
        </is>
      </c>
      <c r="W11" s="10" t="inlineStr">
        <is>
          <t>4 — Practitioner</t>
        </is>
      </c>
      <c r="X11" s="3" t="inlineStr">
        <is>
          <t>Seaweed</t>
        </is>
      </c>
      <c r="Y11" s="3" t="inlineStr">
        <is>
          <t>Habitat &amp; Biodiversity</t>
        </is>
      </c>
      <c r="Z11" s="3" t="inlineStr">
        <is>
          <t>H&amp;B 1.1.1 — Epibiota</t>
        </is>
      </c>
      <c r="AA11" s="3" t="inlineStr">
        <is>
          <t>Temperate Atlantic</t>
        </is>
      </c>
      <c r="AB11" s="3" t="inlineStr">
        <is>
          <t>Saccharina (sugar kelp)</t>
        </is>
      </c>
      <c r="AC11" s="3" t="inlineStr">
        <is>
          <t>Longline (surface)</t>
        </is>
      </c>
      <c r="AD11" s="3" t="inlineStr">
        <is>
          <t>Medium (1–20 ha)</t>
        </is>
      </c>
      <c r="AE11" s="3" t="inlineStr">
        <is>
          <t>Variable / seasonal</t>
        </is>
      </c>
      <c r="AF11" s="3" t="inlineStr">
        <is>
          <t>Monoculture</t>
        </is>
      </c>
      <c r="AG11" s="3" t="inlineStr">
        <is>
          <t>BRUVs / video, Visual survey, Acoustic</t>
        </is>
      </c>
      <c r="AH11" s="3" t="inlineStr">
        <is>
          <t>Brown</t>
        </is>
      </c>
      <c r="AI11" s="3" t="inlineStr">
        <is>
          <t>Coastal (10–30 m)</t>
        </is>
      </c>
      <c r="AJ11" s="3" t="inlineStr">
        <is>
          <t>Exposed</t>
        </is>
      </c>
      <c r="AK11" s="16" t="inlineStr">
        <is>
          <t>To document the attached life (epibionts) growing on your farm, at two spots along each longline pull a set length of header/cultivation line (e.g. 0.5 m sections) onto the boat, cut the growth off near the line, and on land estimate the cover and identity of the organisms on the rope and on the kelp. Repeat monthly through the growing season; temperature, light, current and pH/salinity can be logged alongside for context.</t>
        </is>
      </c>
      <c r="AL11" s="17" t="inlineStr">
        <is>
          <t>High</t>
        </is>
      </c>
      <c r="AM11" s="18" t="inlineStr">
        <is>
          <t>berger_2024_hb111</t>
        </is>
      </c>
      <c r="AN11" s="19" t="n"/>
      <c r="AO11" s="19" t="n"/>
      <c r="AP11" s="19" t="n"/>
      <c r="AQ11" s="16" t="inlineStr">
        <is>
          <t>Epibiota Survey on Seaweed Cultivation Lines</t>
        </is>
      </c>
      <c r="AR11" s="16" t="inlineStr">
        <is>
          <t xml:space="preserve">Berger, Christian; Papazova, Polina; Marshall, Beth; Evans, Fergus; Williams, Craig; </t>
        </is>
      </c>
      <c r="AS11" s="16" t="inlineStr">
        <is>
          <t>One of the most practitioner-oriented monitoring designs in the seaweed literature. Notably did not use eDNA in this site due to sediment-poor, high-current conditions — useful framing of when eDNA isn't the answer.  |  Migration (one-indicator-per-row, 2026-09-04): split from berger_2024 -&gt; berger_2024_hb111 (H&amp;B 1.1.1, Exact) + berger_2024_hb121 (H&amp;B 1.2.1, Partial) + berger_2024_hb211 (H&amp;B 2.1.1, Partial); all T4 standalone. PAM (marine-mammal acoustic) folded into hb121 as supplementary (Indirect - robustness guard; no standalone row). Methods differ -&gt; per-row cost/effort. Audit: berger_2024 -&gt; {berger_2024_hb111, berger_2024_hb121, berger_2024_hb211}.  |  [2026-10-09 Rule 15 cost re-rate, batch 1] Framework basis: SW H&amp;B 1.1.1: within farm + edge; once per season (2 visits); 2 locations × 2 visits × 3 replicates = 12. Optional camera excluded. Prior O: 'Low — visual-survey kit / action camera (&lt;$200)'.  |  [2026-10-16 monitoring-methods pass] AT (Monitoring Methods) set from the protocol's method summary (AK): Temperature / salinity, pH, Epibiota on lines / structures.</t>
        </is>
      </c>
      <c r="AT11" s="20" t="inlineStr">
        <is>
          <t>Temperature / salinity, pH, Epibiota on lines / structures</t>
        </is>
      </c>
    </row>
    <row r="12" ht="240" customHeight="1">
      <c r="A12" s="20" t="inlineStr">
        <is>
          <t>Berger, C., et al.</t>
        </is>
      </c>
      <c r="B12" s="20" t="inlineStr">
        <is>
          <t>Integrating environmental and ecological monitoring with seaweed farming</t>
        </is>
      </c>
      <c r="C12" s="20" t="inlineStr">
        <is>
          <t>bioRxiv</t>
        </is>
      </c>
      <c r="D12" s="20" t="n"/>
      <c r="E12" s="20" t="n"/>
      <c r="F12" s="20" t="inlineStr">
        <is>
          <t>2024.02. 15.580450</t>
        </is>
      </c>
      <c r="G12" s="20" t="n">
        <v>2024</v>
      </c>
      <c r="H12" s="20" t="inlineStr">
        <is>
          <t>Cold Spring Harbor Laboratory</t>
        </is>
      </c>
      <c r="I12" s="20" t="inlineStr">
        <is>
          <t>Maps to H&amp;B 1.2.1 (Mobile fauna). Baited Remote Underwater Video (BRUV) drops score mobile fauna (MaxN across ~13 motile taxa); Passive Acoustic Monitoring (PAM) for marine-mammal presence is folded in as a supplementary method (Indirect — a sliver of mobile fauna; no standalone protocol, per robustness guard). Match: Partial — BRUV captures video-detectable mobile fauna; cryptic/nocturnal taxa under-sampled.</t>
        </is>
      </c>
      <c r="J12" s="20" t="inlineStr">
        <is>
          <t>Protocol (empirical, fully specified) — explicitly designed around methods "affordable and integrable into existing seaweed farming operations".</t>
        </is>
      </c>
      <c r="K12" s="20" t="inlineStr">
        <is>
          <t>Yes — BRUV MaxN across replicate drops adequately indexes mobile fauna; PAM adds marine-mammal presence as a supplementary layer. Standalone-candidate (T4). PAM does not warrant its own row (folded — robustness guard).</t>
        </is>
      </c>
      <c r="L12" s="20" t="inlineStr">
        <is>
          <t>Yes for BRUVs (action camera + bait cage + dropframe) and infrastructure visual surveys — these are explicitly framed as farmer-integratable. PAM hydrophone deployments need partner support for data analysis.</t>
        </is>
      </c>
      <c r="M12" s="20" t="inlineStr">
        <is>
          <t>Yes — full pipeline including PAR loggers, kelp morphometrics, and BRUV video analysis described.</t>
        </is>
      </c>
      <c r="N12" s="20" t="inlineStr">
        <is>
          <t>BRUV (action camera + bait cage + drop frame); SoundTrap-type PAM hydrophone (supplementary)</t>
        </is>
      </c>
      <c r="O12" s="20" t="inlineStr">
        <is>
          <t>Low — ~$620 yr 1: $580 start-up (action camera + dive housing $430 [list]; BRUV frame $100 [est]; rope + float $50 [est]) + $36/yr (bait 12 × $3 [est])</t>
        </is>
      </c>
      <c r="P12" s="20" t="inlineStr">
        <is>
          <t>Seasonal (1–3 months)</t>
        </is>
      </c>
      <c r="Q12" s="20" t="inlineStr">
        <is>
          <t>BRUV MaxN counts; PAM detection-positive minutes/day (supplementary)</t>
        </is>
      </c>
      <c r="R12" s="20" t="inlineStr">
        <is>
          <t>Yes — Open Access bioRxiv preprint (CC BY)</t>
        </is>
      </c>
      <c r="S12" s="21" t="n"/>
      <c r="T12" s="20" t="inlineStr">
        <is>
          <t>https://www.biorxiv.org/content/10.1101/2024.02.15.580450v1</t>
        </is>
      </c>
      <c r="U12" s="20" t="n"/>
      <c r="V12" s="20" t="inlineStr">
        <is>
          <t>Original list</t>
        </is>
      </c>
      <c r="W12" s="10" t="inlineStr">
        <is>
          <t>4 — Practitioner</t>
        </is>
      </c>
      <c r="X12" s="20" t="inlineStr">
        <is>
          <t>Seaweed</t>
        </is>
      </c>
      <c r="Y12" s="20" t="inlineStr">
        <is>
          <t>Habitat &amp; Biodiversity</t>
        </is>
      </c>
      <c r="Z12" s="20" t="inlineStr">
        <is>
          <t>H&amp;B 1.2.1 — Mobile fauna</t>
        </is>
      </c>
      <c r="AA12" s="20" t="inlineStr">
        <is>
          <t>Temperate Atlantic</t>
        </is>
      </c>
      <c r="AB12" s="20" t="inlineStr">
        <is>
          <t>Saccharina (sugar kelp)</t>
        </is>
      </c>
      <c r="AC12" s="20" t="inlineStr">
        <is>
          <t>Longline (surface)</t>
        </is>
      </c>
      <c r="AD12" s="20" t="inlineStr">
        <is>
          <t>Medium (1–20 ha)</t>
        </is>
      </c>
      <c r="AE12" s="20" t="inlineStr">
        <is>
          <t>Variable / seasonal</t>
        </is>
      </c>
      <c r="AF12" s="20" t="inlineStr">
        <is>
          <t>Monoculture</t>
        </is>
      </c>
      <c r="AG12" s="20" t="inlineStr">
        <is>
          <t>BRUVs / video, Visual survey, Acoustic</t>
        </is>
      </c>
      <c r="AH12" s="20" t="inlineStr">
        <is>
          <t>Brown</t>
        </is>
      </c>
      <c r="AI12" s="20" t="inlineStr">
        <is>
          <t>Coastal (10–30 m)</t>
        </is>
      </c>
      <c r="AJ12" s="20" t="inlineStr">
        <is>
          <t>Exposed</t>
        </is>
      </c>
      <c r="AK12" s="16" t="inlineStr">
        <is>
          <t>To document mobile animals drawn to your farm, deploy a baited underwater video camera (BRUV) on the seabed near the farm for about an hour per drop, scoring the peak number of each fish type visible at once (MaxN) and analysing only footage clear enough to identify animals; repeat monthly through the growing season. As a supplementary layer for marine mammals, moor a self-logging acoustic click-detector (PAM) for continuous multi-week periods and export detection-positive minutes per day per species.</t>
        </is>
      </c>
      <c r="AL12" s="17" t="inlineStr">
        <is>
          <t>High</t>
        </is>
      </c>
      <c r="AM12" s="18" t="inlineStr">
        <is>
          <t>berger_2024_hb121</t>
        </is>
      </c>
      <c r="AN12" s="19" t="n"/>
      <c r="AO12" s="19" t="n"/>
      <c r="AP12" s="19" t="n"/>
      <c r="AQ12" s="16" t="inlineStr">
        <is>
          <t>Mobile-Fauna Monitoring by Baited Underwater Video (BRUV)</t>
        </is>
      </c>
      <c r="AR12" s="16" t="inlineStr">
        <is>
          <t xml:space="preserve">Berger, Christian; Papazova, Polina; Marshall, Beth; Evans, Fergus; Williams, Craig; </t>
        </is>
      </c>
      <c r="AS12" s="16" t="inlineStr">
        <is>
          <t>One of the most practitioner-oriented monitoring designs in the seaweed literature. Notably did not use eDNA in this site due to sediment-poor, high-current conditions — useful framing of when eDNA isn't the answer.  |  Migration (one-indicator-per-row, 2026-09-04): split from berger_2024 -&gt; berger_2024_hb111 (H&amp;B 1.1.1, Exact) + berger_2024_hb121 (H&amp;B 1.2.1, Partial) + berger_2024_hb211 (H&amp;B 2.1.1, Partial); all T4 standalone. PAM (marine-mammal acoustic) folded into hb121 as supplementary (Indirect - robustness guard; no standalone row). Methods differ -&gt; per-row cost/effort. Audit: berger_2024 -&gt; {berger_2024_hb111, berger_2024_hb121, berger_2024_hb211}.  |  [2026-10-09 Rule 15 cost re-rate, batch 1] Framework basis: SW H&amp;B 1.2.1: within farm + edge; once per season (2 visits); 2 locations × 2 visits × 3 replicates = 12. Supplementary PAM hydrophone excluded. Prior O: 'Low–Medium — BRUV &lt;$500; PAM hydrophone $2–5K (supplementary)'.  |  [2026-10-16 monitoring-methods pass] AT (Monitoring Methods) set from the protocol's method summary (AK): Baited remote underwater video (BRUV), Passive acoustic (marine mammals).</t>
        </is>
      </c>
      <c r="AT12" s="20" t="inlineStr">
        <is>
          <t>Baited remote underwater video (BRUV), Passive acoustic (marine mammals)</t>
        </is>
      </c>
    </row>
    <row r="13" ht="240" customHeight="1">
      <c r="A13" s="20" t="inlineStr">
        <is>
          <t>Berger, C., et al.</t>
        </is>
      </c>
      <c r="B13" s="20" t="inlineStr">
        <is>
          <t>Integrating environmental and ecological monitoring with seaweed farming</t>
        </is>
      </c>
      <c r="C13" s="20" t="inlineStr">
        <is>
          <t>bioRxiv</t>
        </is>
      </c>
      <c r="D13" s="20" t="n"/>
      <c r="E13" s="20" t="n"/>
      <c r="F13" s="20" t="inlineStr">
        <is>
          <t>2024.02. 15.580450</t>
        </is>
      </c>
      <c r="G13" s="20" t="n">
        <v>2024</v>
      </c>
      <c r="H13" s="20" t="inlineStr">
        <is>
          <t>Cold Spring Harbor Laboratory</t>
        </is>
      </c>
      <c r="I13" s="20" t="inlineStr">
        <is>
          <t>Maps to H&amp;B 2.1.1 (Community composition). Farm-vs-reference comparison of the combined survey outputs (epibiont + BRUV) characterises community composition and the farm's effect; a self-contained superset of the single-method surveys. Match: Partial — indexes composition via the farm/reference contrast rather than a full assemblage census.</t>
        </is>
      </c>
      <c r="J13" s="20" t="inlineStr">
        <is>
          <t>Protocol (empirical, fully specified) — explicitly designed around methods "affordable and integrable into existing seaweed farming operations".</t>
        </is>
      </c>
      <c r="K13" s="20" t="inlineStr">
        <is>
          <t>Yes — paired farm/reference design compares community composition across sites and seasons. Standalone-candidate (T4); the two-site design adds effort (borderline T4/T3 — confirm at generation).</t>
        </is>
      </c>
      <c r="L13" s="20" t="inlineStr">
        <is>
          <t>Yes for BRUVs (action camera + bait cage + dropframe) and infrastructure visual surveys — these are explicitly framed as farmer-integratable. PAM hydrophone deployments need partner support for data analysis.</t>
        </is>
      </c>
      <c r="M13" s="20" t="inlineStr">
        <is>
          <t>Yes — full pipeline including PAR loggers, kelp morphometrics, and BRUV video analysis described.</t>
        </is>
      </c>
      <c r="N13" s="20" t="inlineStr">
        <is>
          <t>Visual-survey kit + BRUV, replicated at farm and reference sites</t>
        </is>
      </c>
      <c r="O13" s="20" t="inlineStr">
        <is>
          <t>Low — ~$690 yr 1: $650 start-up (action camera + dive housing $430 [list]; BRUV frame $100 [est]; rope + float $50 [est]; quadrat $30 [est]; slate + datasheets $40 [est]) + $36/yr (bait 12 × $3 [est])</t>
        </is>
      </c>
      <c r="P13" s="20" t="inlineStr">
        <is>
          <t>Seasonal (1–3 months), doubled for paired farm/reference sites</t>
        </is>
      </c>
      <c r="Q13" s="20" t="inlineStr">
        <is>
          <t>Community-composition comparison (farm vs reference; multivariate / ordination)</t>
        </is>
      </c>
      <c r="R13" s="20" t="inlineStr">
        <is>
          <t>Yes — Open Access bioRxiv preprint (CC BY)</t>
        </is>
      </c>
      <c r="S13" s="21" t="n"/>
      <c r="T13" s="20" t="inlineStr">
        <is>
          <t>https://www.biorxiv.org/content/10.1101/2024.02.15.580450v1</t>
        </is>
      </c>
      <c r="U13" s="20" t="n"/>
      <c r="V13" s="20" t="inlineStr">
        <is>
          <t>Original list</t>
        </is>
      </c>
      <c r="W13" s="10" t="inlineStr">
        <is>
          <t>4 — Practitioner</t>
        </is>
      </c>
      <c r="X13" s="20" t="inlineStr">
        <is>
          <t>Seaweed</t>
        </is>
      </c>
      <c r="Y13" s="20" t="inlineStr">
        <is>
          <t>Habitat &amp; Biodiversity</t>
        </is>
      </c>
      <c r="Z13" s="20" t="inlineStr">
        <is>
          <t>H&amp;B 2.1.1 — Community composition</t>
        </is>
      </c>
      <c r="AA13" s="20" t="inlineStr">
        <is>
          <t>Temperate Atlantic</t>
        </is>
      </c>
      <c r="AB13" s="20" t="inlineStr">
        <is>
          <t>Saccharina (sugar kelp)</t>
        </is>
      </c>
      <c r="AC13" s="20" t="inlineStr">
        <is>
          <t>Longline (surface)</t>
        </is>
      </c>
      <c r="AD13" s="20" t="inlineStr">
        <is>
          <t>Medium (1–20 ha)</t>
        </is>
      </c>
      <c r="AE13" s="20" t="inlineStr">
        <is>
          <t>Variable / seasonal</t>
        </is>
      </c>
      <c r="AF13" s="20" t="inlineStr">
        <is>
          <t>Monoculture</t>
        </is>
      </c>
      <c r="AG13" s="20" t="inlineStr">
        <is>
          <t>BRUVs / video, Visual survey, Acoustic</t>
        </is>
      </c>
      <c r="AH13" s="20" t="inlineStr">
        <is>
          <t>Brown</t>
        </is>
      </c>
      <c r="AI13" s="20" t="inlineStr">
        <is>
          <t>Coastal (10–30 m)</t>
        </is>
      </c>
      <c r="AJ13" s="20" t="inlineStr">
        <is>
          <t>Exposed</t>
        </is>
      </c>
      <c r="AK13" s="16" t="inlineStr">
        <is>
          <t>To characterise how your farm's community compares with nearby seabed, run the epibiont line surveys and baited-video (BRUV) drops at both the farm and a comparable reference site, monthly through the growing season, then compare community composition (which organisms, in what abundance) between farm and reference across seasons. Temperature, light, current and pH/salinity can be logged for context.</t>
        </is>
      </c>
      <c r="AL13" s="17" t="inlineStr">
        <is>
          <t>High</t>
        </is>
      </c>
      <c r="AM13" s="18" t="inlineStr">
        <is>
          <t>berger_2024_hb211</t>
        </is>
      </c>
      <c r="AN13" s="19" t="n"/>
      <c r="AO13" s="19" t="n"/>
      <c r="AP13" s="19" t="n"/>
      <c r="AQ13" s="16" t="inlineStr">
        <is>
          <t>Farm-vs-Reference Community Composition on a Seaweed Farm</t>
        </is>
      </c>
      <c r="AR13" s="16" t="inlineStr">
        <is>
          <t xml:space="preserve">Berger, Christian; Papazova, Polina; Marshall, Beth; Evans, Fergus; Williams, Craig; </t>
        </is>
      </c>
      <c r="AS13" s="16" t="inlineStr">
        <is>
          <t>One of the most practitioner-oriented monitoring designs in the seaweed literature. Notably did not use eDNA in this site due to sediment-poor, high-current conditions — useful framing of when eDNA isn't the answer.  |  Migration (one-indicator-per-row, 2026-09-04): split from berger_2024 -&gt; berger_2024_hb111 (H&amp;B 1.1.1, Exact) + berger_2024_hb121 (H&amp;B 1.2.1, Partial) + berger_2024_hb211 (H&amp;B 2.1.1, Partial); all T4 standalone. PAM (marine-mammal acoustic) folded into hb121 as supplementary (Indirect - robustness guard; no standalone row). Methods differ -&gt; per-row cost/effort. Audit: berger_2024 -&gt; {berger_2024_hb111, berger_2024_hb121, berger_2024_hb211}.  |  [2026-10-09 Rule 15 cost re-rate, batch 1] Framework basis: SW H&amp;B 2.1.1: 2 farm strata + 2 offsite refs; annual (1 visit); 4 locations × 1 visits × 3 replicates = 12. BRUV + visual survey. Prior O: 'Low–Medium — survey kit + BRUV replicated across farm and reference sites'.  |  [2026-10-16 monitoring-methods pass] AT (Monitoring Methods) set from the protocol's method summary (AK): Temperature / salinity, pH, Baited remote underwater video (BRUV), Epibiota on lines / structures.</t>
        </is>
      </c>
      <c r="AT13" s="20" t="inlineStr">
        <is>
          <t>Temperature / salinity, pH, Baited remote underwater video (BRUV), Epibiota on lines / structures</t>
        </is>
      </c>
    </row>
    <row r="14" ht="240" customHeight="1">
      <c r="A14" s="3" t="inlineStr">
        <is>
          <t>Martínez‐Curci, N. S., et al.</t>
        </is>
      </c>
      <c r="B14" s="3" t="inlineStr">
        <is>
          <t>Does experimental seaweed cultivation affect benthic communities and shorebirds? Applications for extensive aquaculture</t>
        </is>
      </c>
      <c r="C14" s="3" t="inlineStr">
        <is>
          <t>Ecological Applications</t>
        </is>
      </c>
      <c r="D14" s="3" t="n">
        <v>33</v>
      </c>
      <c r="E14" s="3" t="n">
        <v>3</v>
      </c>
      <c r="F14" s="3" t="inlineStr">
        <is>
          <t>e2799</t>
        </is>
      </c>
      <c r="G14" s="3" t="n">
        <v>2023</v>
      </c>
      <c r="H14" s="3" t="inlineStr">
        <is>
          <t>Wiley Online Library</t>
        </is>
      </c>
      <c r="I14" s="3" t="inlineStr">
        <is>
          <t>Maps to H&amp;B 1.2.1 — Mobile fauna. Shorebird scans every 30 min around low tide from ≥100 m with a spotting scope, counting birds by species, plot and activity in experimental Gracilaria plots and bare mudflat controls; focal videos of foraging godwits. Match: Exact (birds as mobile fauna).</t>
        </is>
      </c>
      <c r="J14" s="3" t="inlineStr">
        <is>
          <t>Protocol (empirical BACI design with experimental Gracilaria chilensis plots on bare mudflats)</t>
        </is>
      </c>
      <c r="K14" s="3" t="inlineStr">
        <is>
          <t>Confirmed standalone (full read). 44 scans with shorebirds over 15 days, analysed by GLMM (treatment × period) — robust for bird use of farm vs bare plots (Exact; no before-period scans).</t>
        </is>
      </c>
      <c r="L14" s="3" t="inlineStr">
        <is>
          <t>Yes — scan counts from a fixed point with binoculars or a spotting scope and a bird guide are practitioner methods; the godwit video analysis is optional research add-on.</t>
        </is>
      </c>
      <c r="M14" s="3" t="inlineStr">
        <is>
          <t>Yes — full experimental design specified.</t>
        </is>
      </c>
      <c r="N14" s="3" t="inlineStr">
        <is>
          <t>Spotting scope (20–60×) or binoculars; bird field guide; datasheets; optional HD video camera on the scope for focal foraging sequences.</t>
        </is>
      </c>
      <c r="O14" s="3" t="inlineStr">
        <is>
          <t>Low — ~$220 yr 1: $220 start-up (binoculars $150 [est]; slate + datasheets $40 [est]; bird ID guide $30 [est]) + no recurring cost</t>
        </is>
      </c>
      <c r="P14" s="3" t="inlineStr">
        <is>
          <t>Multi-season (3–9 months) — 15 scan days, Mar and Dec 2019</t>
        </is>
      </c>
      <c r="Q14" s="3" t="inlineStr">
        <is>
          <t>Generalized linear mixed models (treatment × period; Poisson or zero-inflated) on bird counts and foraging; consumption and energy-intake rates from focal videos (R, glmmADMB).</t>
        </is>
      </c>
      <c r="R14" s="3" t="inlineStr">
        <is>
          <t>No — Paywalled at Wiley (Ecological Applications)</t>
        </is>
      </c>
      <c r="S14" t="inlineStr">
        <is>
          <t>Full PDF</t>
        </is>
      </c>
      <c r="T14" s="3" t="inlineStr">
        <is>
          <t>Paywall: https://esajournals.onlinelibrary.wiley.com/doi/10.1002/eap.2799 ; PubMed: https://pubmed.ncbi.nlm.nih.gov/36504174/</t>
        </is>
      </c>
      <c r="U14" s="3" t="inlineStr">
        <is>
          <t>Shows 'more benthic biomass' can have mixed consequences - it favoured some shorebird foragers over others, so interpret benthic gains carefully.</t>
        </is>
      </c>
      <c r="V14" s="3" t="inlineStr">
        <is>
          <t>Original list</t>
        </is>
      </c>
      <c r="W14" s="10" t="inlineStr">
        <is>
          <t>4 — Practitioner</t>
        </is>
      </c>
      <c r="X14" s="3" t="inlineStr">
        <is>
          <t>Seaweed</t>
        </is>
      </c>
      <c r="Y14" s="3" t="inlineStr">
        <is>
          <t>Habitat &amp; Biodiversity</t>
        </is>
      </c>
      <c r="Z14" s="3" t="inlineStr">
        <is>
          <t>H&amp;B 1.2.1 — Mobile fauna</t>
        </is>
      </c>
      <c r="AA14" s="3" t="inlineStr">
        <is>
          <t>Temperate Pacific</t>
        </is>
      </c>
      <c r="AB14" s="3" t="inlineStr">
        <is>
          <t>Gracilaria</t>
        </is>
      </c>
      <c r="AC14" s="3" t="inlineStr">
        <is>
          <t>Off-bottom (monoline / pegs)</t>
        </is>
      </c>
      <c r="AD14" s="3" t="inlineStr">
        <is>
          <t>Small (&lt;1 ha)</t>
        </is>
      </c>
      <c r="AE14" s="3" t="inlineStr">
        <is>
          <t>Variable / seasonal</t>
        </is>
      </c>
      <c r="AF14" s="3" t="inlineStr">
        <is>
          <t>Monoculture</t>
        </is>
      </c>
      <c r="AG14" s="3" t="inlineStr">
        <is>
          <t>Sediment sampling, Visual survey</t>
        </is>
      </c>
      <c r="AH14" s="3" t="inlineStr">
        <is>
          <t>Red</t>
        </is>
      </c>
      <c r="AI14" s="3" t="inlineStr">
        <is>
          <t>Intertidal / very shallow (&lt; 2 m)</t>
        </is>
      </c>
      <c r="AJ14" s="3" t="inlineStr">
        <is>
          <t>Sheltered</t>
        </is>
      </c>
      <c r="AK14" s="16" t="inlineStr">
        <is>
          <t>To count the shorebirds and other birds using your intertidal seaweed plots, scan the farm and an equal area of bare mudflat nearby from a fixed point at least 100 m away with binoculars or a spotting scope, every [30] minutes during the [4] hours around low tide. In each scan record every bird by species, plot and activity (feeding, resting, preening), on [several] days each season. Compare numbers and feeding activity per unit area between farm and bare plots. Birds react to disturbance as well as food, so avoid scanning on days of planting, harvest or other work on the flat.</t>
        </is>
      </c>
      <c r="AL14" s="17" t="inlineStr">
        <is>
          <t>High</t>
        </is>
      </c>
      <c r="AM14" s="18" t="inlineStr">
        <is>
          <t>martinezcurci_2023_hb121</t>
        </is>
      </c>
      <c r="AN14" s="19" t="n"/>
      <c r="AO14" s="19" t="n"/>
      <c r="AP14" s="19" t="n"/>
      <c r="AQ14" s="16" t="inlineStr">
        <is>
          <t>Mobile-fauna monitoring — Seaweed</t>
        </is>
      </c>
      <c r="AR14" s="16" t="inlineStr">
        <is>
          <t xml:space="preserve">Martínez‐Curci, Natalia S; Fierro, Pablo; Navedo, Juan G; </t>
        </is>
      </c>
      <c r="AS14" s="16" t="inlineStr">
        <is>
          <t>Important Southern Hemisphere mudflat study — adds nuance to the framework by showing that "more benthic biomass" can have mixed shorebird-population consequences (favoured tactile foragers over visual ones).  |  Migration (one-indicator-per-row, 2026-09-04): split from martinezcurci_2023 -&gt; {martinezcurci_2023_hb121, martinezcurci_2023_hb131, martinezcurci_2023_hb211}. This row = martinezcurci_2023_hb121 (H&amp;B 1.2.1 — Mobile fauna). Candidate: AK/N/Q blanked and I/K/W/O/P provisional; per-indicator method text, tier/cost/effort and match adjudication to be finalised at generation. Combined parent I/AK/N/Q retained in v37 (pre-split).  |  [2026-10-09 Rule 15 cost re-rate, batch 2] Framework basis: SW H&amp;B 1.2.1: within farm + edge; once per season (2 visits); 2 locations × 2 visits × 3 replicates = 12. Shorebird foraging counts by binoculars (the parent's mobile-fauna method); 2 visits assume a single grow-out; gear inferred from method note. Prior O: 'Low — &lt;$500 for cores/sieves/binoculars; ID time at partner lab'.  |  [2026-10-13 method-summary pass] I, K: candidate-split text replaced after full read. N, Q: blank → filled. S: blank → 'Full PDF' (author manuscript, .docx). AA: 'Temperate Atlantic' → 'Temperate Pacific' (Chiloé, Chile). L: 'Partial — benthic sediment cores and basic invertebrate ID are feasible; …' → Yes for bird scans. W: '3 — Partnership' → '4 — Practitioner' (Rule 14; field counts, no lab — same policy as the approved promotions). P: controlled phrase + detail. O unchanged (binoculars route). AK written; AL High.  |  [2026-10-16 monitoring-methods pass] AT (Monitoring Methods) set from the protocol's method summary (AK): Bird / shorebird counts.</t>
        </is>
      </c>
      <c r="AT14" s="20" t="inlineStr">
        <is>
          <t>Bird / shorebird counts</t>
        </is>
      </c>
    </row>
    <row r="15" ht="240" customHeight="1">
      <c r="A15" s="20" t="inlineStr">
        <is>
          <t>Martínez‐Curci, N. S., et al.</t>
        </is>
      </c>
      <c r="B15" s="20" t="inlineStr">
        <is>
          <t>Does experimental seaweed cultivation affect benthic communities and shorebirds? Applications for extensive aquaculture</t>
        </is>
      </c>
      <c r="C15" s="20" t="inlineStr">
        <is>
          <t>Ecological Applications</t>
        </is>
      </c>
      <c r="D15" s="20" t="n">
        <v>33</v>
      </c>
      <c r="E15" s="20" t="n">
        <v>3</v>
      </c>
      <c r="F15" s="20" t="inlineStr">
        <is>
          <t>e2799</t>
        </is>
      </c>
      <c r="G15" s="20" t="n">
        <v>2023</v>
      </c>
      <c r="H15" s="20" t="inlineStr">
        <is>
          <t>Wiley Online Library</t>
        </is>
      </c>
      <c r="I15" s="20" t="inlineStr">
        <is>
          <t>Maps to H&amp;B 1.3.1 — Benthic infauna. BACI coring (10.5 cm PVC corer, 15 cm deep, three per plot) in four Gracilaria plots and four bare controls, sieved at 0.5 mm; taxa counted (orders, polychaete families) and weighed. Match: Exact.</t>
        </is>
      </c>
      <c r="J15" s="20" t="inlineStr">
        <is>
          <t>Protocol (empirical BACI design with experimental Gracilaria chilensis plots on bare mudflats)</t>
        </is>
      </c>
      <c r="K15" s="20" t="inlineStr">
        <is>
          <t>Confirmed standalone (full read). Abundance, biomass (wet, dry, AFDW) and assemblage structure before, during and after cultivation — robust for H&amp;B 1.3.1 (Exact; coarse taxonomic resolution).</t>
        </is>
      </c>
      <c r="L15" s="20" t="inlineStr">
        <is>
          <t>Partial — coring and sieving at low tide are farmer-doable; identification and biomass (dry weight, ash-free dry weight) need a partner lab.</t>
        </is>
      </c>
      <c r="M15" s="20" t="inlineStr">
        <is>
          <t>Yes — full experimental design specified.</t>
        </is>
      </c>
      <c r="N15" s="20" t="inlineStr">
        <is>
          <t>PVC corer (10.5 cm diameter, 0.009 m²); 0.5 mm sieve; 70% ethanol; partner-lab identification, drying oven (60 °C), muffle furnace (500 °C) and 0.001 g balance.</t>
        </is>
      </c>
      <c r="O15" s="20" t="inlineStr">
        <is>
          <t>Medium — ~$5.5K yr 1: $400 start-up (hand corer $250 [est]; 500 µm sieve $150 [est]) + $5.12K/yr (infauna sort + ID 12 × $414 [lab fee]; preservative + jars $150 [est])</t>
        </is>
      </c>
      <c r="P15" s="20" t="inlineStr">
        <is>
          <t>Year-long study (12 months) — cores before planting, 2 months after planting and 2 months after harvest (Jan–Dec 2019)</t>
        </is>
      </c>
      <c r="Q15" s="20" t="inlineStr">
        <is>
          <t>GLMM (treatment × period) on abundance and biomass; PERMANOVA and SIMPER on assemblage structure (PRIMER 6 + PERMANOVA+).</t>
        </is>
      </c>
      <c r="R15" s="20" t="inlineStr">
        <is>
          <t>No — Paywalled at Wiley (Ecological Applications)</t>
        </is>
      </c>
      <c r="S15" s="21" t="inlineStr">
        <is>
          <t>Full PDF</t>
        </is>
      </c>
      <c r="T15" s="20" t="inlineStr">
        <is>
          <t>Paywall: https://esajournals.onlinelibrary.wiley.com/doi/10.1002/eap.2799 ; PubMed: https://pubmed.ncbi.nlm.nih.gov/36504174/</t>
        </is>
      </c>
      <c r="U15" s="20" t="inlineStr">
        <is>
          <t>Shows 'more benthic biomass' can have mixed consequences - it favoured some shorebird foragers over others, so interpret benthic gains carefully.</t>
        </is>
      </c>
      <c r="V15" s="20" t="inlineStr">
        <is>
          <t>Original list</t>
        </is>
      </c>
      <c r="W15" s="9" t="inlineStr">
        <is>
          <t>3 — Partnership</t>
        </is>
      </c>
      <c r="X15" s="20" t="inlineStr">
        <is>
          <t>Seaweed</t>
        </is>
      </c>
      <c r="Y15" s="20" t="inlineStr">
        <is>
          <t>Habitat &amp; Biodiversity</t>
        </is>
      </c>
      <c r="Z15" s="20" t="inlineStr">
        <is>
          <t>H&amp;B 1.3.1 — Benthic infauna</t>
        </is>
      </c>
      <c r="AA15" s="20" t="inlineStr">
        <is>
          <t>Temperate Pacific</t>
        </is>
      </c>
      <c r="AB15" s="20" t="inlineStr">
        <is>
          <t>Gracilaria</t>
        </is>
      </c>
      <c r="AC15" s="20" t="inlineStr">
        <is>
          <t>Off-bottom (monoline / pegs)</t>
        </is>
      </c>
      <c r="AD15" s="20" t="inlineStr">
        <is>
          <t>Small (&lt;1 ha)</t>
        </is>
      </c>
      <c r="AE15" s="20" t="inlineStr">
        <is>
          <t>Variable / seasonal</t>
        </is>
      </c>
      <c r="AF15" s="20" t="inlineStr">
        <is>
          <t>Monoculture</t>
        </is>
      </c>
      <c r="AG15" s="20" t="inlineStr">
        <is>
          <t>Sediment sampling, Visual survey</t>
        </is>
      </c>
      <c r="AH15" s="20" t="inlineStr">
        <is>
          <t>Red</t>
        </is>
      </c>
      <c r="AI15" s="20" t="inlineStr">
        <is>
          <t>Intertidal / very shallow (&lt; 2 m)</t>
        </is>
      </c>
      <c r="AJ15" s="20" t="inlineStr">
        <is>
          <t>Sheltered</t>
        </is>
      </c>
      <c r="AK15" s="16" t="inlineStr">
        <is>
          <t>To check the bottom-living animals under your intertidal seaweed lines, push a small corer (about 10 cm diameter) 15 cm into the sediment at [3] random spots in each farm plot and in nearby bare plots at low tide, at least once per season — ideally once before planting, once during growth and once after harvest. Sieve on a 0.5 mm mesh on site, preserve in 70% ethanol, and have a partner lab identify the animals (to order; worms to family), count them and weigh them (wet, dry and ash-free dry weight). Compare abundance, biomass and assemblage between farm and bare plots and across periods. Small cores under-sample fast-moving crustaceans, so read them as a measure of the less mobile fauna.</t>
        </is>
      </c>
      <c r="AL15" s="17" t="inlineStr">
        <is>
          <t>High</t>
        </is>
      </c>
      <c r="AM15" s="18" t="inlineStr">
        <is>
          <t>martinezcurci_2023_hb131</t>
        </is>
      </c>
      <c r="AN15" s="19" t="n"/>
      <c r="AO15" s="19" t="n"/>
      <c r="AP15" s="19" t="n"/>
      <c r="AQ15" s="16" t="inlineStr">
        <is>
          <t>Benthic-infauna sampling — Seaweed</t>
        </is>
      </c>
      <c r="AR15" s="16" t="inlineStr">
        <is>
          <t xml:space="preserve">Martínez‐Curci, Natalia S; Fierro, Pablo; Navedo, Juan G; </t>
        </is>
      </c>
      <c r="AS15" s="16" t="inlineStr">
        <is>
          <t>Important Southern Hemisphere mudflat study — adds nuance to the framework by showing that "more benthic biomass" can have mixed shorebird-population consequences (favoured tactile foragers over visual ones).  |  Migration (one-indicator-per-row, 2026-09-04): split from martinezcurci_2023 -&gt; {martinezcurci_2023_hb121, martinezcurci_2023_hb131, martinezcurci_2023_hb211}. This row = martinezcurci_2023_hb131 (H&amp;B 1.3.1 — Benthic infauna). Candidate: AK/N/Q blanked and I/K/W/O/P provisional; per-indicator method text, tier/cost/effort and match adjudication to be finalised at generation. Combined parent I/AK/N/Q retained in v37 (pre-split).  |  [2026-10-09 Rule 15 cost re-rate, batch 2] Framework basis: SW H&amp;B 1.3.1: under/within farm + edge; once per season (2 visits); 2 locations × 2 visits × 3 replicates = 12. Intertidal hand cores, partner-lab sort + ID; BACI before-period excluded (above Framework minimum); 2 visits assume a single grow-out (a year-round crop doubles the ID fees, about $10.5K, High); gear inferred from method note. Prior O: 'Low — &lt;$500 for cores/sieves/binoculars; ID time at partner lab'.  |  [2026-10-13 method-summary pass] I, K: candidate-split text replaced after full read. N, Q: blank → filled. S: blank → 'Full PDF' (author manuscript, .docx). AA: 'Temperate Atlantic' → 'Temperate Pacific' (Chiloé, Chile). L: row-specific. P: controlled phrase + detail. O unchanged (0.5 mm sieve and corer match the source). AK written; AL High.  |  [2026-10-16 monitoring-methods pass] AT (Monitoring Methods) set from the protocol's method summary (AK): Benthic infauna community.</t>
        </is>
      </c>
      <c r="AT15" s="20" t="inlineStr">
        <is>
          <t>Benthic infauna community</t>
        </is>
      </c>
    </row>
    <row r="16" ht="240" customHeight="1">
      <c r="A16" s="20" t="inlineStr">
        <is>
          <t>Martínez‐Curci, N. S., et al.</t>
        </is>
      </c>
      <c r="B16" s="20" t="inlineStr">
        <is>
          <t>Does experimental seaweed cultivation affect benthic communities and shorebirds? Applications for extensive aquaculture</t>
        </is>
      </c>
      <c r="C16" s="20" t="inlineStr">
        <is>
          <t>Ecological Applications</t>
        </is>
      </c>
      <c r="D16" s="20" t="n">
        <v>33</v>
      </c>
      <c r="E16" s="20" t="n">
        <v>3</v>
      </c>
      <c r="F16" s="20" t="inlineStr">
        <is>
          <t>e2799</t>
        </is>
      </c>
      <c r="G16" s="20" t="n">
        <v>2023</v>
      </c>
      <c r="H16" s="20" t="inlineStr">
        <is>
          <t>Wiley Online Library</t>
        </is>
      </c>
      <c r="I16" s="20" t="inlineStr">
        <is>
          <t>Maps to H&amp;B 2.1.1 — Community composition. BACI comparison of benthic macroinvertebrate assemblages (and shorebird use) between experimental Gracilaria plots and bare mudflat controls. Match: Partial — experimental plots, not a commercial farm; comparative.</t>
        </is>
      </c>
      <c r="J16" s="20" t="inlineStr">
        <is>
          <t>Protocol (empirical BACI design with experimental Gracilaria chilensis plots on bare mudflats)</t>
        </is>
      </c>
      <c r="K16" s="20" t="inlineStr">
        <is>
          <t>Confirmed standalone (full read). Four treatment and four control plots (750 m²) in a checkerboard, PERMANOVA and SIMPER on assemblages across three periods — robust for H&amp;B 2.1.1 (Partial; small experimental scale).</t>
        </is>
      </c>
      <c r="L16" s="20" t="inlineStr">
        <is>
          <t>Partial — coring and sieving at low tide are farmer-doable; identification and biomass (dry weight, ash-free dry weight) need a partner lab; shorebird scans are farmer-doable.</t>
        </is>
      </c>
      <c r="M16" s="20" t="inlineStr">
        <is>
          <t>Yes — full experimental design specified.</t>
        </is>
      </c>
      <c r="N16" s="20" t="inlineStr">
        <is>
          <t>PVC corer (10.5 cm); 0.5 mm sieve; 70% ethanol; partner-lab identification and biomass; spotting scope or binoculars and bird guide.</t>
        </is>
      </c>
      <c r="O16" s="20" t="inlineStr">
        <is>
          <t>Medium — ~$5.7K yr 1: $620 start-up (hand corer $250 [est]; 500 µm sieve $150 [est]; binoculars $150 [est]; slate + datasheets $40 [est]; bird ID guide $30 [est]) + $5.12K/yr (infauna sort + ID 12 × $414 [lab fee]; preservative + jars $150 [est])</t>
        </is>
      </c>
      <c r="P16" s="20" t="inlineStr">
        <is>
          <t>Year-long study (12 months) — BACI coring Jan–Dec 2019 plus 15 bird-scan days</t>
        </is>
      </c>
      <c r="Q16" s="20" t="inlineStr">
        <is>
          <t>BACI: PERMANOVA and SIMPER on assemblages; GLMM on abundance, biomass and bird counts (treatment × period).</t>
        </is>
      </c>
      <c r="R16" s="20" t="inlineStr">
        <is>
          <t>No — Paywalled at Wiley (Ecological Applications)</t>
        </is>
      </c>
      <c r="S16" s="21" t="inlineStr">
        <is>
          <t>Full PDF</t>
        </is>
      </c>
      <c r="T16" s="20" t="inlineStr">
        <is>
          <t>Paywall: https://esajournals.onlinelibrary.wiley.com/doi/10.1002/eap.2799 ; PubMed: https://pubmed.ncbi.nlm.nih.gov/36504174/</t>
        </is>
      </c>
      <c r="U16" s="20" t="inlineStr">
        <is>
          <t>Shows 'more benthic biomass' can have mixed consequences - it favoured some shorebird foragers over others, so interpret benthic gains carefully.</t>
        </is>
      </c>
      <c r="V16" s="20" t="inlineStr">
        <is>
          <t>Original list</t>
        </is>
      </c>
      <c r="W16" s="9" t="inlineStr">
        <is>
          <t>3 — Partnership</t>
        </is>
      </c>
      <c r="X16" s="20" t="inlineStr">
        <is>
          <t>Seaweed</t>
        </is>
      </c>
      <c r="Y16" s="20" t="inlineStr">
        <is>
          <t>Habitat &amp; Biodiversity</t>
        </is>
      </c>
      <c r="Z16" s="20" t="inlineStr">
        <is>
          <t>H&amp;B 2.1.1 — Community composition</t>
        </is>
      </c>
      <c r="AA16" s="20" t="inlineStr">
        <is>
          <t>Temperate Pacific</t>
        </is>
      </c>
      <c r="AB16" s="20" t="inlineStr">
        <is>
          <t>Gracilaria</t>
        </is>
      </c>
      <c r="AC16" s="20" t="inlineStr">
        <is>
          <t>Off-bottom (monoline / pegs)</t>
        </is>
      </c>
      <c r="AD16" s="20" t="inlineStr">
        <is>
          <t>Small (&lt;1 ha)</t>
        </is>
      </c>
      <c r="AE16" s="20" t="inlineStr">
        <is>
          <t>Variable / seasonal</t>
        </is>
      </c>
      <c r="AF16" s="20" t="inlineStr">
        <is>
          <t>Monoculture</t>
        </is>
      </c>
      <c r="AG16" s="20" t="inlineStr">
        <is>
          <t>Sediment sampling, Visual survey</t>
        </is>
      </c>
      <c r="AH16" s="20" t="inlineStr">
        <is>
          <t>Red</t>
        </is>
      </c>
      <c r="AI16" s="20" t="inlineStr">
        <is>
          <t>Intertidal / very shallow (&lt; 2 m)</t>
        </is>
      </c>
      <c r="AJ16" s="20" t="inlineStr">
        <is>
          <t>Sheltered</t>
        </is>
      </c>
      <c r="AK16" s="16" t="inlineStr">
        <is>
          <t>To test whether your seaweed farm changes the mudflat community, compare farm plots with nearby bare plots using cores (about 10 cm diameter, 15 cm deep, [3] per plot, sieved at 0.5 mm, lab-identified and weighed) and shorebird scans from a fixed point at low tide, ideally with a round before planting. Repeat once a year and compare assemblages between farm and bare plots and against the baseline (e.g. PERMANOVA and SIMPER). Seaweed lines can shift the prey community toward small, abundant animals that some bird species exploit and others avoid, so report bird use by species, not just totals.</t>
        </is>
      </c>
      <c r="AL16" s="17" t="inlineStr">
        <is>
          <t>High</t>
        </is>
      </c>
      <c r="AM16" s="18" t="inlineStr">
        <is>
          <t>martinezcurci_2023_hb211</t>
        </is>
      </c>
      <c r="AN16" s="19" t="n"/>
      <c r="AO16" s="19" t="n"/>
      <c r="AP16" s="19" t="n"/>
      <c r="AQ16" s="16" t="inlineStr">
        <is>
          <t>Community-composition survey — Seaweed</t>
        </is>
      </c>
      <c r="AR16" s="16" t="inlineStr">
        <is>
          <t xml:space="preserve">Martínez‐Curci, Natalia S; Fierro, Pablo; Navedo, Juan G; </t>
        </is>
      </c>
      <c r="AS16" s="16" t="inlineStr">
        <is>
          <t>Important Southern Hemisphere mudflat study — adds nuance to the framework by showing that "more benthic biomass" can have mixed shorebird-population consequences (favoured tactile foragers over visual ones).  |  Migration (one-indicator-per-row, 2026-09-04): split from martinezcurci_2023 -&gt; {martinezcurci_2023_hb121, martinezcurci_2023_hb131, martinezcurci_2023_hb211}. This row = martinezcurci_2023_hb211 (H&amp;B 2.1.1 — Community composition). Candidate: AK/N/Q blanked and I/K/W/O/P provisional; per-indicator method text, tier/cost/effort and match adjudication to be finalised at generation. Combined parent I/AK/N/Q retained in v37 (pre-split).  |  [2026-10-09 Rule 15 cost re-rate, batch 2] Framework basis: SW H&amp;B 2.1.1: 2 farm strata + 2 offsite refs; annual (1 visit); 4 locations × 1 visits × 3 replicates = 12. Hand cores with partner-lab ID plus shorebird counts; BACI before-period excluded; gear inferred from method note. Prior O: 'Low — &lt;$500 for cores/sieves/binoculars; ID time at partner lab'.  |  [2026-10-13 method-summary pass] I, K: candidate-split text replaced after full read. N, Q: blank → filled. S: blank → 'Full PDF' (author manuscript, .docx). AA: 'Temperate Atlantic' → 'Temperate Pacific' (Chiloé, Chile). L: row-specific. P: controlled phrase + detail. O unchanged. AK written; AL High.  |  [2026-10-16 monitoring-methods pass] AT (Monitoring Methods) set from the protocol's method summary (AK): Benthic infauna community, Bird / shorebird counts.</t>
        </is>
      </c>
      <c r="AT16" s="20" t="inlineStr">
        <is>
          <t>Benthic infauna community, Bird / shorebird counts</t>
        </is>
      </c>
    </row>
    <row r="17" ht="240" customHeight="1">
      <c r="A17" s="3" t="inlineStr">
        <is>
          <t>Andrews, A. J., et al.</t>
        </is>
      </c>
      <c r="B17" s="3" t="inlineStr">
        <is>
          <t>Combining environmental DNA and traditional sampling to assess the role of kelp aquaculture as an artificial habitat in Norway</t>
        </is>
      </c>
      <c r="C17" s="3" t="inlineStr">
        <is>
          <t>Frontiers in Marine Science</t>
        </is>
      </c>
      <c r="D17" s="3" t="n">
        <v>12</v>
      </c>
      <c r="E17" s="3" t="n"/>
      <c r="F17" s="3" t="n">
        <v>1717725</v>
      </c>
      <c r="G17" s="3" t="n">
        <v>2025</v>
      </c>
      <c r="H17" s="3" t="inlineStr">
        <is>
          <t>Frontiers Media SA</t>
        </is>
      </c>
      <c r="I17" s="3" t="inlineStr">
        <is>
          <t>Maps to H&amp;B 1.1.1 — Epibiota. Farmed kelp blades and holdfasts (3 replicates) removed from production ropes, plus 30 cm scrapes of production rope, structural rope and floating buoys, bagged and frozen; fauna rinsed out, kept on a 250 µm sieve, preserved in ethanol and identified under a magnifier to the lowest level (family retained). Match: Exact.</t>
        </is>
      </c>
      <c r="J17" s="3" t="inlineStr">
        <is>
          <t>Protocol (empirical, fully specified, multi-method)</t>
        </is>
      </c>
      <c r="K17" s="3" t="inlineStr">
        <is>
          <t>Confirmed standalone (full read). Farm substrates vs wild kelp blades, nMDS (Bray–Curtis) and Wilcoxon tests with BH correction on family richness and abundance — robust for H&amp;B 1.1.1 (Exact). Detected the alien amphipod Caprella mutica, which eDNA missed.</t>
        </is>
      </c>
      <c r="L17" s="3" t="inlineStr">
        <is>
          <t>Partial — cutting kelp and scraping ropes and buoys from the boat is farmer-doable; sieving at 250 µm and identifying the fauna under a magnifier needs a partner lab.</t>
        </is>
      </c>
      <c r="M17" s="3" t="inlineStr">
        <is>
          <t>Yes — full pipeline including primer choice, taxonomic assignment, and indicator-species analysis described.</t>
        </is>
      </c>
      <c r="N17" s="3" t="inlineStr">
        <is>
          <t>Boat; knife or scraper; plastic bags; freezer (−20 °C); partner lab with 250 µm sieve, 70% ethanol and stereo magnifier; NE Atlantic fauna keys (Hayward &amp; Ryland).</t>
        </is>
      </c>
      <c r="O17" s="3" t="inlineStr">
        <is>
          <t>Medium — ~$5.1K yr 1: no start-up cost + $5.07K/yr (epibiota ID 12 × $414 [est]; bags + preservative $100 [est])</t>
        </is>
      </c>
      <c r="P17" s="3" t="inlineStr">
        <is>
          <t>Seasonal (1–3 months) — kelp, rope and buoy samples late February to mid-April, pre-harvest</t>
        </is>
      </c>
      <c r="Q17" s="3" t="inlineStr">
        <is>
          <t>nMDS on Bray–Curtis dissimilarities of family abundances; pairwise Wilcoxon rank-sum tests with Benjamini–Hochberg correction; treemaps of dominant families (R, vegan).</t>
        </is>
      </c>
      <c r="R17" s="3" t="inlineStr">
        <is>
          <t>Yes — Open Access (Frontiers Marine Science, CC BY); also on bioRxiv</t>
        </is>
      </c>
      <c r="S17" t="inlineStr">
        <is>
          <t>Full PDF</t>
        </is>
      </c>
      <c r="T17" s="3" t="inlineStr">
        <is>
          <t>https://www.frontiersin.org/journals/marine-science/articles/10.3389/fmars.2025.1717725/full</t>
        </is>
      </c>
      <c r="U17" s="3" t="n"/>
      <c r="V17" s="3" t="inlineStr">
        <is>
          <t>Original list</t>
        </is>
      </c>
      <c r="W17" s="9" t="inlineStr">
        <is>
          <t>3 — Partnership</t>
        </is>
      </c>
      <c r="X17" s="3" t="inlineStr">
        <is>
          <t>Seaweed</t>
        </is>
      </c>
      <c r="Y17" s="3" t="inlineStr">
        <is>
          <t>Habitat &amp; Biodiversity</t>
        </is>
      </c>
      <c r="Z17" s="3" t="inlineStr">
        <is>
          <t>H&amp;B 1.1.1 — Epibiota</t>
        </is>
      </c>
      <c r="AA17" s="3" t="inlineStr">
        <is>
          <t>Boreal / Arctic</t>
        </is>
      </c>
      <c r="AB17" s="3" t="inlineStr">
        <is>
          <t>Saccharina (sugar kelp), Alaria</t>
        </is>
      </c>
      <c r="AC17" s="3" t="inlineStr">
        <is>
          <t>Longline (surface)</t>
        </is>
      </c>
      <c r="AD17" s="3" t="inlineStr">
        <is>
          <t>Medium (1–20 ha)</t>
        </is>
      </c>
      <c r="AE17" s="3" t="inlineStr">
        <is>
          <t>Clear (visual methods feasible)</t>
        </is>
      </c>
      <c r="AF17" s="3" t="inlineStr">
        <is>
          <t>Monoculture</t>
        </is>
      </c>
      <c r="AG17" s="3" t="inlineStr">
        <is>
          <t>Visual survey</t>
        </is>
      </c>
      <c r="AH17" s="3" t="inlineStr">
        <is>
          <t>Brown</t>
        </is>
      </c>
      <c r="AI17" s="3" t="inlineStr">
        <is>
          <t>Coastal (10–30 m)</t>
        </is>
      </c>
      <c r="AJ17" s="3" t="inlineStr">
        <is>
          <t>Exposed</t>
        </is>
      </c>
      <c r="AK17" s="16" t="inlineStr">
        <is>
          <t>To measure the animals living on your kelp and farm gear, cut [3] kelp plants (blade and holdfast) from the production ropes, and scrape a 30 cm length of production rope, structural rope and a buoy surface, at [3] spots within the farm and [3] at its edge, once in each season the crop is in the water — at least once shortly before harvest. Bag and freeze each sample and send it to a partner lab, which rinses the animals out over a 250 µm sieve and identifies and counts them, usually to family. Compare the number of families and individuals between kelp, ropes and buoys and against wild kelp nearby if you can. Watch for non-native species such as the skeleton shrimp Caprella mutica, which this sampling picks up and water eDNA tends to miss.</t>
        </is>
      </c>
      <c r="AL17" s="17" t="inlineStr">
        <is>
          <t>High</t>
        </is>
      </c>
      <c r="AM17" s="18" t="inlineStr">
        <is>
          <t>andrews_2025_hb111</t>
        </is>
      </c>
      <c r="AN17" s="19" t="n"/>
      <c r="AO17" s="19" t="n"/>
      <c r="AP17" s="19" t="n"/>
      <c r="AQ17" s="16" t="inlineStr">
        <is>
          <t>Epibiota / fouling survey — Seaweed</t>
        </is>
      </c>
      <c r="AR17" s="16" t="inlineStr">
        <is>
          <t xml:space="preserve">Andrews, Adam Jon; Christie, Hartvig; Præbel, Kim; Brandner, Melissa; Torstensen, Ragnhild Grimm; Lewis, Larisa; Hestness, Ragnhild Beck; Berg, Paul Ragnar; Bekkby, Trine; Hancke, Kasper; </t>
        </is>
      </c>
      <c r="AS17" s="16" t="inlineStr">
        <is>
          <t>Most recent multi-method temperate-Atlantic kelp study; alongside Schutt 2023 and Bekkby 2023, completes a strong methodological triad for European/Atlantic farms.  |  Migration (one-indicator-per-row, 2026-09-04): split from andrews_2025 -&gt; {andrews_2025_hb111, andrews_2025_hb121, andrews_2025_hb211}. This row = andrews_2025_hb111 (H&amp;B 1.1.1 — Epibiota). Candidate: AK/N/Q blanked and I/K/W/O/P provisional; per-indicator method text, tier/cost/effort and match adjudication to be finalised at generation. Combined parent I/AK/N/Q retained in v37 (pre-split).  |  [2026-10-09 Rule 15 cost re-rate, batch 2] Framework basis: SW H&amp;B 1.1.1: within farm + edge; once per season (2 visits); 2 locations × 2 visits × 3 replicates = 12. Manual invertebrate samples from farmed kelp and lines, partner-lab ID (fee is a proxy estimate); eDNA treated as supplementary (presence only) and excluded; method inferred from a truncated note. Prior O: 'Medium–High — gill-nets + cameras Medium; eDNA $30–50 per sample + sequencing'.  |  [2026-10-13 Rule 15 lab-fee waiver] ID moved to the field with a guide (Peter, 2026-10-13: species counts and field-identifiable taxa carry no lab fee); preservative dropped; design unchanged. Prior O: 'Medium — ~$5.1K yr 1: no start-up cost + $5.07K/yr (epibiota ID 12 × $414 [est]; bags + preservative $100 [est])'.  |  [2026-10-13 method-summary pass] I, K: candidate-split text replaced after full read (prior: 'Maps to … Candidate split…' / 'Standalone-candidate…'). S: blank → 'Full PDF' (Frontiers full text). L: row-specific. N, Q: blank → filled. P: 'Short campaign' → Seasonal + detail. AB: + Alaria (both farms grew S. latissima and A. esculenta). AG: 'eDNA, Visual survey, Mixed methods' → 'Visual survey'. O: 'Low — ~$80 yr 1 (field ID kit)' → Medium ~$5.1K: lab-fee waiver reversed (fauna sieved at 250 µm and identified under a magnifier, as tano); restores the pre-waiver value; basis unchanged (SW H&amp;B 1.1.1: 2 × 2 × 3 = 12). W stays 3. AK written; AL High. AJ: 'Sheltered' → 'Exposed' (paper: wave-exposed farms).  |  [2026-10-16 monitoring-methods pass] AT (Monitoring Methods) set from the protocol's method summary (AK): Epibiota on lines / structures, Epifauna on crop / rope, Water eDNA.</t>
        </is>
      </c>
      <c r="AT17" s="20" t="inlineStr">
        <is>
          <t>Epibiota on lines / structures, Epifauna on crop / rope, Water eDNA</t>
        </is>
      </c>
    </row>
    <row r="18" ht="240" customHeight="1">
      <c r="A18" s="20" t="inlineStr">
        <is>
          <t>Andrews, A. J., et al.</t>
        </is>
      </c>
      <c r="B18" s="20" t="inlineStr">
        <is>
          <t>Combining environmental DNA and traditional sampling to assess the role of kelp aquaculture as an artificial habitat in Norway</t>
        </is>
      </c>
      <c r="C18" s="20" t="inlineStr">
        <is>
          <t>Frontiers in Marine Science</t>
        </is>
      </c>
      <c r="D18" s="20" t="n">
        <v>12</v>
      </c>
      <c r="E18" s="20" t="n"/>
      <c r="F18" s="20" t="n">
        <v>1717725</v>
      </c>
      <c r="G18" s="20" t="n">
        <v>2025</v>
      </c>
      <c r="H18" s="20" t="inlineStr">
        <is>
          <t>Frontiers Media SA</t>
        </is>
      </c>
      <c r="I18" s="20" t="inlineStr">
        <is>
          <t>Maps to H&amp;B 1.2.1 — Mobile fauna. Multi-mesh NORDIC gill nets (30 × 1.5 m, 12 panels 5–55 mm), three per habitat set horizontally at 2–4 m for 24 h over 4 days and nights; catch identified, measured (TL) and weighed. Two GoPro cameras at each farm (photo every 10 s, daylight) and hand collection of fish at harvest. Match: Exact.</t>
        </is>
      </c>
      <c r="J18" s="20" t="inlineStr">
        <is>
          <t>Protocol (empirical, fully specified, multi-method)</t>
        </is>
      </c>
      <c r="K18" s="20" t="inlineStr">
        <is>
          <t>Confirmed standalone (full read). Fish catches compared descriptively (bar plots) between farm, kelp forest and pelagic controls — no statistical test because fish data were semi-qualitative; adequate for H&amp;B 1.2.1 (Exact; short single-season survey).</t>
        </is>
      </c>
      <c r="L18" s="20" t="inlineStr">
        <is>
          <t>Yes — gill netting, camera deployment and fish ID with a guide need no lab; gill nets need a fishing permit.</t>
        </is>
      </c>
      <c r="M18" s="20" t="inlineStr">
        <is>
          <t>Yes — full pipeline including primer choice, taxonomic assignment, and indicator-species analysis described.</t>
        </is>
      </c>
      <c r="N18" s="20" t="inlineStr">
        <is>
          <t>NORDIC multi-mesh survey gill nets (30 × 1.5 m, 12 panels 5–55 mm) with anchors and buoy lines; action cameras (time-lapse, 10 s); measuring board and scale; fish ID guide.</t>
        </is>
      </c>
      <c r="O18" s="20" t="inlineStr">
        <is>
          <t>Medium — ~$1.7K yr 1: $1.71K start-up (gill net ×2 $1K [est]; gill-net anchors + buoy lines ×2 $100 [est]; action camera + dive housing $430 [list]; BRUV frame $100 [est]; rope + float $50 [est]; fish ID guide $30 [est]) + no recurring cost</t>
        </is>
      </c>
      <c r="P18" s="20" t="inlineStr">
        <is>
          <t>Short campaign (days to 2 weeks) — 4 days and nights of gill netting per location within 5–18 April 2024, plus camera days</t>
        </is>
      </c>
      <c r="Q18" s="20" t="inlineStr">
        <is>
          <t>Descriptive only: counts per species by habitat (bar plots); no statistical test on fish or camera data.</t>
        </is>
      </c>
      <c r="R18" s="20" t="inlineStr">
        <is>
          <t>Yes — Open Access (Frontiers Marine Science, CC BY); also on bioRxiv</t>
        </is>
      </c>
      <c r="S18" s="21" t="inlineStr">
        <is>
          <t>Full PDF</t>
        </is>
      </c>
      <c r="T18" s="20" t="inlineStr">
        <is>
          <t>https://www.frontiersin.org/journals/marine-science/articles/10.3389/fmars.2025.1717725/full</t>
        </is>
      </c>
      <c r="U18" s="20" t="n"/>
      <c r="V18" s="20" t="inlineStr">
        <is>
          <t>Original list</t>
        </is>
      </c>
      <c r="W18" s="10" t="inlineStr">
        <is>
          <t>4 — Practitioner</t>
        </is>
      </c>
      <c r="X18" s="20" t="inlineStr">
        <is>
          <t>Seaweed</t>
        </is>
      </c>
      <c r="Y18" s="20" t="inlineStr">
        <is>
          <t>Habitat &amp; Biodiversity</t>
        </is>
      </c>
      <c r="Z18" s="20" t="inlineStr">
        <is>
          <t>H&amp;B 1.2.1 — Mobile fauna</t>
        </is>
      </c>
      <c r="AA18" s="20" t="inlineStr">
        <is>
          <t>Boreal / Arctic</t>
        </is>
      </c>
      <c r="AB18" s="20" t="inlineStr">
        <is>
          <t>Saccharina (sugar kelp), Alaria</t>
        </is>
      </c>
      <c r="AC18" s="20" t="inlineStr">
        <is>
          <t>Longline (surface)</t>
        </is>
      </c>
      <c r="AD18" s="20" t="inlineStr">
        <is>
          <t>Medium (1–20 ha)</t>
        </is>
      </c>
      <c r="AE18" s="20" t="inlineStr">
        <is>
          <t>Clear (visual methods feasible)</t>
        </is>
      </c>
      <c r="AF18" s="20" t="inlineStr">
        <is>
          <t>Monoculture</t>
        </is>
      </c>
      <c r="AG18" s="20" t="inlineStr">
        <is>
          <t>BRUVs / video, Visual survey</t>
        </is>
      </c>
      <c r="AH18" s="20" t="inlineStr">
        <is>
          <t>Brown</t>
        </is>
      </c>
      <c r="AI18" s="20" t="inlineStr">
        <is>
          <t>Coastal (10–30 m)</t>
        </is>
      </c>
      <c r="AJ18" s="20" t="inlineStr">
        <is>
          <t>Exposed</t>
        </is>
      </c>
      <c r="AK18" s="16" t="inlineStr">
        <is>
          <t>To survey fish using your kelp farm, set [3] multi-mesh survey gill nets (about 30 m long, panels of 5–55 mm mesh) horizontally at 2–4 m depth within the farm and the same number at its edge, leave them 24 hours and repeat for [4] days and nights, once in each season the crop is in the water (check the permits you need first). Identify, measure and weigh every fish. Add a time-lapse action camera on the farm (one image every 10 seconds through daylight) and note fish found among the kelp at harvest, which catches species such as juvenile lumpfish that nets miss. Compare catch per net-night and species lists between farm and edge; on exposed farms expect mostly passing pelagic fish such as saithe and herring.</t>
        </is>
      </c>
      <c r="AL18" s="17" t="inlineStr">
        <is>
          <t>High</t>
        </is>
      </c>
      <c r="AM18" s="18" t="inlineStr">
        <is>
          <t>andrews_2025_hb121</t>
        </is>
      </c>
      <c r="AN18" s="19" t="n"/>
      <c r="AO18" s="19" t="n"/>
      <c r="AP18" s="19" t="n"/>
      <c r="AQ18" s="16" t="inlineStr">
        <is>
          <t>Mobile-fauna monitoring — Seaweed</t>
        </is>
      </c>
      <c r="AR18" s="16" t="inlineStr">
        <is>
          <t xml:space="preserve">Andrews, Adam Jon; Christie, Hartvig; Præbel, Kim; Brandner, Melissa; Torstensen, Ragnhild Grimm; Lewis, Larisa; Hestness, Ragnhild Beck; Berg, Paul Ragnar; Bekkby, Trine; Hancke, Kasper; </t>
        </is>
      </c>
      <c r="AS18" s="16" t="inlineStr">
        <is>
          <t>Most recent multi-method temperate-Atlantic kelp study; alongside Schutt 2023 and Bekkby 2023, completes a strong methodological triad for European/Atlantic farms.  |  Migration (one-indicator-per-row, 2026-09-04): split from andrews_2025 -&gt; {andrews_2025_hb111, andrews_2025_hb121, andrews_2025_hb211}. This row = andrews_2025_hb121 (H&amp;B 1.2.1 — Mobile fauna). Candidate: AK/N/Q blanked and I/K/W/O/P provisional; per-indicator method text, tier/cost/effort and match adjudication to be finalised at generation. Combined parent I/AK/N/Q retained in v37 (pre-split).  |  [2026-10-09 Rule 15 cost re-rate, batch 2] Framework basis: SW H&amp;B 1.2.1: within farm + edge; once per season (2 visits); gill nets 2 locations × 2 visits × 4 net-nights = 16 (paper's 4 nights per site, one net per location); cameras 2 × 2 × 3 = 12. Multi-mesh gill nets + unbaited camera drops; gill-net price is an estimate from an undated CAD figure (quote needed); eDNA treated as supplementary and excluded; gear inferred from method note. Prior O: 'Medium–High — gill-nets + cameras Medium; eDNA $30–50 per sample + sequencing'.  |  [2026-10-13 method-summary pass] I, K: candidate-split text replaced after full read (prior: 'Maps to … Candidate split…' / 'Standalone-candidate…'). S: blank → 'Full PDF'. L: → Yes (permit noted). W: '3 — Partnership' → '4 — Practitioner' (Rule 14 both ways: nets, cameras and field ID, no lab step). N, Q: blank → filled. P: controlled phrase + detail. AB: + Alaria. AG: → 'BRUVs / video, Visual survey'. O unchanged (batch-2 basis: one net per location, 4 net-nights). AK written; AL High. AJ: 'Sheltered' → 'Exposed' (paper: wave-exposed farms).  |  [2026-10-16 monitoring-methods pass] AT (Monitoring Methods) set from the protocol's method summary (AK): Time-lapse / GoPro cameras, Nets &amp; baited traps.</t>
        </is>
      </c>
      <c r="AT18" s="20" t="inlineStr">
        <is>
          <t>Time-lapse / GoPro cameras, Nets &amp; baited traps</t>
        </is>
      </c>
    </row>
    <row r="19" ht="240" customHeight="1">
      <c r="A19" s="20" t="inlineStr">
        <is>
          <t>Andrews, A. J., et al.</t>
        </is>
      </c>
      <c r="B19" s="20" t="inlineStr">
        <is>
          <t>Combining environmental DNA and traditional sampling to assess the role of kelp aquaculture as an artificial habitat in Norway</t>
        </is>
      </c>
      <c r="C19" s="20" t="inlineStr">
        <is>
          <t>Frontiers in Marine Science</t>
        </is>
      </c>
      <c r="D19" s="20" t="n">
        <v>12</v>
      </c>
      <c r="E19" s="20" t="n"/>
      <c r="F19" s="20" t="n">
        <v>1717725</v>
      </c>
      <c r="G19" s="20" t="n">
        <v>2025</v>
      </c>
      <c r="H19" s="20" t="inlineStr">
        <is>
          <t>Frontiers Media SA</t>
        </is>
      </c>
      <c r="I19" s="20" t="inlineStr">
        <is>
          <t>Maps to H&amp;B 2.1.1 — Community composition. Kelp farm vs a natural kelp forest control and a pelagic control of similar exposure: gill-net catches, cameras, epifauna on kelp and gear, and sisal fauna traps (1 m untwisted rope, 72 h) at farm and kelp forest; eDNA (12S, CO1) in triplicate per habitat. Match: Exact — the two controls map onto the Framework's two reference locations.</t>
        </is>
      </c>
      <c r="J19" s="20" t="inlineStr">
        <is>
          <t>Protocol (empirical, fully specified, multi-method)</t>
        </is>
      </c>
      <c r="K19" s="20" t="inlineStr">
        <is>
          <t>Confirmed standalone (full read). Two farms, three habitat types, invertebrate assemblages by nMDS and Wilcoxon tests, eDNA by PERMANOVA and indicator species analysis — robust for H&amp;B 2.1.1 (Exact; single pre-harvest campaign).</t>
        </is>
      </c>
      <c r="L19" s="20" t="inlineStr">
        <is>
          <t>Partial — nets, cameras, kelp sampling and fauna traps are farmer-doable; invertebrate ID under a magnifier needs a partner lab; eDNA is out of scope.</t>
        </is>
      </c>
      <c r="M19" s="20" t="inlineStr">
        <is>
          <t>Yes — full pipeline including primer choice, taxonomic assignment, and indicator-species analysis described.</t>
        </is>
      </c>
      <c r="N19" s="20" t="inlineStr">
        <is>
          <t>NORDIC multi-mesh gill nets with anchors and buoy lines; action cameras; sisal fauna traps (1 m sisal rope, untwisted and bundled); kelp and rope samples; bags, freezer; partner lab (250 µm sieve, ethanol, magnifier).</t>
        </is>
      </c>
      <c r="O19" s="20" t="inlineStr">
        <is>
          <t>Medium — ~$7.9K yr 1: $2.81K start-up (gill net ×4 $2K [est]; gill-net anchors + buoy lines ×4 $200 [est]; action camera + dive housing $430 [list]; BRUV frame $100 [est]; rope + float $50 [est]; fish ID guide $30 [est]) + $5.07K/yr (epibiota ID 12 × $414 [est]; bags + preservative $100 [est])</t>
        </is>
      </c>
      <c r="P19" s="20" t="inlineStr">
        <is>
          <t>Seasonal (1–3 months) — fishing and eDNA 5–18 April 2024; epifauna late February–April</t>
        </is>
      </c>
      <c r="Q19" s="20" t="inlineStr">
        <is>
          <t>nMDS (Bray–Curtis) with Wilcoxon/BH tests for invertebrates; eDNA: PERMANOVA (adonis) with PERMDISP, Shannon and MOTU richness by two-way ANOVA, indicator species analysis (R, vegan, labdsv); fish descriptive.</t>
        </is>
      </c>
      <c r="R19" s="20" t="inlineStr">
        <is>
          <t>Yes — Open Access (Frontiers Marine Science, CC BY); also on bioRxiv</t>
        </is>
      </c>
      <c r="S19" s="21" t="inlineStr">
        <is>
          <t>Full PDF</t>
        </is>
      </c>
      <c r="T19" s="20" t="inlineStr">
        <is>
          <t>https://www.frontiersin.org/journals/marine-science/articles/10.3389/fmars.2025.1717725/full</t>
        </is>
      </c>
      <c r="U19" s="20" t="n"/>
      <c r="V19" s="20" t="inlineStr">
        <is>
          <t>Original list</t>
        </is>
      </c>
      <c r="W19" s="9" t="inlineStr">
        <is>
          <t>3 — Partnership</t>
        </is>
      </c>
      <c r="X19" s="20" t="inlineStr">
        <is>
          <t>Seaweed</t>
        </is>
      </c>
      <c r="Y19" s="20" t="inlineStr">
        <is>
          <t>Habitat &amp; Biodiversity</t>
        </is>
      </c>
      <c r="Z19" s="20" t="inlineStr">
        <is>
          <t>H&amp;B 2.1.1 — Community composition</t>
        </is>
      </c>
      <c r="AA19" s="20" t="inlineStr">
        <is>
          <t>Boreal / Arctic</t>
        </is>
      </c>
      <c r="AB19" s="20" t="inlineStr">
        <is>
          <t>Saccharina (sugar kelp), Alaria</t>
        </is>
      </c>
      <c r="AC19" s="20" t="inlineStr">
        <is>
          <t>Longline (surface)</t>
        </is>
      </c>
      <c r="AD19" s="20" t="inlineStr">
        <is>
          <t>Medium (1–20 ha)</t>
        </is>
      </c>
      <c r="AE19" s="20" t="inlineStr">
        <is>
          <t>Clear (visual methods feasible)</t>
        </is>
      </c>
      <c r="AF19" s="20" t="inlineStr">
        <is>
          <t>Monoculture</t>
        </is>
      </c>
      <c r="AG19" s="20" t="inlineStr">
        <is>
          <t>Visual survey, BRUVs / video</t>
        </is>
      </c>
      <c r="AH19" s="20" t="inlineStr">
        <is>
          <t>Brown</t>
        </is>
      </c>
      <c r="AI19" s="20" t="inlineStr">
        <is>
          <t>Coastal (10–30 m)</t>
        </is>
      </c>
      <c r="AJ19" s="20" t="inlineStr">
        <is>
          <t>Exposed</t>
        </is>
      </c>
      <c r="AK19" s="16" t="inlineStr">
        <is>
          <t>To compare the animal community at your kelp farm with natural habitat, sample the farm (within and at its edge) and [2] reference sites of similar wave exposure — a natural kelp bed and open water without kelp — over the same few days, at least once a year shortly before harvest. At each location set [3] multi-mesh survey gill nets at 2–4 m for 24 hours, and at the farm and kelp bed also collect [3] kelp plants and [3] sisal-rope fauna traps (a 1 m length of rope untwisted and bundled, left 72 hours) for a partner lab to sieve and identify. Compare fish catches, the invertebrate families found and their numbers between farm and references (e.g. nMDS with pairwise tests). An early harvest leaves little time for fauna to build up, so record harvest date with your results.</t>
        </is>
      </c>
      <c r="AL19" s="17" t="inlineStr">
        <is>
          <t>High</t>
        </is>
      </c>
      <c r="AM19" s="18" t="inlineStr">
        <is>
          <t>andrews_2025_hb211</t>
        </is>
      </c>
      <c r="AN19" s="19" t="n"/>
      <c r="AO19" s="19" t="n"/>
      <c r="AP19" s="19" t="n"/>
      <c r="AQ19" s="16" t="inlineStr">
        <is>
          <t>Community-composition survey — Seaweed</t>
        </is>
      </c>
      <c r="AR19" s="16" t="inlineStr">
        <is>
          <t xml:space="preserve">Andrews, Adam Jon; Christie, Hartvig; Præbel, Kim; Brandner, Melissa; Torstensen, Ragnhild Grimm; Lewis, Larisa; Hestness, Ragnhild Beck; Berg, Paul Ragnar; Bekkby, Trine; Hancke, Kasper; </t>
        </is>
      </c>
      <c r="AS19" s="16" t="inlineStr">
        <is>
          <t>Most recent multi-method temperate-Atlantic kelp study; alongside Schutt 2023 and Bekkby 2023, completes a strong methodological triad for European/Atlantic farms.  |  Migration (one-indicator-per-row, 2026-09-04): split from andrews_2025 -&gt; {andrews_2025_hb111, andrews_2025_hb121, andrews_2025_hb211}. This row = andrews_2025_hb211 (H&amp;B 2.1.1 — Community composition). Candidate: AK/N/Q blanked and I/K/W/O/P provisional; per-indicator method text, tier/cost/effort and match adjudication to be finalised at generation. Combined parent I/AK/N/Q retained in v37 (pre-split).  |  [2026-10-09 Rule 15 cost re-rate, batch 2] Framework basis: SW H&amp;B 2.1.1: 2 farm strata + 2 offsite refs; annual (1 visit); gill nets 4 locations × 1 visits × 4 net-nights = 16 (one net per location); cameras and invertebrate samples 4 × 1 × 3 = 12 each. Gill nets + camera drops + manual invertebrate samples with partner-lab ID (fee is a proxy estimate); gill-net price is an estimate (quote needed); eDNA excluded as supplementary; gear inferred from method note. Prior O: 'Medium–High — gill-nets + cameras Medium; eDNA $30–50 per sample + sequencing'.  |  [2026-10-13 Rule 15 lab-fee waiver] ID moved to the field with a guide (Peter, 2026-10-13: species counts and field-identifiable taxa carry no lab fee); preservative dropped; the gill nets keep it Medium; design unchanged. Prior O: 'Medium — ~$7.9K yr 1: $2.81K start-up (gill net ×4 $2K [est]; gill-net anchors + buoy lines ×4 $200 [est]; action camera + dive housing $430 [list]; BRUV frame $100 [est]; rope + float $50 [est]; fish ID guide $30 [est]) + $5.07K/yr (epibiota ID 12 × $414 [est]; bags + preservative $100 [est])'.  |  [2026-10-13 method-summary pass] I, K: candidate-split text replaced after full read (prior: 'Maps to … Candidate split…' / 'Standalone-candidate…'). S: blank → 'Full PDF'. L: row-specific. N, Q: blank → filled. P: 'Short campaign' → Seasonal + detail. AB: + Alaria. AG: → 'Visual survey, BRUVs / video'. O: 'Medium — ~$2.9K yr 1 (no ID fees)' → Medium ~$7.9K: lab-fee waiver reversed (fauna identified under a magnifier, as tano); restores the pre-waiver value; basis unchanged. W stays 3. AK written; AL High. AJ: 'Sheltered' → 'Exposed' (paper: wave-exposed farms).  |  [2026-10-16 monitoring-methods pass] AT (Monitoring Methods) set from the protocol's method summary (AK): Invertebrate collectors / fauna traps, Site exposure characterisation.</t>
        </is>
      </c>
      <c r="AT19" s="20" t="inlineStr">
        <is>
          <t>Invertebrate collectors / fauna traps, Site exposure characterisation</t>
        </is>
      </c>
    </row>
    <row r="20" ht="240" customHeight="1">
      <c r="A20" s="3" t="inlineStr">
        <is>
          <t>English, G., et al.</t>
        </is>
      </c>
      <c r="B20" s="3" t="inlineStr">
        <is>
          <t>A review of data collection methods used to monitor the associations of wild species with marine aquaculture sites</t>
        </is>
      </c>
      <c r="C20" s="3" t="inlineStr">
        <is>
          <t>Reviews in Aquaculture</t>
        </is>
      </c>
      <c r="D20" s="3" t="n">
        <v>16</v>
      </c>
      <c r="E20" s="3" t="n">
        <v>3</v>
      </c>
      <c r="F20" s="3" t="inlineStr">
        <is>
          <t>1160-1185</t>
        </is>
      </c>
      <c r="G20" s="3" t="n">
        <v>2024</v>
      </c>
      <c r="H20" s="3" t="inlineStr">
        <is>
          <t>Wiley Online Library</t>
        </is>
      </c>
      <c r="I20" s="3" t="inlineStr">
        <is>
          <t>Seaweed Habitat &amp; Biodiversity — Indicators 1.1.1, 1.2.1, 2.1.1. Methods review across aquaculture types (incl. seaweed) for monitoring wild-species associations.</t>
        </is>
      </c>
      <c r="J20" s="3" t="inlineStr">
        <is>
          <t>Reference (methods review)</t>
        </is>
      </c>
      <c r="K20" s="3" t="inlineStr">
        <is>
          <t>Adequate as a method-selection guide — surveys monitoring techniques used for wild-species interactions with aquaculture sites — but defers procedural detail to primary papers it cites.</t>
        </is>
      </c>
      <c r="L20" s="3" t="inlineStr">
        <is>
          <t>No — review, not a protocol.</t>
        </is>
      </c>
      <c r="M20" s="3" t="inlineStr">
        <is>
          <t>Yes — for choosing techniques.</t>
        </is>
      </c>
      <c r="N20" s="3" t="inlineStr">
        <is>
          <t>N/A — methods review</t>
        </is>
      </c>
      <c r="O20" s="3" t="inlineStr">
        <is>
          <t>N/A</t>
        </is>
      </c>
      <c r="P20" s="3" t="inlineStr">
        <is>
          <t>One-time (no sampling — desk-based)</t>
        </is>
      </c>
      <c r="Q20" s="3" t="inlineStr">
        <is>
          <t>Narrative methods review</t>
        </is>
      </c>
      <c r="R20" s="3" t="inlineStr">
        <is>
          <t>No — Paywalled at Wiley (Reviews in Aquaculture)</t>
        </is>
      </c>
      <c r="S20" t="inlineStr">
        <is>
          <t>Abstract + DOI metadata</t>
        </is>
      </c>
      <c r="T20" s="3" t="inlineStr">
        <is>
          <t>Paywall: https://onlinelibrary.wiley.com/doi/10.1111/raq.12781</t>
        </is>
      </c>
      <c r="U20" s="3" t="inlineStr"/>
      <c r="V20" s="3" t="inlineStr">
        <is>
          <t>Original list</t>
        </is>
      </c>
      <c r="W20" s="7" t="inlineStr">
        <is>
          <t>2 — Researcher</t>
        </is>
      </c>
      <c r="X20" s="3" t="inlineStr">
        <is>
          <t>Not specific</t>
        </is>
      </c>
      <c r="Y20" s="3" t="inlineStr">
        <is>
          <t>Habitat &amp; Biodiversity, Cross-cutting / Framework</t>
        </is>
      </c>
      <c r="Z20" s="3" t="inlineStr">
        <is>
          <t>Cross-cutting / framework</t>
        </is>
      </c>
      <c r="AA20" s="3" t="inlineStr">
        <is>
          <t>Cross-zone / global</t>
        </is>
      </c>
      <c r="AB20" s="3" t="inlineStr">
        <is>
          <t>Not species-specific</t>
        </is>
      </c>
      <c r="AC20" s="3" t="inlineStr">
        <is>
          <t>Not gear-specific</t>
        </is>
      </c>
      <c r="AD20" s="3" t="inlineStr">
        <is>
          <t>Not scale-specific</t>
        </is>
      </c>
      <c r="AE20" s="3" t="inlineStr">
        <is>
          <t>Not site-specific</t>
        </is>
      </c>
      <c r="AF20" s="3" t="inlineStr">
        <is>
          <t>Not specific</t>
        </is>
      </c>
      <c r="AG20" s="3" t="inlineStr">
        <is>
          <t>Mixed methods</t>
        </is>
      </c>
      <c r="AH20" s="3" t="inlineStr">
        <is>
          <t>Not algae-specific</t>
        </is>
      </c>
      <c r="AI20" s="3" t="inlineStr">
        <is>
          <t>Not depth-specific</t>
        </is>
      </c>
      <c r="AJ20" s="3" t="inlineStr">
        <is>
          <t>Not exposure-specific</t>
        </is>
      </c>
      <c r="AK20" s="16" t="inlineStr">
        <is>
          <t>Methods review — no primary data collection. It surveys the data-collection techniques (camera/video, eDNA, sediment sampling, netting and others) used to monitor how wild species associate with aquaculture sites across shellfish, finfish and seaweed. It helps scope which monitoring method suits a given context but defers procedural detail to the primary papers it cites.</t>
        </is>
      </c>
      <c r="AL20" s="17" t="inlineStr">
        <is>
          <t>Ref</t>
        </is>
      </c>
      <c r="AM20" s="18" t="inlineStr">
        <is>
          <t>english_2024</t>
        </is>
      </c>
      <c r="AN20" s="19" t="n"/>
      <c r="AO20" s="19" t="n"/>
      <c r="AP20" s="19" t="n"/>
      <c r="AQ20" s="16" t="inlineStr">
        <is>
          <t>Monitoring Methods for Fish &amp; Fauna at Aquaculture Sites (Review)</t>
        </is>
      </c>
      <c r="AR20" s="16" t="inlineStr">
        <is>
          <t xml:space="preserve">English, Greg; Lawrence, Michael J; McKindsey, Christopher W; Lacoursière‐Roussel, Anaïs; Bergeron, Hannah; Gauthier, Stéphane; Wringe, Brendan F; Trudel, Marc; </t>
        </is>
      </c>
      <c r="AS20" s="16" t="inlineStr">
        <is>
          <t>Companion review to Corrigan 2022 but broader (includes shellfish and finfish). Useful in tandem when scoping which monitoring methods fit a particular aquaculture context. | v15 Rule 12 cross-database refinement (bivalve CSV): Confirmed methodological-review paper covering shellfish + finfish aquaculture; retained as X = Not specific because the review is genuinely multi-aquaculture-type. Bivalve relevance: shellfish-monitoring methods (camera, eDNA, sediment) are a major focus.</t>
        </is>
      </c>
      <c r="AT20" s="20" t="n"/>
    </row>
    <row r="21" ht="240" customHeight="1">
      <c r="A21" s="3" t="inlineStr">
        <is>
          <t>Corrigan, S., et al.</t>
        </is>
      </c>
      <c r="B21" s="3" t="inlineStr">
        <is>
          <t>Assessing the influence of seaweed and shellfish aquaculture on benthic communities in the western English Channel</t>
        </is>
      </c>
      <c r="C21" s="3" t="inlineStr">
        <is>
          <t>Aquaculture Environment Interactions</t>
        </is>
      </c>
      <c r="D21" s="3" t="n">
        <v>17</v>
      </c>
      <c r="E21" s="3" t="n"/>
      <c r="F21" s="3" t="inlineStr">
        <is>
          <t>187-200</t>
        </is>
      </c>
      <c r="G21" s="3" t="n">
        <v>2025</v>
      </c>
      <c r="H21" s="3" t="inlineStr">
        <is>
          <t>Inter-Research</t>
        </is>
      </c>
      <c r="I21" s="3" t="inlineStr">
        <is>
          <t>Maps to H&amp;B 1.3.1 — Benthic infauna. 22 stations ≥200 m apart in and around a ~70 ha kelp–mussel longline farm in St Austell Bay, UK (8 reference outside the farm, 7 under mussel lines, 7 under kelp lines), one 0.1 m² Day grab per station (accepted at 5–15 cm penetration), sieved at 1 mm, fixed in 70% ethanol, sorted and identified in the lab mostly to family, with biomass by 5 major groups; June 2021 and 2022 against 2017–2018 data. Match: Yes.</t>
        </is>
      </c>
      <c r="J21" s="3" t="inlineStr">
        <is>
          <t>Protocol (empirical, fully specified)</t>
        </is>
      </c>
      <c r="K21" s="3" t="inlineStr">
        <is>
          <t>Yes (full read) — macrofaunal abundance, taxa richness, biomass and diversity indices under farm lines vs reference stations across four survey years; aquaculture areas held more macrofauna than reference areas, mussel areas lower diversity, and no change after two kelp seasons. Annual June sampling with one grab per station; no pre-farm baseline for the mussel farm.</t>
        </is>
      </c>
      <c r="L21" s="3" t="inlineStr">
        <is>
          <t>Partial — grab sampling from the farm boat is farmer-doable; sorting and family-level identification of macrofauna need a partner lab.</t>
        </is>
      </c>
      <c r="M21" s="3" t="inlineStr">
        <is>
          <t>Yes — full sampling and statistical design described.</t>
        </is>
      </c>
      <c r="N21" s="3" t="inlineStr">
        <is>
          <t>0.1 m² Day grab (15 cm maximum, 5 cm minimum penetration); 1 mm sieve; 70% ethanol; balance for blotted wet weight by major group (converted to ash-free dry weight with Eleftheriou &amp; Basford 1989 factors); 10 g surface subsample for particle size; GPS.</t>
        </is>
      </c>
      <c r="O21" s="3" t="inlineStr">
        <is>
          <t>High — ~$12K yr 1: $1.77K start-up (Petite Ponar grab $1.57K [list]; grab line $50 [est]; 500 µm sieve $150 [est]) + $10.1K/yr (infauna sort + ID 24 × $414 [lab fee]; preservative + jars $150 [est])</t>
        </is>
      </c>
      <c r="P21" s="3" t="inlineStr">
        <is>
          <t>Multi-year monitoring (&gt; 1 year) — one June grab survey a year (2021, 2022, at peak kelp biomass) against a 2017–2018 baseline</t>
        </is>
      </c>
      <c r="Q21" s="3" t="inlineStr">
        <is>
          <t>Two-way PERMANOVA (treatment × year, fixed; 999 permutations) on univariate metrics (total abundance, taxa richness, biomass, Simpson, Pielou, Shannon; Euclidean, untransformed) and on assemblages (Bray-Curtis; square-root abundance, fourth-root biomass); PERMDISP; SIMPER; nMDS; distLM with AICc stepwise selection and dbRDA against depth and sediment variables (PERMANOVA+ for PRIMER v7).</t>
        </is>
      </c>
      <c r="R21" s="3" t="inlineStr">
        <is>
          <t>Yes — Open access (CC-BY 4.0, Inter-Research)</t>
        </is>
      </c>
      <c r="S21" t="inlineStr">
        <is>
          <t>Full PDF</t>
        </is>
      </c>
      <c r="T21" s="3" t="inlineStr">
        <is>
          <t>https://www.int-res.com/abstracts/aei/v17/p187-200/ (DOI 10.3354/aei00504)</t>
        </is>
      </c>
      <c r="U21" s="3" t="inlineStr">
        <is>
          <t>A useful baseline template showing minimal benthic effect at a co-culture farm after two seasons.</t>
        </is>
      </c>
      <c r="V21" s="3" t="inlineStr">
        <is>
          <t>Original list</t>
        </is>
      </c>
      <c r="W21" s="9" t="inlineStr">
        <is>
          <t>3 — Partnership</t>
        </is>
      </c>
      <c r="X21" s="3" t="inlineStr">
        <is>
          <t>Seaweed, Mollusk</t>
        </is>
      </c>
      <c r="Y21" s="3" t="inlineStr">
        <is>
          <t>Habitat &amp; Biodiversity</t>
        </is>
      </c>
      <c r="Z21" s="3" t="inlineStr">
        <is>
          <t>H&amp;B 1.3.1 — Benthic infauna</t>
        </is>
      </c>
      <c r="AA21" s="3" t="inlineStr">
        <is>
          <t>Temperate Atlantic</t>
        </is>
      </c>
      <c r="AB21" s="3" t="inlineStr">
        <is>
          <t>Saccharina (sugar kelp), Blue mussel (Mytilus edulis)</t>
        </is>
      </c>
      <c r="AC21" s="3" t="inlineStr">
        <is>
          <t>Longline (subsurface)</t>
        </is>
      </c>
      <c r="AD21" s="3" t="inlineStr">
        <is>
          <t>Large (&gt;20 ha)</t>
        </is>
      </c>
      <c r="AE21" s="3" t="inlineStr">
        <is>
          <t>Clear (visual methods feasible)</t>
        </is>
      </c>
      <c r="AF21" s="3" t="inlineStr">
        <is>
          <t>Seaweed + shellfish</t>
        </is>
      </c>
      <c r="AG21" s="3" t="inlineStr">
        <is>
          <t>Sediment sampling</t>
        </is>
      </c>
      <c r="AH21" s="3" t="inlineStr">
        <is>
          <t>Brown</t>
        </is>
      </c>
      <c r="AI21" s="3" t="inlineStr">
        <is>
          <t>Coastal (10–30 m)</t>
        </is>
      </c>
      <c r="AJ21" s="3" t="inlineStr">
        <is>
          <t>Semi-exposed</t>
        </is>
      </c>
      <c r="AK21" s="16" t="inlineStr">
        <is>
          <t>To check whether your farm is changing the animals living in the seabed beneath it, take one grab each season at [3] stations under the farmed lines and [3] at the farm edge, and if you can at [3] reference stations on similar seabed outside the farm, keeping stations at least 200 m apart. Use a grab of known area (the source used a 0.1 m² Day grab; a lighter hand-line grab works from a farm boat) and discard grabs that bite less than 5 cm. Sieve each sample over a 1 mm mesh and preserve what stays in 70% ethanol for a partner lab to sort, identify (family level is enough) and count, and weigh by major group. Compare abundance, number of taxa and diversity between farm, edge and reference stations across years, ideally starting before the lines go in; mussel drop-off under shellfish lines raises counts and biomass, so record it.</t>
        </is>
      </c>
      <c r="AL21" s="17" t="inlineStr">
        <is>
          <t>High</t>
        </is>
      </c>
      <c r="AM21" s="18" t="inlineStr">
        <is>
          <t>corrigan_2025_hb131</t>
        </is>
      </c>
      <c r="AN21" s="19" t="n"/>
      <c r="AO21" s="19" t="n"/>
      <c r="AP21" s="19" t="n"/>
      <c r="AQ21" s="16" t="inlineStr">
        <is>
          <t>Benthic-infauna sampling — Multi-trophic (IMTA)</t>
        </is>
      </c>
      <c r="AR21" s="16" t="inlineStr">
        <is>
          <t>Corrigan, Sophie; Smale, Dan A.; Tyler, Charles R.; Daniels, Carly L.; Brown, A. Ross</t>
        </is>
      </c>
      <c r="AS21" s="16" t="inlineStr">
        <is>
          <t>Complements Visch 2020 (Saccharina-only Sweden) by showing minimal benthic effect at a co-culture (lobster + mussel + kelp) UK farm after 2 seasons. Useful Archetype 1 baseline-design template.  |  Migration (one-indicator-per-row, 2026-09-04): split from corrigan_2025 -&gt; {corrigan_2025_hb131, corrigan_2025_hb141}. This row = corrigan_2025_hb131 (H&amp;B 1.3.1 — Benthic infauna). Candidate: AK/N/Q blanked and I/K/W/O/P provisional; per-indicator method text, tier/cost/effort and match adjudication to be finalised at generation. Combined parent I/AK/N/Q retained in v37 (pre-split).  |  [2026-10-09 Rule 15 cost re-rate, batch 2] Framework basis: Mol H&amp;B 1.3.1 (IMTA; the mollusc row is the most demanding): under/within farm + edge; seasonal (4 visits); 2 locations × 4 visits × 3 replicates = 24. Hand-line grab from the farm boat, partner-lab sort + ID; gear inferred from old cost note. Prior O: 'Low–Medium — grab/corer ~$1–3K; sieves Low; partner lab for ID'.  |  [2026-10-13 method-summary pass] Source not reachable (Inter-Research page returns 401; Plymouth Marine Science repository holds the record but not the file); AK and tiering held for Peter's PDF. C, D, F, H, AR filled/corrected from the repository record (AEI 17: 187–200, doi:10.3354/aei00504). Prior: C: 'None'; D: 'None'; F: 'None'; H: 'University of Exeter'; AR: 'Corrigan, Sophie; Smale, Dan A; Tyler, Charles R; Daniels, Carly L; Brown, Andrew; '.  |  [2026-10-13 method-summary pass] Full read (Peter's PDF, AEI 17: 187–200). I, K: candidate-split text replaced. L: row-specific. N, Q: blank → filled. R: open access confirmed. X, AB, AF: the 2021–22 farm grew kelp and mussels only (lobster trial ended 2019), so IMTA / Three-trophic IMTA → Seaweed, Mollusk / Seaweed + shellfish; AB + Blue mussel. AC: header lines sit 1–3 m below the surface → Longline (subsurface). S → Full PDF. P: controlled phrase + detail. Match: Yes. W stays 3 (lab sorting and ID). O unchanged: the re-rate assumed a hand-line grab and partner-lab ID as the protocol does; the source sieves at 1 mm, not 500 µm (same price). AK written. Prior: R: 'Likely open access — Aquaculture Environment Interactions (Inter-Resea…'; P: 'Multi-year monitoring (&gt; 1 year)'; X: 'Multi-trophic (IMTA)'; AB: 'Saccharina (sugar kelp)'; AC: 'Longline (surface)'; AF: 'Three-trophic IMTA'; I: 'Maps to H&amp;B 1.3.1 — Benthic infauna. Candidate split from parent proto…'; K: 'Standalone-candidate (per-indicator adequacy to be confirmed at genera…'; L: 'Partial — sediment core/grab sampling and basic faunal ID are feasible…'.  |  [2026-10-13 method-summary pass] corrigan_2025_hb141 deleted (Peter's call, 2026-10-13): grain size only, no sediment biogeochemistry.  |  [2026-10-16 monitoring-methods pass] AT (Monitoring Methods) set from the protocol's method summary (AK): Benthic infauna community, Bivalve condition index / growth.</t>
        </is>
      </c>
      <c r="AT21" s="20" t="inlineStr">
        <is>
          <t>Benthic infauna community, Bivalve condition index / growth</t>
        </is>
      </c>
    </row>
    <row r="22" ht="240" customHeight="1">
      <c r="A22" s="3" t="inlineStr">
        <is>
          <t>Bennion, M., et al.</t>
        </is>
      </c>
      <c r="B22" s="3" t="inlineStr">
        <is>
          <t>Remote sensing of kelp (Laminariales, Ochrophyta): monitoring tools and implications for wild harvesting</t>
        </is>
      </c>
      <c r="C22" s="3" t="inlineStr">
        <is>
          <t>Reviews in Fisheries Science &amp; Aquaculture</t>
        </is>
      </c>
      <c r="D22" s="3" t="n">
        <v>27</v>
      </c>
      <c r="E22" s="3" t="n">
        <v>2</v>
      </c>
      <c r="F22" s="3" t="inlineStr">
        <is>
          <t>127-141</t>
        </is>
      </c>
      <c r="G22" s="3" t="n">
        <v>2019</v>
      </c>
      <c r="H22" s="3" t="inlineStr">
        <is>
          <t>Taylor &amp; Francis</t>
        </is>
      </c>
      <c r="I22" s="3" t="inlineStr">
        <is>
          <t>Seaweed Habitat &amp; Biodiversity — peripheral; about WILD kelp monitoring, not farms. Could inform Archetype 3/4 wild-reference sampling logic.</t>
        </is>
      </c>
      <c r="J22" s="3" t="inlineStr">
        <is>
          <t>Reference (methods review)</t>
        </is>
      </c>
      <c r="K22" s="3" t="inlineStr">
        <is>
          <t>Adequate as a review of satellite-, aerial- and acoustic-remote-sensing techniques for kelp (Laminariales) detection and biomass, but provides only a conceptual framework — no standardised protocol.</t>
        </is>
      </c>
      <c r="L22" s="3" t="inlineStr">
        <is>
          <t>No — review.</t>
        </is>
      </c>
      <c r="M22" s="3" t="inlineStr">
        <is>
          <t>Yes — for choosing a remote-sensing method.</t>
        </is>
      </c>
      <c r="N22" s="3" t="inlineStr">
        <is>
          <t>N/A — methods review</t>
        </is>
      </c>
      <c r="O22" s="3" t="inlineStr">
        <is>
          <t>N/A</t>
        </is>
      </c>
      <c r="P22" s="3" t="inlineStr">
        <is>
          <t>One-time (no sampling — desk-based)</t>
        </is>
      </c>
      <c r="Q22" s="3" t="inlineStr">
        <is>
          <t>Narrative methods review of remote-sensing techniques</t>
        </is>
      </c>
      <c r="R22" s="3" t="inlineStr">
        <is>
          <t>No — Paywalled at Taylor &amp; Francis</t>
        </is>
      </c>
      <c r="T22" s="3" t="inlineStr">
        <is>
          <t>Paywall: https://www.tandfonline.com/doi/full/10.1080/23308249.2018.1509056 ; UCL Discovery repository: https://discovery.ucl.ac.uk/id/eprint/10061556/</t>
        </is>
      </c>
      <c r="U22" s="3" t="inlineStr">
        <is>
          <t>Oriented to wild-kelp mapping - handy for farm-vs-wild comparisons where you need to map wild kelp cover.</t>
        </is>
      </c>
      <c r="V22" s="3" t="inlineStr">
        <is>
          <t>Original list</t>
        </is>
      </c>
      <c r="W22" s="7" t="inlineStr">
        <is>
          <t>2 — Researcher</t>
        </is>
      </c>
      <c r="X22" s="3" t="inlineStr">
        <is>
          <t>Seaweed</t>
        </is>
      </c>
      <c r="Y22" s="3" t="inlineStr">
        <is>
          <t>Habitat &amp; Biodiversity</t>
        </is>
      </c>
      <c r="Z22" s="3" t="inlineStr">
        <is>
          <t>Not in MEL framework</t>
        </is>
      </c>
      <c r="AA22" s="3" t="inlineStr">
        <is>
          <t>Cross-zone / global</t>
        </is>
      </c>
      <c r="AB22" s="3" t="inlineStr">
        <is>
          <t>Laminaria spp.</t>
        </is>
      </c>
      <c r="AC22" s="3" t="inlineStr">
        <is>
          <t>Not gear-specific</t>
        </is>
      </c>
      <c r="AD22" s="3" t="inlineStr">
        <is>
          <t>Not scale-specific</t>
        </is>
      </c>
      <c r="AE22" s="3" t="inlineStr">
        <is>
          <t>Not site-specific</t>
        </is>
      </c>
      <c r="AF22" s="3" t="inlineStr">
        <is>
          <t>Not specific</t>
        </is>
      </c>
      <c r="AG22" s="3" t="inlineStr">
        <is>
          <t>Remote sensing</t>
        </is>
      </c>
      <c r="AH22" s="3" t="inlineStr">
        <is>
          <t>Brown</t>
        </is>
      </c>
      <c r="AI22" s="3" t="inlineStr">
        <is>
          <t>Not depth-specific</t>
        </is>
      </c>
      <c r="AJ22" s="3" t="inlineStr">
        <is>
          <t>Not exposure-specific</t>
        </is>
      </c>
      <c r="AK22" s="16" t="inlineStr">
        <is>
          <t>Methods review — no primary data collection. It reviews satellite-, aerial- and acoustic-remote-sensing techniques for detecting and estimating the biomass of wild kelp and discusses what they mean for harvesting. It offers a conceptual comparison of tools rather than a standardised, repeatable protocol; useful mainly as background for mapping wild kelp in a farm-versus-wild comparison.</t>
        </is>
      </c>
      <c r="AL22" s="17" t="inlineStr">
        <is>
          <t>Ref</t>
        </is>
      </c>
      <c r="AM22" s="18" t="inlineStr">
        <is>
          <t>bennion_2019</t>
        </is>
      </c>
      <c r="AN22" s="19" t="n"/>
      <c r="AO22" s="19" t="n"/>
      <c r="AP22" s="19" t="n"/>
      <c r="AQ22" s="16" t="inlineStr">
        <is>
          <t>Remote-Sensing Tools for Mapping Kelp (Review)</t>
        </is>
      </c>
      <c r="AR22" s="16" t="inlineStr">
        <is>
          <t xml:space="preserve">Bennion, Matthew; Fisher, Jessica; Yesson, Chris; Brodie, Juliet; </t>
        </is>
      </c>
      <c r="AS22" s="16" t="inlineStr">
        <is>
          <t>Wild-harvest monitoring orientation. Useful as background for any farm-vs-wild Archetype 3 comparison where wild kelp coverage needs to be mapped.</t>
        </is>
      </c>
      <c r="AT22" s="20" t="n"/>
    </row>
    <row r="23" ht="240" customHeight="1">
      <c r="A23" s="3" t="inlineStr">
        <is>
          <t>Tano, S., et al.</t>
        </is>
      </c>
      <c r="B23" s="3" t="inlineStr">
        <is>
          <t>Tropical seaweed beds are important habitats for mobile invertebrate epifauna</t>
        </is>
      </c>
      <c r="C23" s="3" t="inlineStr">
        <is>
          <t>Estuarine, Coastal and Shelf Science</t>
        </is>
      </c>
      <c r="D23" s="3" t="n">
        <v>183</v>
      </c>
      <c r="E23" s="3" t="n"/>
      <c r="F23" s="5" t="n">
        <v>46357</v>
      </c>
      <c r="G23" s="3" t="n">
        <v>2016</v>
      </c>
      <c r="H23" s="3" t="inlineStr">
        <is>
          <t>Elsevier</t>
        </is>
      </c>
      <c r="I23" s="3" t="inlineStr">
        <is>
          <t>Maps to H&amp;B 1.1.1 — Epibiota. Bag-over-frame samples of the plants collect the mobile epifauna (≥1 mm) living on them, which a lab sorts, identifies and counts; plant biomass is weighed alongside. Match: Partial — mobile epifauna ≥1 mm only (sessile epibionts and meiofauna not scored); sampled in natural seaweed beds, applied on a farm to the farmed seaweed.</t>
        </is>
      </c>
      <c r="J23" s="3" t="inlineStr">
        <is>
          <t>Protocol (empirical, fully specified) — transferable to seaweed farms.</t>
        </is>
      </c>
      <c r="K23" s="3" t="inlineStr">
        <is>
          <t>Confirmed standalone (full read). 0.04 m² bag-over-frame samples retain the plant-dwelling mobile epifauna, sieved at 1 mm and identified and counted under a stereo microscope (105 taxa) — robust for H&amp;B 1.1.1 (Partial: mobile fraction ≥1 mm only). The study sampled natural seaweed beds; on a farm the same method is applied to a set amount of farmed seaweed.</t>
        </is>
      </c>
      <c r="L23" s="3" t="inlineStr">
        <is>
          <t>Partial — collecting the bagged plant samples is farmer-doable at low tide; sorting and identifying ≥1 mm epifauna under a stereo microscope needs a partner lab.</t>
        </is>
      </c>
      <c r="M23" s="3" t="inlineStr">
        <is>
          <t>Yes — full quadrat, sieving and ID procedures specified.</t>
        </is>
      </c>
      <c r="N23" s="3" t="inlineStr">
        <is>
          <t>Square sampling frame (20 × 20 cm, 0.04 m²) with a mesh bag fixed over it; knife/scraper; cool box; vat of fresh water and 1 mm sieve; 70% ethanol and jars; stereo microscope and taxonomic keys (partner lab); drying oven and balance for plant and fauna dry weight.</t>
        </is>
      </c>
      <c r="O23" s="3" t="inlineStr">
        <is>
          <t>High — ~$17K yr 1: $30 start-up (quadrat $30 [est]) + $16.7K/yr (40 × epibiota sorting + ID $414 [est]; bags + preservative $100 [est])</t>
        </is>
      </c>
      <c r="P23" s="3" t="inlineStr">
        <is>
          <t>Short campaign (days to 2 weeks)</t>
        </is>
      </c>
      <c r="Q23" s="3" t="inlineStr">
        <is>
          <t>Epifaunal abundance, dry biomass and taxon richness per sample (scaled per m²); mixed-effects models (habitat fixed, site random); regressions against macrophyte biomass and species richness (R).</t>
        </is>
      </c>
      <c r="R23" s="3" t="inlineStr">
        <is>
          <t>No — Paywalled at Elsevier (Estuarine, Coastal and Shelf Science)</t>
        </is>
      </c>
      <c r="S23" t="inlineStr">
        <is>
          <t>Full PDF</t>
        </is>
      </c>
      <c r="T23" s="3" t="inlineStr">
        <is>
          <t>Paywall: https://www.sciencedirect.com/science/article/abs/pii/S0272771416304425</t>
        </is>
      </c>
      <c r="U23" s="3" t="inlineStr">
        <is>
          <t>From natural seaweed beds - use as a wild comparator baseline for a tropical farm.</t>
        </is>
      </c>
      <c r="V23" s="3" t="inlineStr">
        <is>
          <t>Original list</t>
        </is>
      </c>
      <c r="W23" s="9" t="inlineStr">
        <is>
          <t>3 — Partnership</t>
        </is>
      </c>
      <c r="X23" s="3" t="inlineStr">
        <is>
          <t>Seaweed</t>
        </is>
      </c>
      <c r="Y23" s="3" t="inlineStr">
        <is>
          <t>Habitat &amp; Biodiversity</t>
        </is>
      </c>
      <c r="Z23" s="3" t="inlineStr">
        <is>
          <t>H&amp;B 1.1.1 — Epibiota</t>
        </is>
      </c>
      <c r="AA23" s="3" t="inlineStr">
        <is>
          <t>Tropical</t>
        </is>
      </c>
      <c r="AB23" s="3" t="inlineStr">
        <is>
          <t>Multi-species / mixed</t>
        </is>
      </c>
      <c r="AC23" s="3" t="inlineStr">
        <is>
          <t>Not gear-specific</t>
        </is>
      </c>
      <c r="AD23" s="3" t="inlineStr">
        <is>
          <t>Not scale-specific</t>
        </is>
      </c>
      <c r="AE23" s="3" t="inlineStr">
        <is>
          <t>Clear (visual methods feasible)</t>
        </is>
      </c>
      <c r="AF23" s="3" t="inlineStr">
        <is>
          <t>Not specific</t>
        </is>
      </c>
      <c r="AG23" s="3" t="inlineStr">
        <is>
          <t>Visual survey</t>
        </is>
      </c>
      <c r="AH23" s="3" t="inlineStr">
        <is>
          <t>Multi-type</t>
        </is>
      </c>
      <c r="AI23" s="3" t="inlineStr">
        <is>
          <t>Intertidal / very shallow (&lt; 2 m)</t>
        </is>
      </c>
      <c r="AJ23" s="3" t="inlineStr">
        <is>
          <t>Sheltered</t>
        </is>
      </c>
      <c r="AK23" s="16" t="inlineStr">
        <is>
          <t>To measure the small mobile animals (amphipods, isopods, worms, snails, small crabs) living among your farmed seaweed, enclose a fixed amount of seaweed in a fine-mesh bag — a 20 × 20 cm frame over bottom-grown plants, or a set length of cultivation line — cut or scrape everything inside into the bag, and keep it cool or preserved. Take [5] samples within the farm and [5] at its edge once per season. A partner lab rinses the animals off the seaweed onto a 1 mm sieve, sorts and identifies them to the lowest practical group under a stereo microscope and counts them; dry and weigh the seaweed so counts can be expressed per area or per gram of seaweed. Report abundance, number of taxa and Shannon diversity per sample; animals under 1 mm and attached (sessile) growth are not captured, and numbers swing with harvest and season, so compare like with like.</t>
        </is>
      </c>
      <c r="AL23" s="17" t="inlineStr">
        <is>
          <t>High</t>
        </is>
      </c>
      <c r="AM23" s="18" t="inlineStr">
        <is>
          <t>tano_2016_hb111</t>
        </is>
      </c>
      <c r="AN23" s="19" t="n"/>
      <c r="AO23" s="19" t="n"/>
      <c r="AP23" s="19" t="n"/>
      <c r="AQ23" s="16" t="inlineStr">
        <is>
          <t>Epibiota / fouling survey — Seaweed</t>
        </is>
      </c>
      <c r="AR23" s="16" t="inlineStr">
        <is>
          <t xml:space="preserve">Tano, Stina; Eggertsen, Maria; Wikström, Sofia A; Berkström, Charlotte; Buriyo, AS; Halling, Christina; </t>
        </is>
      </c>
      <c r="AS23" s="16" t="inlineStr">
        <is>
          <t>About natural seaweed beds, not farms — provides a reference baseline that a tropical farm could use as its wild comparator for Archetype 4 sampling.  |  Migration (one-indicator-per-row, 2026-09-04): split from tano_2016 -&gt; {tano_2016_hb111, tano_2016_hb211}. This row = tano_2016_hb111 (H&amp;B 1.1.1 — Epibiota). Candidate: AK/N/Q blanked and I/K/W/O/P provisional; per-indicator method text, tier/cost/effort and match adjudication to be finalised at generation. Combined parent I/AK/N/Q retained in v37 (pre-split).  |  [2026-10-09 Rule 15 cost re-rate, batch 1] Framework basis: SW H&amp;B 1.1.1: within farm + edge; once per season (2 visits); 2 locations × 2 visits × 3 replicates = 12. Field sorting, no lab fees (T4); gear inferred from method note. Prior O: 'Low — &lt;$500'.  |  [2026-10-13 method-summary pass] S: blank → 'Full PDF'. I, K: candidate-split text replaced after full read (prior: 'Maps to H&amp;B 1.1.1 — Epibiota. Candidate split…' / 'Standalone-candidate…'). L: 'Yes for quadrat sampling and visual fish counts…' → Partial (epifauna sorted and identified under a stereo microscope = partner lab). W: '4 — Practitioner' → '3 — Partnership' (Rule 14 lab line; source contradicts T4). N, Q: blank → filled. O: 'Low — ~$280 yr 1: $180 start-up (quadrat $30 [est]; 1 mm sieve $150 [est]) + $100/yr (bags + preservative $100 [est])' → High; Rule 15 basis: SW H&amp;B 1.1.1 within farm + edge; once per season, tropical stock in the water year-round = 4 visits (Rule 15.2); 2 locations × 4 visits × 5 samples (source n) = 40 lab-sorted samples; sieving done by the lab, so no sieve. AK written; AL High (unchanged).  |  [2026-10-16 monitoring-methods pass] AT (Monitoring Methods) set from the protocol's method summary (AK): Epibiota on lines / structures, Epifauna on crop / rope.</t>
        </is>
      </c>
      <c r="AT23" s="20" t="inlineStr">
        <is>
          <t>Epibiota on lines / structures, Epifauna on crop / rope</t>
        </is>
      </c>
    </row>
    <row r="24" ht="240" customHeight="1">
      <c r="A24" s="20" t="inlineStr">
        <is>
          <t>Tano, S., et al.</t>
        </is>
      </c>
      <c r="B24" s="20" t="inlineStr">
        <is>
          <t>Tropical seaweed beds are important habitats for mobile invertebrate epifauna</t>
        </is>
      </c>
      <c r="C24" s="20" t="inlineStr">
        <is>
          <t>Estuarine, Coastal and Shelf Science</t>
        </is>
      </c>
      <c r="D24" s="20" t="n">
        <v>183</v>
      </c>
      <c r="E24" s="20" t="n"/>
      <c r="F24" s="22" t="n">
        <v>46357</v>
      </c>
      <c r="G24" s="20" t="n">
        <v>2016</v>
      </c>
      <c r="H24" s="20" t="inlineStr">
        <is>
          <t>Elsevier</t>
        </is>
      </c>
      <c r="I24" s="20" t="inlineStr">
        <is>
          <t>Maps to H&amp;B 2.1.1 — Community composition. Compares plant-dwelling mobile epifauna (bag-over-frame samples, lab-sorted ≥1 mm) and invertivorous fish (belt-transect visual census) between seaweed beds and nearby seagrass meadows. Match: Partial — natural seaweed vs seagrass rather than farm vs reference; transfers as farmed seaweed vs wild seaweed or seagrass references.</t>
        </is>
      </c>
      <c r="J24" s="20" t="inlineStr">
        <is>
          <t>Protocol (empirical, fully specified) — transferable to seaweed farms.</t>
        </is>
      </c>
      <c r="K24" s="20" t="inlineStr">
        <is>
          <t>Confirmed standalone (full read). Paired seaweed-bed vs seagrass comparison at three sites (&lt;1 km apart) of epifaunal abundance, biomass, taxon richness and composition, plus invertivorous-fish counts on 25 × 2 m UVC belts — robust for H&amp;B 2.1.1 (Partial; comparative). The epifauna comparison is the core and needs partner-lab sorting; the fish census is practitioner-run.</t>
        </is>
      </c>
      <c r="L24" s="20" t="inlineStr">
        <is>
          <t>Partial — sample collection and snorkel fish counts are farmer-doable; sorting and identifying the epifauna under a stereo microscope needs a partner lab.</t>
        </is>
      </c>
      <c r="M24" s="20" t="inlineStr">
        <is>
          <t>Yes — full quadrat, sieving and ID procedures specified.</t>
        </is>
      </c>
      <c r="N24" s="20" t="inlineStr">
        <is>
          <t>Square sampling frame (20 × 20 cm, 0.04 m²) with a mesh bag fixed over it; knife/scraper; cool box; vat of fresh water and 1 mm sieve; 70% ethanol and jars; stereo microscope and taxonomic keys (partner lab); drying oven and balance for plant and fauna dry weight; snorkel gear, 25 m transect tape, underwater slate and regional fish ID guide (FishBase for feeding guilds).</t>
        </is>
      </c>
      <c r="O24" s="20" t="inlineStr">
        <is>
          <t>Medium — ~$8.7K yr 1: $290 start-up (quadrat $30 [est]; snorkel set $150 [est]; transect tape $40 [est]; slate + datasheets $40 [est]; fish ID guide $30 [est]) + $8.39K/yr (20 × epibiota sorting + ID $414 [est]; bags + preservative $100 [est])</t>
        </is>
      </c>
      <c r="P24" s="20" t="inlineStr">
        <is>
          <t>Short campaign (days to 2 weeks)</t>
        </is>
      </c>
      <c r="Q24" s="20" t="inlineStr">
        <is>
          <t>Mixed-effects models (habitat fixed, site random) for epifauna abundance, biomass, richness and invertivorous-fish abundance; nMDS on Bray-Curtis; PERMANOVA (999 permutations) with betadisper dispersion tests (R, vegan).</t>
        </is>
      </c>
      <c r="R24" s="20" t="inlineStr">
        <is>
          <t>No — Paywalled at Elsevier (Estuarine, Coastal and Shelf Science)</t>
        </is>
      </c>
      <c r="S24" s="21" t="inlineStr">
        <is>
          <t>Full PDF</t>
        </is>
      </c>
      <c r="T24" s="20" t="inlineStr">
        <is>
          <t>Paywall: https://www.sciencedirect.com/science/article/abs/pii/S0272771416304425</t>
        </is>
      </c>
      <c r="U24" s="20" t="inlineStr">
        <is>
          <t>From natural seaweed beds - use as a wild comparator baseline for a tropical farm.</t>
        </is>
      </c>
      <c r="V24" s="20" t="inlineStr">
        <is>
          <t>Original list</t>
        </is>
      </c>
      <c r="W24" s="9" t="inlineStr">
        <is>
          <t>3 — Partnership</t>
        </is>
      </c>
      <c r="X24" s="20" t="inlineStr">
        <is>
          <t>Seaweed</t>
        </is>
      </c>
      <c r="Y24" s="20" t="inlineStr">
        <is>
          <t>Habitat &amp; Biodiversity</t>
        </is>
      </c>
      <c r="Z24" s="20" t="inlineStr">
        <is>
          <t>H&amp;B 2.1.1 — Community composition</t>
        </is>
      </c>
      <c r="AA24" s="20" t="inlineStr">
        <is>
          <t>Tropical</t>
        </is>
      </c>
      <c r="AB24" s="20" t="inlineStr">
        <is>
          <t>Multi-species / mixed</t>
        </is>
      </c>
      <c r="AC24" s="20" t="inlineStr">
        <is>
          <t>Not gear-specific</t>
        </is>
      </c>
      <c r="AD24" s="20" t="inlineStr">
        <is>
          <t>Not scale-specific</t>
        </is>
      </c>
      <c r="AE24" s="20" t="inlineStr">
        <is>
          <t>Clear (visual methods feasible)</t>
        </is>
      </c>
      <c r="AF24" s="20" t="inlineStr">
        <is>
          <t>Not specific</t>
        </is>
      </c>
      <c r="AG24" s="20" t="inlineStr">
        <is>
          <t>Visual survey</t>
        </is>
      </c>
      <c r="AH24" s="20" t="inlineStr">
        <is>
          <t>Multi-type</t>
        </is>
      </c>
      <c r="AI24" s="20" t="inlineStr">
        <is>
          <t>Intertidal / very shallow (&lt; 2 m)</t>
        </is>
      </c>
      <c r="AJ24" s="20" t="inlineStr">
        <is>
          <t>Sheltered</t>
        </is>
      </c>
      <c r="AK24" s="16" t="inlineStr">
        <is>
          <t>To compare the animals using your farm with those in nearby natural vegetation, sample the small mobile animals living on the plants within the farm, at its edge and at [2] nearby reference beds of wild seaweed or seagrass, bagging a fixed amount of plant material ([5] samples per location) and having a partner lab sort, identify and count everything retained on a 1 mm sieve. At each location also snorkel [several] 25 × 2 m belt transects at least 10 m apart, counting active fish on a first pass and hidden or bottom-sitting fish on a slower second pass, and group the fish by diet from a guide or FishBase. Repeat once a year and compare abundance, number of taxa, biomass and community make-up between farm and reference. One survey a year cannot separate a farm effect from natural differences between places, so choose reference beds of similar depth, exposure and plant type.</t>
        </is>
      </c>
      <c r="AL24" s="17" t="inlineStr">
        <is>
          <t>High</t>
        </is>
      </c>
      <c r="AM24" s="18" t="inlineStr">
        <is>
          <t>tano_2016_hb211</t>
        </is>
      </c>
      <c r="AN24" s="19" t="n"/>
      <c r="AO24" s="19" t="n"/>
      <c r="AP24" s="19" t="n"/>
      <c r="AQ24" s="16" t="inlineStr">
        <is>
          <t>Community-composition survey — Seaweed</t>
        </is>
      </c>
      <c r="AR24" s="16" t="inlineStr">
        <is>
          <t xml:space="preserve">Tano, Stina; Eggertsen, Maria; Wikström, Sofia A; Berkström, Charlotte; Buriyo, AS; Halling, Christina; </t>
        </is>
      </c>
      <c r="AS24" s="16" t="inlineStr">
        <is>
          <t>About natural seaweed beds, not farms — provides a reference baseline that a tropical farm could use as its wild comparator for Archetype 4 sampling.  |  Migration (one-indicator-per-row, 2026-09-04): split from tano_2016 -&gt; {tano_2016_hb111, tano_2016_hb211}. This row = tano_2016_hb211 (H&amp;B 2.1.1 — Community composition). Candidate: AK/N/Q blanked and I/K/W/O/P provisional; per-indicator method text, tier/cost/effort and match adjudication to be finalised at generation. Combined parent I/AK/N/Q retained in v37 (pre-split).  |  [2026-10-09 Rule 15 cost re-rate, batch 1] Framework basis: SW H&amp;B 2.1.1: 2 farm strata + 2 offsite refs; annual (1 visit); 4 locations × 1 visits × 3 replicates = 12. Quadrat epifauna + fish counts; gear inferred from method note. Prior O: 'Low — &lt;$500'.  |  [2026-10-13 method-summary pass] S: blank → 'Full PDF'. I, K: candidate-split text replaced after full read (prior: 'Maps to H&amp;B 2.1.1 — Community composition. Candidate split…' / 'Standalone-candidate…'). L: 'Yes for quadrat sampling and visual fish counts…' → Partial. W: '4 — Practitioner' → '3 — Partnership' (Rule 14b: tier follows the lab-sorted epifauna comparison). N, Q: blank → filled. O: 'Low — ~$540 yr 1: $440 start-up (…1 mm sieve $150…) + $100/yr (bags + preservative $100 [est])' → Medium; Rule 15 basis: SW H&amp;B 2.1.1 2 farm strata + 2 offsite refs; annual; 4 locations × 1 visit × 5 samples (source n) = 20 lab-sorted epifauna samples + UVC gear; sieve dropped (lab step). AK written; AL High (unchanged).  |  [2026-10-16 monitoring-methods pass] AT (Monitoring Methods) set from the protocol's method summary (AK): Visual census / belt transects, Epibiota on lines / structures.</t>
        </is>
      </c>
      <c r="AT24" s="20" t="inlineStr">
        <is>
          <t>Visual census / belt transects, Epibiota on lines / structures</t>
        </is>
      </c>
    </row>
    <row r="25" ht="240" customHeight="1">
      <c r="A25" s="3" t="inlineStr">
        <is>
          <t>Bernard, M., et al.</t>
        </is>
      </c>
      <c r="B25" s="3" t="inlineStr">
        <is>
          <t>Biodiversity monitoring in seaweed farms by DNA metabarcoding using settlement plates and water samples</t>
        </is>
      </c>
      <c r="C25" s="3" t="inlineStr">
        <is>
          <t>Wageningen Marine Research report C070/19</t>
        </is>
      </c>
      <c r="D25" s="3" t="n"/>
      <c r="E25" s="3" t="n"/>
      <c r="F25" s="3" t="n"/>
      <c r="G25" s="3" t="n">
        <v>2019</v>
      </c>
      <c r="H25" s="3" t="inlineStr">
        <is>
          <t>Wageningen Marine Research, Yerseke, The Netherlands</t>
        </is>
      </c>
      <c r="I25" s="3" t="inlineStr">
        <is>
          <t>Maps to H&amp;B 1.1.1 — Epibiota. 21 settlement plates (14 × 14 cm on vertical cultivation ropes at 1, 3 and 5 m; 22.5 × 5 cm strips on the lower horizontal line at 7 m) at seven positions in a one-line offshore sugar kelp farm (North Sea Innovation Lab, 12 km off Scheveningen), soaked Dec 2017–Jun/Jul 2018, retrieved by divers, frozen, scraped and homogenised; DNA metabarcoding with 18S V4 and COI markers (Illumina MiSeq) gave 134 taxa from 25 divisions. Match: Partial — metabarcoding gives presence only, no abundance; no edge or control plates.</t>
        </is>
      </c>
      <c r="J25" s="3" t="inlineStr">
        <is>
          <t>Protocol (Wageningen Marine Research technical report)</t>
        </is>
      </c>
      <c r="K25" s="3" t="inlineStr">
        <is>
          <t>Confirmed standalone (full read). Plates hung among the farmed kelp are the stationary collectors the Framework names, and two markers gave a broad taxa list (blue mussel dominant by eye; two non-native species) — usable for epibiota diversity (Partial: metabarcoding cannot quantify, so abundance comes from counts on the plates, which the report recommends for quantification).</t>
        </is>
      </c>
      <c r="L25" s="3" t="inlineStr">
        <is>
          <t>Yes — hanging plates on the grow lines and counting the settled organisms in the field with a hand lens and ID guide is farmer-doable; the source's metabarcoding (partner lab) is optional, for a full species list and non-native screening.</t>
        </is>
      </c>
      <c r="M25" s="3" t="inlineStr">
        <is>
          <t>Yes — protocol is fully specified.</t>
        </is>
      </c>
      <c r="N25" s="3" t="inlineStr">
        <is>
          <t>Settlement plates (14 × 14 cm on vertical cultivation ropes at 1, 3 and 5 m; 22.5 × 5 cm strips on the lower horizontal line at 7 m) fixed with cable ties; divers for retrieval; zip-lock bags, cool box, −80 °C freezer; partner-lab DNA extraction (PowerMax Soil kit), PCR with 18S V4 and COI primers, Illumina MiSeq sequencing (service provider); BLAST against NCBI.</t>
        </is>
      </c>
      <c r="O25" s="3" t="inlineStr">
        <is>
          <t>Low — ~$200 yr 1: $80 start-up (field ID kit $80 [est]) + $120/yr (settlement plate 12 × $10 [est])</t>
        </is>
      </c>
      <c r="P25" s="3" t="inlineStr">
        <is>
          <t>Multi-season (3–9 months) — plates deployed Dec 2017 and retrieved Jun–Jul 2018 (~6–7 months)</t>
        </is>
      </c>
      <c r="Q25" s="3" t="inlineStr">
        <is>
          <t>Presence/absence taxa lists per plate by marker (18S, COI), taxa counted by division; MDS of read numbers among plate positions (R); non-native screening against the Dutch species register. No abundance (metabarcoding is not quantitative).</t>
        </is>
      </c>
      <c r="R25" s="3" t="inlineStr">
        <is>
          <t>Yes — Open Access via Wageningen repository</t>
        </is>
      </c>
      <c r="S25" t="inlineStr">
        <is>
          <t>Full PDF</t>
        </is>
      </c>
      <c r="T25" s="3" t="inlineStr">
        <is>
          <t>https://edepot.wur.nl/496237 ; DOI 10.18174/496237</t>
        </is>
      </c>
      <c r="U25" s="3" t="inlineStr">
        <is>
          <t>Exploratory WMR trial at a one-line offshore test farm. Metabarcoding is presence-only and limited by reference databases (12.9% of 18S and 1.4% of COI sequence units assigned to genus or species); the report recommends two markers, baseline or control plates and morphological counts for abundance. Plates record settlement on clean surfaces over one soak, not the epibiota on the kelp itself.</t>
        </is>
      </c>
      <c r="V25" s="3" t="inlineStr">
        <is>
          <t>Original list</t>
        </is>
      </c>
      <c r="W25" s="10" t="inlineStr">
        <is>
          <t>4 — Practitioner</t>
        </is>
      </c>
      <c r="X25" s="3" t="inlineStr">
        <is>
          <t>Seaweed</t>
        </is>
      </c>
      <c r="Y25" s="3" t="inlineStr">
        <is>
          <t>Habitat &amp; Biodiversity</t>
        </is>
      </c>
      <c r="Z25" s="3" t="inlineStr">
        <is>
          <t>H&amp;B 1.1.1 — Epibiota</t>
        </is>
      </c>
      <c r="AA25" s="3" t="inlineStr">
        <is>
          <t>Temperate Atlantic</t>
        </is>
      </c>
      <c r="AB25" s="3" t="inlineStr">
        <is>
          <t>Not species-specific</t>
        </is>
      </c>
      <c r="AC25" s="3" t="inlineStr">
        <is>
          <t>Not gear-specific</t>
        </is>
      </c>
      <c r="AD25" s="3" t="inlineStr">
        <is>
          <t>Not scale-specific</t>
        </is>
      </c>
      <c r="AE25" s="3" t="inlineStr">
        <is>
          <t>Variable / seasonal</t>
        </is>
      </c>
      <c r="AF25" s="3" t="inlineStr">
        <is>
          <t>Not specific</t>
        </is>
      </c>
      <c r="AG25" s="3" t="inlineStr">
        <is>
          <t>Visual survey, eDNA</t>
        </is>
      </c>
      <c r="AH25" s="3" t="inlineStr">
        <is>
          <t>Not algae-specific</t>
        </is>
      </c>
      <c r="AI25" s="3" t="inlineStr">
        <is>
          <t>Not depth-specific</t>
        </is>
      </c>
      <c r="AJ25" s="3" t="inlineStr">
        <is>
          <t>Not exposure-specific</t>
        </is>
      </c>
      <c r="AK25" s="16" t="inlineStr">
        <is>
          <t>To track what settles among your seaweed, hang settlement plates (about 14 × 14 cm) on short drop lines from the grow lines at [1, 3 and 5 m] when the crop goes out: [6] within the farm and [6] at its edge. Lift [3] from each location at mid-season and the rest at harvest. Photograph both faces, then count and identify the settled organisms (mussels, barnacles, hydroids, tube-worms, bryozoans, sea squirts, seaweeds) with a hand lens and regional guide, scoring colonial forms as percent cover. Report counts per plate, the number of taxa and any non-native species, and compare farm with edge. For a fuller species list, freeze plates and send the scrapings for DNA metabarcoding (18S and COI markers), the source's method; it gives presence only. The source hung plates in the farm only, so the edge plates are added; plates show what colonises bare surfaces, not the growth on the kelp itself.</t>
        </is>
      </c>
      <c r="AL25" s="17" t="inlineStr">
        <is>
          <t>High</t>
        </is>
      </c>
      <c r="AM25" s="18" t="inlineStr">
        <is>
          <t>bernard_2019_hb111</t>
        </is>
      </c>
      <c r="AN25" s="19" t="n"/>
      <c r="AO25" s="19" t="n"/>
      <c r="AP25" s="19" t="n"/>
      <c r="AQ25" s="16" t="inlineStr">
        <is>
          <t>Epibiota / fouling survey — Seaweed</t>
        </is>
      </c>
      <c r="AR25" s="16" t="inlineStr">
        <is>
          <t xml:space="preserve">Bernard, MS; Tonk, L; de Groot, GA; Glorius, S; Jansen, HM; </t>
        </is>
      </c>
      <c r="AS25" s="16" t="inlineStr">
        <is>
          <t>Sister report to Tonk et al. 2021 (Row 56). Together they form the Wageningen "framework + protocol" pairing for European seaweed monitoring.  |  Migration (one-indicator-per-row, 2026-09-04): split from bernard_2019 -&gt; {bernard_2019_hb111, bernard_2019_hb211}. This row = bernard_2019_hb111 (H&amp;B 1.1.1 — Epibiota). Candidate: AK/N/Q blanked and I/K/W/O/P provisional; per-indicator method text, tier/cost/effort and match adjudication to be finalised at generation. Combined parent I/AK/N/Q retained in v37 (pre-split).  |  [2026-10-13 Rule 15 cost re-rate, batch 9] Framework basis: SW H&amp;B 1.1.1: within farm + edge; once per season (2 visits, single grow-out); 2 locations × 2 visits × 3 replicates = 12. Settlement plates hung from farm lines and counted in the field; lab fee waived (species counts / field-identifiable taxa); DNA metabarcoding gives presence only, so it is excluded as supplementary (as the metabarcoding route it would be about $1.4K, Medium). Field counts confirmed (Peter, 2026-10-13). Prior O: 'Medium–High — plates and racks Low; eDNA $30–50 per sample through service provider'.  |  [2026-10-15 method-summary pass] Full read (WUR eDepot, report C070/19). Citation: C blank → 'Wageningen Marine Research report C070/19'; H comma fixed; T → full-text link + DOI. S: blank → 'Full PDF'. I, K: candidate-split text replaced; Match Partial (metabarcoding presence-only; field counts added for abundance, edge plates added). L → Yes. W: '2 — Researcher' → '4 — Practitioner' (Rule 14; field counts with ID guide, no lab — Peter's field-count call 2026-10-13); fill → T4 lime. AG: 'eDNA' → 'Visual survey, eDNA'. N, Q, U: blank → filled. P: detail added. O unchanged (batch-9 field-count basis). AK written; AL Med → High. Peter's call (2026-10-15): Partial kept at T4.  |  [2026-10-16 monitoring-methods pass] AT (Monitoring Methods) set from the protocol's method summary (AK): Epibiota on lines / structures, Settlement plates / artificial substrata, Settlement-plate DNA metabarcoding.</t>
        </is>
      </c>
      <c r="AT25" s="20" t="inlineStr">
        <is>
          <t>Epibiota on lines / structures, Settlement plates / artificial substrata, Settlement-plate DNA metabarcoding</t>
        </is>
      </c>
    </row>
    <row r="26" ht="240" customHeight="1">
      <c r="A26" s="20" t="inlineStr">
        <is>
          <t>Bernard, M., et al.</t>
        </is>
      </c>
      <c r="B26" s="20" t="inlineStr">
        <is>
          <t>Biodiversity monitoring in seaweed farms by DNA metabarcoding using settlement plates and water samples</t>
        </is>
      </c>
      <c r="C26" s="20" t="inlineStr">
        <is>
          <t>Wageningen Marine Research report C070/19</t>
        </is>
      </c>
      <c r="D26" s="20" t="n"/>
      <c r="E26" s="20" t="n"/>
      <c r="F26" s="20" t="n"/>
      <c r="G26" s="20" t="n">
        <v>2019</v>
      </c>
      <c r="H26" s="20" t="inlineStr">
        <is>
          <t>Wageningen Marine Research, Yerseke, The Netherlands</t>
        </is>
      </c>
      <c r="I26" s="20" t="inlineStr">
        <is>
          <t>Maps to H&amp;B 2.1.1 — Community composition. Taxa lists from 21 settlement plates soaked Dec 2017–Jun/Jul 2018 in a one-line offshore sugar kelp farm (no control plates), and a water-eDNA pilot at an inshore Ulva/sugar kelp farm (Eastern Scheldt; 1 L surface samples at 2 farm positions and a control ~650 m away, N = 2 each); both by 18S + COI metabarcoding (presence only). Match: Partial — no farm-vs-reference comparison on plates; the water pilot detected no fish and the report advises against using water samples to compare positions.</t>
        </is>
      </c>
      <c r="J26" s="20" t="inlineStr">
        <is>
          <t>Protocol (Wageningen Marine Research technical report)</t>
        </is>
      </c>
      <c r="K26" s="20" t="inlineStr">
        <is>
          <t>Confirmed standalone (full read). The report was not designed to compare farm and control sites and names baseline or control plates (buoys, other hard structures or open water) as essential — usable for H&amp;B 2.1.1 only with reference plates added (Partial); plates capture settling organisms, not mobile fauna or infauna.</t>
        </is>
      </c>
      <c r="L26" s="20" t="inlineStr">
        <is>
          <t>Yes — plates on farm lines and on moorings at reference sites, counted in the field with a hand lens and ID guide, are farmer-doable; metabarcoding (partner lab) is optional.</t>
        </is>
      </c>
      <c r="M26" s="20" t="inlineStr">
        <is>
          <t>Yes — protocol is fully specified.</t>
        </is>
      </c>
      <c r="N26" s="20" t="inlineStr">
        <is>
          <t>Settlement plates (14 × 14 cm on vertical cultivation ropes at 1, 3 and 5 m; 22.5 × 5 cm strips on the lower horizontal line at 7 m) fixed with cable ties; divers for retrieval; zip-lock bags, cool box, −80 °C freezer; partner-lab DNA extraction (PowerMax Soil kit), PCR with 18S V4 and COI primers, Illumina MiSeq sequencing (service provider); BLAST against NCBI. Water pilot: 1 L bottles filled at 20–30 cm, Nalgene 0.8 µm CN filter units, DNeasy Blood &amp; Tissue kit.</t>
        </is>
      </c>
      <c r="O26" s="20" t="inlineStr">
        <is>
          <t>Low — ~$400 yr 1: $280 start-up (mooring ×2 $200 [est]; field ID kit $80 [est]) + $120/yr (settlement plate 12 × $10 [est])</t>
        </is>
      </c>
      <c r="P26" s="20" t="inlineStr">
        <is>
          <t>Multi-season (3–9 months) — plates soaked Dec 2017–Jun/Jul 2018 offshore; water eDNA pilot one day (Aug 2018) inshore</t>
        </is>
      </c>
      <c r="Q26" s="20" t="inlineStr">
        <is>
          <t>Presence/absence taxa lists by marker; MDS of plate read numbers (R); water samples (2 farm, 2 control) compared descriptively — no statistical test; non-native screening against the Dutch species register.</t>
        </is>
      </c>
      <c r="R26" s="20" t="inlineStr">
        <is>
          <t>Yes — Open Access via Wageningen repository</t>
        </is>
      </c>
      <c r="S26" s="21" t="inlineStr">
        <is>
          <t>Full PDF</t>
        </is>
      </c>
      <c r="T26" s="20" t="inlineStr">
        <is>
          <t>https://edepot.wur.nl/496237 ; DOI 10.18174/496237</t>
        </is>
      </c>
      <c r="U26" s="20" t="inlineStr">
        <is>
          <t>Water eDNA detected no fish although horse mackerel and sand smelt were filmed in the farm the same day; DNA in water may come from elsewhere, so the report advises against using water samples to compare positions. Plates show settlement on clean surfaces at farm vs reference sites, not the community of farmed vs wild seaweed.</t>
        </is>
      </c>
      <c r="V26" s="20" t="inlineStr">
        <is>
          <t>Original list</t>
        </is>
      </c>
      <c r="W26" s="10" t="inlineStr">
        <is>
          <t>4 — Practitioner</t>
        </is>
      </c>
      <c r="X26" s="20" t="inlineStr">
        <is>
          <t>Seaweed</t>
        </is>
      </c>
      <c r="Y26" s="20" t="inlineStr">
        <is>
          <t>Habitat &amp; Biodiversity</t>
        </is>
      </c>
      <c r="Z26" s="20" t="inlineStr">
        <is>
          <t>H&amp;B 2.1.1 — Community composition</t>
        </is>
      </c>
      <c r="AA26" s="20" t="inlineStr">
        <is>
          <t>Temperate Atlantic</t>
        </is>
      </c>
      <c r="AB26" s="20" t="inlineStr">
        <is>
          <t>Not species-specific</t>
        </is>
      </c>
      <c r="AC26" s="20" t="inlineStr">
        <is>
          <t>Not gear-specific</t>
        </is>
      </c>
      <c r="AD26" s="20" t="inlineStr">
        <is>
          <t>Not scale-specific</t>
        </is>
      </c>
      <c r="AE26" s="20" t="inlineStr">
        <is>
          <t>Variable / seasonal</t>
        </is>
      </c>
      <c r="AF26" s="20" t="inlineStr">
        <is>
          <t>Not specific</t>
        </is>
      </c>
      <c r="AG26" s="20" t="inlineStr">
        <is>
          <t>Visual survey, eDNA</t>
        </is>
      </c>
      <c r="AH26" s="20" t="inlineStr">
        <is>
          <t>Not algae-specific</t>
        </is>
      </c>
      <c r="AI26" s="20" t="inlineStr">
        <is>
          <t>Not depth-specific</t>
        </is>
      </c>
      <c r="AJ26" s="20" t="inlineStr">
        <is>
          <t>Not exposure-specific</t>
        </is>
      </c>
      <c r="AK26" s="16" t="inlineStr">
        <is>
          <t>To compare what settles at your seaweed farm with nearby open water, hang settlement plates (about 14 × 14 cm) at grow-line depth [1–5 m]: [3] on lines within the farm, [3] at its edge, and [3] on a mooring at each of [2] reference sites outside the farm's influence (open water, or a buoy or other structure at similar depth and exposure). Deploy all plates on the same day and lift them together once a year near harvest. Photograph both faces, count and identify the settled organisms with a hand lens and regional guide (colonial forms as percent cover), and compare abundance, number of taxa and species mix between farm and reference plates. Metabarcoding the scrapings adds small and cryptic taxa and non-native species, but presence only. The source had no reference plates (the report names them as the missing control), and its water-eDNA pilot missed fish filmed in the farm the same day, so this covers settling organisms only.</t>
        </is>
      </c>
      <c r="AL26" s="17" t="inlineStr">
        <is>
          <t>High</t>
        </is>
      </c>
      <c r="AM26" s="18" t="inlineStr">
        <is>
          <t>bernard_2019_hb211</t>
        </is>
      </c>
      <c r="AN26" s="19" t="n"/>
      <c r="AO26" s="19" t="n"/>
      <c r="AP26" s="19" t="n"/>
      <c r="AQ26" s="16" t="inlineStr">
        <is>
          <t>Community-composition survey — Seaweed</t>
        </is>
      </c>
      <c r="AR26" s="16" t="inlineStr">
        <is>
          <t xml:space="preserve">Bernard, MS; Tonk, L; de Groot, GA; Glorius, S; Jansen, HM; </t>
        </is>
      </c>
      <c r="AS26" s="16" t="inlineStr">
        <is>
          <t>Sister report to Tonk et al. 2021 (Row 56). Together they form the Wageningen "framework + protocol" pairing for European seaweed monitoring.  |  Migration (one-indicator-per-row, 2026-09-04): split from bernard_2019 -&gt; {bernard_2019_hb111, bernard_2019_hb211}. This row = bernard_2019_hb211 (H&amp;B 2.1.1 — Community composition). Candidate: AK/N/Q blanked and I/K/W/O/P provisional; per-indicator method text, tier/cost/effort and match adjudication to be finalised at generation. Combined parent I/AK/N/Q retained in v37 (pre-split).  |  [2026-10-13 Rule 15 cost re-rate, batch 9] Framework basis: SW H&amp;B 2.1.1: 2 farm strata + 2 offsite refs; annual (1 visit); 4 locations × 1 visits × 3 replicates = 12. Settlement plates on farm lines and on moorings at the 2 reference sites, counted in the field; lab fee waived (species counts / field-identifiable taxa); plate and water-sample metabarcoding excluded as supplementary (presence only). Field counts confirmed (Peter, 2026-10-13). Prior O: 'Medium–High — plates and racks Low; eDNA $30–50 per sample through service provider'.  |  [2026-10-15 method-summary pass] Full read (WUR eDepot, report C070/19). Citation: C, H, T fixed as hb111. S: blank → 'Full PDF'. I, K: candidate-split text replaced; Match Partial (no reference plates in source — added as the report's recommended control; field counts for abundance). L → Yes. W: '2 — Researcher' → '4 — Practitioner' (Rule 14; field counts, no lab); fill → T4 lime. AG: 'eDNA' → 'Visual survey, eDNA'. N, Q, U: blank → filled. P: detail added. O unchanged (batch-9 basis: plates at farm, edge and 2 reference moorings). AK written; AL Med → High. Peter's call (2026-10-15): Partial kept at T4.  |  [2026-10-16 monitoring-methods pass] AT (Monitoring Methods) set from the protocol's method summary (AK): Continuous moored sensors, Epibiota on lines / structures, Settlement plates / artificial substrata, Settlement-plate DNA metabarcoding.</t>
        </is>
      </c>
      <c r="AT26" s="20" t="inlineStr">
        <is>
          <t>Continuous moored sensors, Epibiota on lines / structures, Settlement plates / artificial substrata, Settlement-plate DNA metabarcoding</t>
        </is>
      </c>
    </row>
    <row r="27" ht="240" customHeight="1">
      <c r="A27" s="3" t="inlineStr">
        <is>
          <t>Hehre, E. J. &amp; Meeuwig, J.</t>
        </is>
      </c>
      <c r="B27" s="3" t="inlineStr">
        <is>
          <t>Differential response of fish assemblages to coral reef-based seaweed farming</t>
        </is>
      </c>
      <c r="C27" s="3" t="inlineStr">
        <is>
          <t>PLoS One</t>
        </is>
      </c>
      <c r="D27" s="3" t="n">
        <v>10</v>
      </c>
      <c r="E27" s="3" t="n">
        <v>3</v>
      </c>
      <c r="F27" s="3" t="inlineStr">
        <is>
          <t>e0118838</t>
        </is>
      </c>
      <c r="G27" s="3" t="n">
        <v>2015</v>
      </c>
      <c r="H27" s="3" t="inlineStr">
        <is>
          <t>Public Library of Science San Francisco, CA USA</t>
        </is>
      </c>
      <c r="I27" s="3" t="inlineStr">
        <is>
          <t>Maps to H&amp;B 1.2.1 — Mobile fauna. Snorkel belt-transect visual census (20 × 5 m) counts, identifies and sizes reef fish on seaweed farms; biomass from length–weight relationships. Match: Exact.</t>
        </is>
      </c>
      <c r="J27" s="3" t="inlineStr">
        <is>
          <t>Protocol (empirical, fully specified, large-scale visual fish surveys)</t>
        </is>
      </c>
      <c r="K27" s="3" t="inlineStr">
        <is>
          <t>Confirmed standalone (full read). GENUINE T4: underwater visual fish census (UVC) via free-diving belt transects is a recognised practitioner / citizen-science method (no SCUBA, no lab, no invertebrate taxonomy). Directly measures mobile-fauna (fish) abundance, species richness, and diversity — robust for H&amp;B 1.2.1 (Exact). Simple summaries suffice; the source's PERMANOVA/PCO/SIMPER is an optional partner-supported extension (stats fork).</t>
        </is>
      </c>
      <c r="L27" s="3" t="inlineStr">
        <is>
          <t>Yes for the visual-transect work — accessible to a snorkelling/SCUBA farmer with basic fish-ID training in tropical coral reef settings.</t>
        </is>
      </c>
      <c r="M27" s="3" t="inlineStr">
        <is>
          <t>Yes — design and statistical handling well specified.</t>
        </is>
      </c>
      <c r="N27" s="3" t="inlineStr">
        <is>
          <t>Snorkel / mask / fins (free-diving — no SCUBA); 20 m belt-transect tape (20 × 5 m transects); underwater slate / waterproof datasheet; local fish ID guide; metal fish cut-outs for length-estimation training; length–weight relationships (FishBase) for biomass; a spreadsheet for totals. (PRIMER v6 or R only for the optional multivariate comparison.)</t>
        </is>
      </c>
      <c r="O27" s="3" t="inlineStr">
        <is>
          <t>Low — ~$260 yr 1: $260 start-up (snorkel set $150 [est]; transect tape $40 [est]; slate + datasheets $40 [est]; fish ID guide $30 [est]) + no recurring cost</t>
        </is>
      </c>
      <c r="P27" s="3" t="inlineStr">
        <is>
          <t>Short campaign (days to 2 weeks)</t>
        </is>
      </c>
      <c r="Q27" s="3" t="inlineStr">
        <is>
          <t>Fish species richness, abundance and biomass per transect; PERMANOVA, PCO and SIMPER in PRIMER v6 as an optional partner extension.</t>
        </is>
      </c>
      <c r="R27" s="3" t="inlineStr">
        <is>
          <t>Yes — Open Access (PLoS ONE)</t>
        </is>
      </c>
      <c r="S27" t="inlineStr">
        <is>
          <t>Full PDF</t>
        </is>
      </c>
      <c r="T27" s="3" t="inlineStr">
        <is>
          <t>https://journals.plos.org/plosone/article?id=10.1371/journal.pone.0118838</t>
        </is>
      </c>
      <c r="U27" s="3" t="inlineStr">
        <is>
          <t>Counter-finding: these farms reduced rather than raised fish diversity, especially near marine protected areas - a caution for siting. [2026-09-08 Evaluator full-read refresh] Tier T4 CONFIRMED — first genuine H&amp;B T4. Field method = snorkel UVC belt transects, farmer-runnable; multivariate stats optional. Equipment filled. Indicators H&amp;B 1.2.1 + 2.1.1 confirmed.</t>
        </is>
      </c>
      <c r="V27" s="3" t="inlineStr">
        <is>
          <t>Original list</t>
        </is>
      </c>
      <c r="W27" s="10" t="inlineStr">
        <is>
          <t>4 — Practitioner</t>
        </is>
      </c>
      <c r="X27" s="3" t="inlineStr">
        <is>
          <t>Seaweed</t>
        </is>
      </c>
      <c r="Y27" s="3" t="inlineStr">
        <is>
          <t>Habitat &amp; Biodiversity</t>
        </is>
      </c>
      <c r="Z27" s="3" t="inlineStr">
        <is>
          <t>H&amp;B 1.2.1 — Mobile fauna</t>
        </is>
      </c>
      <c r="AA27" s="3" t="inlineStr">
        <is>
          <t>Tropical</t>
        </is>
      </c>
      <c r="AB27" s="3" t="inlineStr">
        <is>
          <t>Kappaphycus / Eucheuma</t>
        </is>
      </c>
      <c r="AC27" s="3" t="inlineStr">
        <is>
          <t>Off-bottom (monoline / pegs)</t>
        </is>
      </c>
      <c r="AD27" s="3" t="inlineStr">
        <is>
          <t>Multi-farm regional</t>
        </is>
      </c>
      <c r="AE27" s="3" t="inlineStr">
        <is>
          <t>Clear (visual methods feasible)</t>
        </is>
      </c>
      <c r="AF27" s="3" t="inlineStr">
        <is>
          <t>Monoculture</t>
        </is>
      </c>
      <c r="AG27" s="3" t="inlineStr">
        <is>
          <t>Visual survey</t>
        </is>
      </c>
      <c r="AH27" s="3" t="inlineStr">
        <is>
          <t>Red</t>
        </is>
      </c>
      <c r="AI27" s="3" t="inlineStr">
        <is>
          <t>Shallow nearshore (2–10 m)</t>
        </is>
      </c>
      <c r="AJ27" s="3" t="inlineStr">
        <is>
          <t>Sheltered</t>
        </is>
      </c>
      <c r="AK27" s="16" t="inlineStr">
        <is>
          <t>To record the fish using your farm, snorkel [5] belt transects of 20 × 5 m at random starting points at least 5 m apart within the farm and its edge, only when you can see at least 5 m ahead and to the side. Swim slowly along each tape, identifying, counting and estimating the length of every fish inside the belt, with a slower second pass for hidden or bottom-sitting fish where numbers are high (practise length estimates first with fish-shaped cut-outs of known size). Convert lengths to weight with published length–weight relationships (e.g. FishBase) and summarise species richness, abundance and biomass per transect. Repeat once per season with the same trained observer and at similar tide and visibility.</t>
        </is>
      </c>
      <c r="AL27" s="17" t="inlineStr">
        <is>
          <t>High</t>
        </is>
      </c>
      <c r="AM27" s="18" t="inlineStr">
        <is>
          <t>hehre_2015_hb121</t>
        </is>
      </c>
      <c r="AN27" s="19" t="n"/>
      <c r="AO27" s="19" t="n"/>
      <c r="AP27" s="19" t="n"/>
      <c r="AQ27" s="16" t="inlineStr">
        <is>
          <t>Mobile-fauna monitoring — Seaweed</t>
        </is>
      </c>
      <c r="AR27" s="16" t="inlineStr">
        <is>
          <t xml:space="preserve">Hehre, E James; Meeuwig, JJ; </t>
        </is>
      </c>
      <c r="AS27" s="16" t="inlineStr">
        <is>
          <t>Important tropical counter-finding: seaweed farms reduced rather than enhanced fish diversity, especially near MPAs. Worth pairing with Hehre 2016 (PLoS ONE follow-up on siganid catch) for a fuller picture.  |  Migration (one-indicator-per-row, 2026-09-04): split from hehre_2015 -&gt; {hehre_2015_hb121, hehre_2015_hb211}. This row = hehre_2015_hb121 (H&amp;B 1.2.1 — Mobile fauna). Candidate: AK/N/Q blanked and I/K/W/O/P provisional; per-indicator method text, tier/cost/effort and match adjudication to be finalised at generation. Combined parent I/AK/N/Q retained in v37 (pre-split).  |  [2026-10-09 Rule 15 cost re-rate, batch 1] Framework basis: SW H&amp;B 1.2.1: within farm + edge; once per season (2 visits); 2 locations × 2 visits × 3 replicates = 12. UVC gear only. Prior O: 'Low — &lt;$500'.  |  [2026-10-13 method-summary pass] I: candidate-split text replaced (prior: 'Maps to H&amp;B 1.2.1 — Mobile fauna. Candidate split…'); K already confirmed at the 2026-09-08 full read. Q: blank → filled from the 2026-09-08 full-read notes. AK written from the 2026-09-08 full-read notes (N, K) plus the abstract — PMC full text blocked by a reCAPTCHA on 2026-10-13, so not re-read; AL: 'High' → 'Med' until the PDF is re-read. O unchanged (gear only).  |  [2026-10-13 method-summary pass] AK revised after reading the uploaded PDF: 5 transects per site (not 15 per location), random starts ≥5 m apart, visibility ≥5 m, optional second pass for cryptic fish. AL: 'Med' → 'High'.  |  [2026-10-16 monitoring-methods pass] AT (Monitoring Methods) set from the protocol's method summary (AK): Visual census / belt transects.</t>
        </is>
      </c>
      <c r="AT27" s="20" t="inlineStr">
        <is>
          <t>Visual census / belt transects</t>
        </is>
      </c>
    </row>
    <row r="28" ht="240" customHeight="1">
      <c r="A28" s="20" t="inlineStr">
        <is>
          <t>Hehre, E. J. &amp; Meeuwig, J.</t>
        </is>
      </c>
      <c r="B28" s="20" t="inlineStr">
        <is>
          <t>Differential response of fish assemblages to coral reef-based seaweed farming</t>
        </is>
      </c>
      <c r="C28" s="20" t="inlineStr">
        <is>
          <t>PLoS One</t>
        </is>
      </c>
      <c r="D28" s="20" t="n">
        <v>10</v>
      </c>
      <c r="E28" s="20" t="n">
        <v>3</v>
      </c>
      <c r="F28" s="20" t="inlineStr">
        <is>
          <t>e0118838</t>
        </is>
      </c>
      <c r="G28" s="20" t="n">
        <v>2015</v>
      </c>
      <c r="H28" s="20" t="inlineStr">
        <is>
          <t>Public Library of Science San Francisco, CA USA</t>
        </is>
      </c>
      <c r="I28" s="20" t="inlineStr">
        <is>
          <t>Maps to H&amp;B 2.1.1 — Community composition. The same snorkel UVC run on seaweed farms, adjacent to them and at distant reference sites (210 transects at 14 locations) compares fish assemblages. Match: Partial — fish only; comparative.</t>
        </is>
      </c>
      <c r="J28" s="20" t="inlineStr">
        <is>
          <t>Protocol (empirical, fully specified, large-scale visual fish surveys)</t>
        </is>
      </c>
      <c r="K28" s="20" t="inlineStr">
        <is>
          <t>Confirmed standalone (full read). Compares the fish assemblage between seaweed-farm and reference sites — robust for H&amp;B 2.1.1 (Partial; comparative). Simple assemblage tables are practitioner-doable (T4); the multivariate comparison is an optional partner extension.</t>
        </is>
      </c>
      <c r="L28" s="20" t="inlineStr">
        <is>
          <t>Yes for the visual-transect work — accessible to a snorkelling/SCUBA farmer with basic fish-ID training in tropical coral reef settings.</t>
        </is>
      </c>
      <c r="M28" s="20" t="inlineStr">
        <is>
          <t>Yes — design and statistical handling well specified.</t>
        </is>
      </c>
      <c r="N28" s="20" t="inlineStr">
        <is>
          <t>Same as hehre_2015_hb121 — UVC belt transects run at seaweed-farm, adjacent, and far/reference sites; a simple farm-vs-reference assemblage comparison for the practitioner version, with PERMANOVA/PCO/SIMPER (PRIMER v6) as an optional partner extension.</t>
        </is>
      </c>
      <c r="O28" s="20" t="inlineStr">
        <is>
          <t>Low — ~$260 yr 1: $260 start-up (snorkel set $150 [est]; transect tape $40 [est]; slate + datasheets $40 [est]; fish ID guide $30 [est]) + no recurring cost</t>
        </is>
      </c>
      <c r="P28" s="20" t="inlineStr">
        <is>
          <t>Short campaign (days to 2 weeks)</t>
        </is>
      </c>
      <c r="Q28" s="20" t="inlineStr">
        <is>
          <t>Farm vs adjacent vs distant comparison of fish richness, abundance and biomass; PERMANOVA, PCO and SIMPER (PRIMER v6) as an optional partner extension.</t>
        </is>
      </c>
      <c r="R28" s="20" t="inlineStr">
        <is>
          <t>Yes — Open Access (PLoS ONE)</t>
        </is>
      </c>
      <c r="S28" s="21" t="inlineStr">
        <is>
          <t>Full PDF</t>
        </is>
      </c>
      <c r="T28" s="20" t="inlineStr">
        <is>
          <t>https://journals.plos.org/plosone/article?id=10.1371/journal.pone.0118838</t>
        </is>
      </c>
      <c r="U28" s="20" t="inlineStr">
        <is>
          <t>Counter-finding: these farms reduced rather than raised fish diversity, especially near marine protected areas - a caution for siting. [2026-09-08 Evaluator full-read refresh] T4 field method (snorkel UVC); superset — inlines the UVC survey run at farm + reference. Rigorous multivariate comparison is an optional partner extension. Indicators confirmed.</t>
        </is>
      </c>
      <c r="V28" s="20" t="inlineStr">
        <is>
          <t>Original list</t>
        </is>
      </c>
      <c r="W28" s="10" t="inlineStr">
        <is>
          <t>4 — Practitioner</t>
        </is>
      </c>
      <c r="X28" s="20" t="inlineStr">
        <is>
          <t>Seaweed</t>
        </is>
      </c>
      <c r="Y28" s="20" t="inlineStr">
        <is>
          <t>Habitat &amp; Biodiversity</t>
        </is>
      </c>
      <c r="Z28" s="20" t="inlineStr">
        <is>
          <t>H&amp;B 2.1.1 — Community composition</t>
        </is>
      </c>
      <c r="AA28" s="20" t="inlineStr">
        <is>
          <t>Tropical</t>
        </is>
      </c>
      <c r="AB28" s="20" t="inlineStr">
        <is>
          <t>Kappaphycus / Eucheuma</t>
        </is>
      </c>
      <c r="AC28" s="20" t="inlineStr">
        <is>
          <t>Off-bottom (monoline / pegs)</t>
        </is>
      </c>
      <c r="AD28" s="20" t="inlineStr">
        <is>
          <t>Multi-farm regional</t>
        </is>
      </c>
      <c r="AE28" s="20" t="inlineStr">
        <is>
          <t>Clear (visual methods feasible)</t>
        </is>
      </c>
      <c r="AF28" s="20" t="inlineStr">
        <is>
          <t>Monoculture</t>
        </is>
      </c>
      <c r="AG28" s="20" t="inlineStr">
        <is>
          <t>Visual survey</t>
        </is>
      </c>
      <c r="AH28" s="20" t="inlineStr">
        <is>
          <t>Red</t>
        </is>
      </c>
      <c r="AI28" s="20" t="inlineStr">
        <is>
          <t>Shallow nearshore (2–10 m)</t>
        </is>
      </c>
      <c r="AJ28" s="20" t="inlineStr">
        <is>
          <t>Sheltered</t>
        </is>
      </c>
      <c r="AK28" s="16" t="inlineStr">
        <is>
          <t>To compare the fish on your farm with the surrounding reef, run the same snorkel belt-transect census (20 × 5 m belts, random starts at least 5 m apart, visibility at least 5 m; identify, count and size every fish) at [5] transects in each of three sites: inside the farm, immediately next to it and at a distant reference site of similar depth and habitat. Average per site and compare species richness, abundance, biomass and the species mix; a partner can add multivariate tests (PERMANOVA, ordination, SIMPER) to show which species drive the differences. Repeat once a year, at [several] farms if you can. Nearby protected areas or destructive fishing strongly shape reference fish communities, so note them when choosing reference sites.</t>
        </is>
      </c>
      <c r="AL28" s="17" t="inlineStr">
        <is>
          <t>High</t>
        </is>
      </c>
      <c r="AM28" s="18" t="inlineStr">
        <is>
          <t>hehre_2015_hb211</t>
        </is>
      </c>
      <c r="AN28" s="19" t="n"/>
      <c r="AO28" s="19" t="n"/>
      <c r="AP28" s="19" t="n"/>
      <c r="AQ28" s="16" t="inlineStr">
        <is>
          <t>Community-composition survey — Seaweed</t>
        </is>
      </c>
      <c r="AR28" s="16" t="inlineStr">
        <is>
          <t xml:space="preserve">Hehre, E James; Meeuwig, JJ; </t>
        </is>
      </c>
      <c r="AS28" s="16" t="inlineStr">
        <is>
          <t>Important tropical counter-finding: seaweed farms reduced rather than enhanced fish diversity, especially near MPAs. Worth pairing with Hehre 2016 (PLoS ONE follow-up on siganid catch) for a fuller picture.  |  Migration (one-indicator-per-row, 2026-09-04): split from hehre_2015 -&gt; {hehre_2015_hb121, hehre_2015_hb211}. This row = hehre_2015_hb211 (H&amp;B 2.1.1 — Community composition). Candidate: AK/N/Q blanked and I/K/W/O/P provisional; per-indicator method text, tier/cost/effort and match adjudication to be finalised at generation. Combined parent I/AK/N/Q retained in v37 (pre-split).  |  [2026-10-09 Rule 15 cost re-rate, batch 1] Framework basis: SW H&amp;B 2.1.1: 2 farm strata + 2 offsite refs; annual (1 visit); 4 locations × 1 visits × 3 replicates = 12. UVC gear only. Prior O: 'Low — &lt;$500'.  |  [2026-10-13 method-summary pass] I: candidate-split text replaced (prior: 'Maps to H&amp;B 2.1.1 — Community composition. Candidate split…'); K already confirmed at the 2026-09-08 full read. Q: blank → filled from the 2026-09-08 full-read notes. AK written from the 2026-09-08 full-read notes plus the abstract (PMC blocked 2026-10-13); AL: 'High' → 'Med' until re-read. O unchanged (gear only).  |  [2026-10-13 method-summary pass] AK revised after reading the uploaded PDF (5 transects per site at farm, adjacent and distant). AL: 'Med' → 'High'.  |  [2026-10-16 monitoring-methods pass] AT (Monitoring Methods) set from the protocol's method summary (AK): Visual census / belt transects.</t>
        </is>
      </c>
      <c r="AT28" s="20" t="inlineStr">
        <is>
          <t>Visual census / belt transects</t>
        </is>
      </c>
    </row>
    <row r="29" ht="240" customHeight="1">
      <c r="A29" s="3" t="inlineStr">
        <is>
          <t>Anyango, J. O., et al.</t>
        </is>
      </c>
      <c r="B29" s="3" t="inlineStr">
        <is>
          <t>Abundance, diversity and trophic status of wild fish around seaweed farms in Kibuyuni, South Coast Kenya</t>
        </is>
      </c>
      <c r="C29" s="3" t="inlineStr">
        <is>
          <t>International Journal of Fisheries and Aquatic Studies</t>
        </is>
      </c>
      <c r="D29" s="3" t="n">
        <v>5</v>
      </c>
      <c r="E29" s="3" t="n">
        <v>3</v>
      </c>
      <c r="F29" s="3" t="inlineStr">
        <is>
          <t>440-446</t>
        </is>
      </c>
      <c r="G29" s="3" t="n">
        <v>2017</v>
      </c>
      <c r="H29" s="3" t="n"/>
      <c r="I29" s="3" t="inlineStr">
        <is>
          <t>Maps to H&amp;B 1.2.1 — Mobile fauna. Baited basket traps and a snorkel visual census along 12 × 2 m transects count and identify the wild fish at the farm. Match: Exact.</t>
        </is>
      </c>
      <c r="J29" s="3" t="inlineStr">
        <is>
          <t>Protocol (empirical, fully specified)</t>
        </is>
      </c>
      <c r="K29" s="3" t="inlineStr">
        <is>
          <t>Confirmed standalone (full read). Three traps per site set for ~24 h on four consecutive days a month (Sep–Jul), plus 20-minute snorkel censuses, give species counts, relative abundance, Shannon H' and Pielou J' — robust for H&amp;B 1.2.1 (Exact). Traps and visual counts disagreed on where fish were more abundant, so the protocol keeps both; the stomach-content (trophic) analysis is outside the indicator and is dropped.</t>
        </is>
      </c>
      <c r="L29" s="3" t="inlineStr">
        <is>
          <t>Yes — baited basket traps and snorkel visual counts with a fish ID guide are practitioner methods. The source's stomach-content analysis (dissecting microscope, partner lab) sits outside the indicator and is not part of this protocol.</t>
        </is>
      </c>
      <c r="M29" s="3" t="inlineStr">
        <is>
          <t>Yes — fully specified.</t>
        </is>
      </c>
      <c r="N29" s="3" t="inlineStr">
        <is>
          <t>Traditional basket valve traps ('malema'; 3 per location; a commercial collapsible fish trap is an adequate stand-in) with stone anchors and marker buoys; locally collected bait (seagrass, benthic algae, brittle stars, sponge); snorkel gear; 12 m transect tape; underwater slate; regional fish ID keys.</t>
        </is>
      </c>
      <c r="O29" s="3" t="inlineStr">
        <is>
          <t>Low — ~$710 yr 1: $706 start-up (fish trap ×6 $446 [list]; snorkel set $150 [est]; transect tape $40 [est]; slate + datasheets $40 [est]; fish ID guide $30 [est]) + no recurring cost</t>
        </is>
      </c>
      <c r="P29" s="3" t="inlineStr">
        <is>
          <t>Year-long study (12 months)</t>
        </is>
      </c>
      <c r="Q29" s="3" t="inlineStr">
        <is>
          <t>Relative abundance (%) per species; Shannon-Wiener H' and Pielou J' (PAST, Excel).</t>
        </is>
      </c>
      <c r="R29" s="3" t="inlineStr">
        <is>
          <t>Yes — open access via Int. J. Fish. Aquat. Stud.</t>
        </is>
      </c>
      <c r="S29" t="inlineStr">
        <is>
          <t>Full PDF</t>
        </is>
      </c>
      <c r="T29" s="3" t="inlineStr">
        <is>
          <t>https://www.fisheriesjournal.com/archives/?year=2017&amp;vol=5&amp;issue=3&amp;part=F&amp;ArticleId=1253</t>
        </is>
      </c>
      <c r="U29" s="3" t="n"/>
      <c r="V29" s="3" t="inlineStr">
        <is>
          <t>Original list</t>
        </is>
      </c>
      <c r="W29" s="10" t="inlineStr">
        <is>
          <t>4 — Practitioner</t>
        </is>
      </c>
      <c r="X29" s="3" t="inlineStr">
        <is>
          <t>Seaweed</t>
        </is>
      </c>
      <c r="Y29" s="3" t="inlineStr">
        <is>
          <t>Habitat &amp; Biodiversity</t>
        </is>
      </c>
      <c r="Z29" s="3" t="inlineStr">
        <is>
          <t>H&amp;B 1.2.1 — Mobile fauna</t>
        </is>
      </c>
      <c r="AA29" s="3" t="inlineStr">
        <is>
          <t>Tropical</t>
        </is>
      </c>
      <c r="AB29" s="3" t="inlineStr">
        <is>
          <t>Kappaphycus / Eucheuma</t>
        </is>
      </c>
      <c r="AC29" s="3" t="inlineStr">
        <is>
          <t>Off-bottom (monoline / pegs)</t>
        </is>
      </c>
      <c r="AD29" s="3" t="inlineStr">
        <is>
          <t>Small (&lt;1 ha)</t>
        </is>
      </c>
      <c r="AE29" s="3" t="inlineStr">
        <is>
          <t>Clear (visual methods feasible)</t>
        </is>
      </c>
      <c r="AF29" s="3" t="inlineStr">
        <is>
          <t>Monoculture</t>
        </is>
      </c>
      <c r="AG29" s="3" t="inlineStr">
        <is>
          <t>Visual survey</t>
        </is>
      </c>
      <c r="AH29" s="3" t="inlineStr">
        <is>
          <t>Red</t>
        </is>
      </c>
      <c r="AI29" s="3" t="inlineStr">
        <is>
          <t>Intertidal / very shallow (&lt; 2 m)</t>
        </is>
      </c>
      <c r="AJ29" s="3" t="inlineStr">
        <is>
          <t>Sheltered</t>
        </is>
      </c>
      <c r="AK29" s="16" t="inlineStr">
        <is>
          <t>To measure the wild fish using your farm, set [3] baited basket traps at about 1 m depth within the farm and [3] along its seaward edge on a rising tide, anchoring and buoying each and baiting with locally used bait (seagrass, algae, brittle stars), then empty them on the next day's falling tide; re-bait and reset in the same spots for [4] consecutive days. On the same visit, snorkel a fixed 12 × 2 m transect at each location for 20 minutes, recording every species and an approximate count on a slate. Identify the catch with a regional fish guide, count individuals per species, and summarise relative abundance, species richness and Shannon diversity and evenness. Repeat once per season; traps and visual counts can give opposite pictures (fish with plenty of food on the farm are less drawn to bait), so report both rather than one.</t>
        </is>
      </c>
      <c r="AL29" s="17" t="inlineStr">
        <is>
          <t>High</t>
        </is>
      </c>
      <c r="AM29" s="18" t="inlineStr">
        <is>
          <t>anyango_2017_hb121</t>
        </is>
      </c>
      <c r="AN29" s="19" t="n"/>
      <c r="AO29" s="19" t="n"/>
      <c r="AP29" s="19" t="n"/>
      <c r="AQ29" s="16" t="inlineStr">
        <is>
          <t>Mobile-fauna monitoring — Seaweed</t>
        </is>
      </c>
      <c r="AR29" s="16" t="inlineStr">
        <is>
          <t xml:space="preserve">Anyango, James Ochieng; Mlewa, Chrisestom Mwatete; Mwaluma, James; </t>
        </is>
      </c>
      <c r="AS29" s="16" t="inlineStr">
        <is>
          <t>Tropical (East African) counterpart to Hehre 2015. Cited in Schutt 2023 and Theuerkauf 2022 as one of the foundational positive-effect studies in tropical seaweed-farm habitat literature.  |  Migration (one-indicator-per-row, 2026-09-04): split from anyango_2017 -&gt; {anyango_2017_hb121, anyango_2017_hb211}. This row = anyango_2017_hb121 (H&amp;B 1.2.1 — Mobile fauna). Candidate: AK/N/Q blanked and I/K/W/O/P provisional; per-indicator method text, tier/cost/effort and match adjudication to be finalised at generation. Combined parent I/AK/N/Q retained in v37 (pre-split).  |  [2026-10-09 Rule 15 cost re-rate, batch 1] Framework basis: SW H&amp;B 1.2.1: within farm + edge; once per season (2 visits); 2 locations × 2 visits × 3 replicates = 12. Traps + UVC, one trap set per location; gut-content analysis excluded; gear inferred from method note. Prior O: 'Low — &lt;$500'.  |  [2026-10-13 method-summary pass] S: blank → 'Full PDF'. I, K: candidate-split text replaced after full read (prior: 'Maps to H&amp;B 1.2.1 — Mobile fauna. Candidate split…' / 'Standalone-candidate…'). L: 'Yes — basic traps + UVC + gut-content dissection are practitioner-grade methods…' → gut-content step marked out of scope (it needs a dissecting microscope and lab). N, Q: blank → filled. AI: 'Shallow nearshore (2–10 m)' → 'Intertidal / very shallow (&lt; 2 m)' (intertidal reef flat, ~0.1 m at low tide, 3.2 m at high tide; traps at ~1 m). O unchanged: source n = 3 traps per site matches the batch-1 basis. AK written; AL High (unchanged).  |  [2026-10-16 monitoring-methods pass] AT (Monitoring Methods) set from the protocol's method summary (AK): Visual census / belt transects, Nets &amp; baited traps.</t>
        </is>
      </c>
      <c r="AT29" s="20" t="inlineStr">
        <is>
          <t>Visual census / belt transects, Nets &amp; baited traps</t>
        </is>
      </c>
    </row>
    <row r="30" ht="240" customHeight="1">
      <c r="A30" s="20" t="inlineStr">
        <is>
          <t>Anyango, J. O., et al.</t>
        </is>
      </c>
      <c r="B30" s="20" t="inlineStr">
        <is>
          <t>Abundance, diversity and trophic status of wild fish around seaweed farms in Kibuyuni, South Coast Kenya</t>
        </is>
      </c>
      <c r="C30" s="20" t="inlineStr">
        <is>
          <t>International Journal of Fisheries and Aquatic Studies</t>
        </is>
      </c>
      <c r="D30" s="20" t="n">
        <v>5</v>
      </c>
      <c r="E30" s="20" t="n">
        <v>3</v>
      </c>
      <c r="F30" s="20" t="inlineStr">
        <is>
          <t>440-446</t>
        </is>
      </c>
      <c r="G30" s="20" t="n">
        <v>2017</v>
      </c>
      <c r="H30" s="20" t="n"/>
      <c r="I30" s="20" t="inlineStr">
        <is>
          <t>Maps to H&amp;B 2.1.1 — Community composition. Farmed vs unfarmed site comparison of trap and snorkel-census fish data (abundance, species composition, diversity). Match: Partial — fish only; comparative, one unfarmed control.</t>
        </is>
      </c>
      <c r="J30" s="20" t="inlineStr">
        <is>
          <t>Protocol (empirical, fully specified)</t>
        </is>
      </c>
      <c r="K30" s="20" t="inlineStr">
        <is>
          <t>Confirmed standalone (full read). Compares fish abundance, species composition, Shannon H' and Pielou J' between a farmed site and an unfarmed site ~500 m away using traps and snorkel UVC — robust for H&amp;B 2.1.1 (Partial; comparative, single control; the Framework minimum adds a second reference).</t>
        </is>
      </c>
      <c r="L30" s="20" t="inlineStr">
        <is>
          <t>Yes — baited basket traps and snorkel visual counts with a fish ID guide are practitioner methods. The source's stomach-content analysis (dissecting microscope, partner lab) sits outside the indicator and is not part of this protocol.</t>
        </is>
      </c>
      <c r="M30" s="20" t="inlineStr">
        <is>
          <t>Yes — fully specified.</t>
        </is>
      </c>
      <c r="N30" s="20" t="inlineStr">
        <is>
          <t>Traditional basket valve traps ('malema'; 3 per location; a commercial collapsible fish trap is an adequate stand-in) with stone anchors and marker buoys; locally collected bait (seagrass, benthic algae, brittle stars, sponge); snorkel gear; 12 m transect tape; underwater slate; regional fish ID keys.</t>
        </is>
      </c>
      <c r="O30" s="20" t="inlineStr">
        <is>
          <t>Medium — ~$1.2K yr 1: $1.15K start-up (fish trap ×12 $892 [list]; snorkel set $150 [est]; transect tape $40 [est]; slate + datasheets $40 [est]; fish ID guide $30 [est]) + no recurring cost</t>
        </is>
      </c>
      <c r="P30" s="20" t="inlineStr">
        <is>
          <t>Year-long study (12 months)</t>
        </is>
      </c>
      <c r="Q30" s="20" t="inlineStr">
        <is>
          <t>Relative abundance per species; chi-square on total abundance between sites; Shannon-Wiener H' and Pielou J' compared with a diversity t-test (PAST, Minitab).</t>
        </is>
      </c>
      <c r="R30" s="20" t="inlineStr">
        <is>
          <t>Yes — open access via Int. J. Fish. Aquat. Stud.</t>
        </is>
      </c>
      <c r="S30" s="21" t="inlineStr">
        <is>
          <t>Full PDF</t>
        </is>
      </c>
      <c r="T30" s="20" t="inlineStr">
        <is>
          <t>https://www.fisheriesjournal.com/archives/?year=2017&amp;vol=5&amp;issue=3&amp;part=F&amp;ArticleId=1253</t>
        </is>
      </c>
      <c r="U30" s="20" t="n"/>
      <c r="V30" s="20" t="inlineStr">
        <is>
          <t>Original list</t>
        </is>
      </c>
      <c r="W30" s="10" t="inlineStr">
        <is>
          <t>4 — Practitioner</t>
        </is>
      </c>
      <c r="X30" s="20" t="inlineStr">
        <is>
          <t>Seaweed</t>
        </is>
      </c>
      <c r="Y30" s="20" t="inlineStr">
        <is>
          <t>Habitat &amp; Biodiversity</t>
        </is>
      </c>
      <c r="Z30" s="20" t="inlineStr">
        <is>
          <t>H&amp;B 2.1.1 — Community composition</t>
        </is>
      </c>
      <c r="AA30" s="20" t="inlineStr">
        <is>
          <t>Tropical</t>
        </is>
      </c>
      <c r="AB30" s="20" t="inlineStr">
        <is>
          <t>Kappaphycus / Eucheuma</t>
        </is>
      </c>
      <c r="AC30" s="20" t="inlineStr">
        <is>
          <t>Off-bottom (monoline / pegs)</t>
        </is>
      </c>
      <c r="AD30" s="20" t="inlineStr">
        <is>
          <t>Small (&lt;1 ha)</t>
        </is>
      </c>
      <c r="AE30" s="20" t="inlineStr">
        <is>
          <t>Clear (visual methods feasible)</t>
        </is>
      </c>
      <c r="AF30" s="20" t="inlineStr">
        <is>
          <t>Monoculture</t>
        </is>
      </c>
      <c r="AG30" s="20" t="inlineStr">
        <is>
          <t>Visual survey</t>
        </is>
      </c>
      <c r="AH30" s="20" t="inlineStr">
        <is>
          <t>Red</t>
        </is>
      </c>
      <c r="AI30" s="20" t="inlineStr">
        <is>
          <t>Intertidal / very shallow (&lt; 2 m)</t>
        </is>
      </c>
      <c r="AJ30" s="20" t="inlineStr">
        <is>
          <t>Sheltered</t>
        </is>
      </c>
      <c r="AK30" s="16" t="inlineStr">
        <is>
          <t>To find out whether fish are more abundant or diverse at your farm than nearby, run the same trap and snorkel-transect survey at the farm (within and at its edge) and at [2] unfarmed reference sites of similar depth and distance from shore, at least [500 m] away. At each location set [3] baited basket traps for about 24 hours on [4] consecutive days and swim a 12 × 2 m transect for 20 minutes, recording species and counts. Compare species lists, each species' share of the total, Shannon diversity and evenness between farm and reference, testing differences with a chi-square and a diversity t-test. Do this once a year; fish move between the farm and its surroundings, so a farm-vs-reference difference shows where fish gather, not that the farm produced more fish.</t>
        </is>
      </c>
      <c r="AL30" s="17" t="inlineStr">
        <is>
          <t>High</t>
        </is>
      </c>
      <c r="AM30" s="18" t="inlineStr">
        <is>
          <t>anyango_2017_hb211</t>
        </is>
      </c>
      <c r="AN30" s="19" t="n"/>
      <c r="AO30" s="19" t="n"/>
      <c r="AP30" s="19" t="n"/>
      <c r="AQ30" s="16" t="inlineStr">
        <is>
          <t>Community-composition survey — Seaweed</t>
        </is>
      </c>
      <c r="AR30" s="16" t="inlineStr">
        <is>
          <t xml:space="preserve">Anyango, James Ochieng; Mlewa, Chrisestom Mwatete; Mwaluma, James; </t>
        </is>
      </c>
      <c r="AS30" s="16" t="inlineStr">
        <is>
          <t>Tropical (East African) counterpart to Hehre 2015. Cited in Schutt 2023 and Theuerkauf 2022 as one of the foundational positive-effect studies in tropical seaweed-farm habitat literature.  |  Migration (one-indicator-per-row, 2026-09-04): split from anyango_2017 -&gt; {anyango_2017_hb121, anyango_2017_hb211}. This row = anyango_2017_hb211 (H&amp;B 2.1.1 — Community composition). Candidate: AK/N/Q blanked and I/K/W/O/P provisional; per-indicator method text, tier/cost/effort and match adjudication to be finalised at generation. Combined parent I/AK/N/Q retained in v37 (pre-split).  |  [2026-10-09 Rule 15 cost re-rate, batch 1] Framework basis: SW H&amp;B 2.1.1: 2 farm strata + 2 offsite refs; annual (1 visit); 4 locations × 1 visits × 3 replicates = 12. Traps + UVC, one trap set per location; gear inferred from method note. Prior O: 'Low — &lt;$500'.  |  [2026-10-13 method-summary pass] S: blank → 'Full PDF'. I, K: candidate-split text replaced after full read (prior: 'Maps to H&amp;B 2.1.1 — Community composition. Candidate split…' / 'Standalone-candidate…'). L: gut-content step marked out of scope (prior: 'Yes — basic traps + UVC + gut-content dissection are practitioner-grade methods…'). N, Q: blank → filled. AI: 'Shallow nearshore (2–10 m)' → 'Intertidal / very shallow (&lt; 2 m)'. O unchanged (source n = 3 traps per site). AK written; AL High (unchanged).  |  [2026-10-16 monitoring-methods pass] AT (Monitoring Methods) set from the protocol's method summary (AK): Visual census / belt transects, Nets &amp; baited traps.</t>
        </is>
      </c>
      <c r="AT30" s="20" t="inlineStr">
        <is>
          <t>Visual census / belt transects, Nets &amp; baited traps</t>
        </is>
      </c>
    </row>
    <row r="31" ht="240" customHeight="1">
      <c r="A31" s="3" t="inlineStr">
        <is>
          <t>Bergman, K. C., et al.</t>
        </is>
      </c>
      <c r="B31" s="3" t="inlineStr">
        <is>
          <t>Influence of algal farming on fish assemblages</t>
        </is>
      </c>
      <c r="C31" s="3" t="inlineStr">
        <is>
          <t>Marine Pollution Bulletin</t>
        </is>
      </c>
      <c r="D31" s="3" t="n">
        <v>42</v>
      </c>
      <c r="E31" s="3" t="n">
        <v>12</v>
      </c>
      <c r="F31" s="3" t="inlineStr">
        <is>
          <t>1379-1389</t>
        </is>
      </c>
      <c r="G31" s="3" t="n">
        <v>2001</v>
      </c>
      <c r="H31" s="3" t="inlineStr">
        <is>
          <t>Elsevier</t>
        </is>
      </c>
      <c r="I31" s="3" t="inlineStr">
        <is>
          <t>Maps to H&amp;B 1.2.1 — Mobile fauna. Belt-transect visual census on 20 m tapes (a 4 m belt for mobile fish, 2 m either side for cryptic and bottom-dwelling fish) counts and identifies the fish within seaweed farms. Match: Exact.</t>
        </is>
      </c>
      <c r="J31" s="3" t="inlineStr">
        <is>
          <t>Protocol (empirical, fully specified — belt-transect visual surveys + line-intercept substrate sampling)</t>
        </is>
      </c>
      <c r="K31" s="3" t="inlineStr">
        <is>
          <t>Confirmed standalone (full read). Ten 20 m transects per area, each counted in three passes (mobile fish in a 4 m belt, then cryptic/demersal fish within 2 m of each side) and split between incoming and outgoing tides, give abundance, species richness and Shannon H' per transect — robust for H&amp;B 1.2.1 (Exact).</t>
        </is>
      </c>
      <c r="L31" s="3" t="inlineStr">
        <is>
          <t>Yes — belt-transect fish counts and line-intercept are entry-level techniques; the source used SCUBA, but in a shallow lagoon around high tide a snorkeller can run the same counts.</t>
        </is>
      </c>
      <c r="M31" s="3" t="inlineStr">
        <is>
          <t>Yes — full design specified.</t>
        </is>
      </c>
      <c r="N31" s="3" t="inlineStr">
        <is>
          <t>SCUBA or snorkel gear (source: SCUBA; snorkel is adequate in a shallow lagoon around high tide); 20 m transect tape; underwater slate; regional fish ID guides; line-intercept recording along the same tape for substrate cover (context).</t>
        </is>
      </c>
      <c r="O31" s="3" t="inlineStr">
        <is>
          <t>Low — ~$260 yr 1: $260 start-up (snorkel set $150 [est]; transect tape $40 [est]; slate + datasheets $40 [est]; fish ID guide $30 [est]) + no recurring cost</t>
        </is>
      </c>
      <c r="P31" s="3" t="inlineStr">
        <is>
          <t>Short campaign (days to 2 weeks)</t>
        </is>
      </c>
      <c r="Q31" s="3" t="inlineStr">
        <is>
          <t>Fish abundance, species richness and Shannon-Wiener H' (log2) per transect; one-way ANOVA among sites.</t>
        </is>
      </c>
      <c r="R31" s="3" t="inlineStr">
        <is>
          <t>No — Paywalled at Elsevier (Marine Pollution Bulletin)</t>
        </is>
      </c>
      <c r="S31" t="inlineStr">
        <is>
          <t>Full PDF</t>
        </is>
      </c>
      <c r="T31" s="3" t="inlineStr">
        <is>
          <t>Paywall: https://pubmed.ncbi.nlm.nih.gov/11827126/</t>
        </is>
      </c>
      <c r="U31" s="3" t="n"/>
      <c r="V31" s="3" t="inlineStr">
        <is>
          <t>Original list</t>
        </is>
      </c>
      <c r="W31" s="10" t="inlineStr">
        <is>
          <t>4 — Practitioner</t>
        </is>
      </c>
      <c r="X31" s="3" t="inlineStr">
        <is>
          <t>Seaweed</t>
        </is>
      </c>
      <c r="Y31" s="3" t="inlineStr">
        <is>
          <t>Habitat &amp; Biodiversity</t>
        </is>
      </c>
      <c r="Z31" s="3" t="inlineStr">
        <is>
          <t>H&amp;B 1.2.1 — Mobile fauna</t>
        </is>
      </c>
      <c r="AA31" s="3" t="inlineStr">
        <is>
          <t>Tropical</t>
        </is>
      </c>
      <c r="AB31" s="3" t="inlineStr">
        <is>
          <t>Kappaphycus / Eucheuma</t>
        </is>
      </c>
      <c r="AC31" s="3" t="inlineStr">
        <is>
          <t>Off-bottom (monoline / pegs)</t>
        </is>
      </c>
      <c r="AD31" s="3" t="inlineStr">
        <is>
          <t>Medium (1–20 ha)</t>
        </is>
      </c>
      <c r="AE31" s="3" t="inlineStr">
        <is>
          <t>Clear (visual methods feasible)</t>
        </is>
      </c>
      <c r="AF31" s="3" t="inlineStr">
        <is>
          <t>Monoculture</t>
        </is>
      </c>
      <c r="AG31" s="3" t="inlineStr">
        <is>
          <t>Visual survey</t>
        </is>
      </c>
      <c r="AH31" s="3" t="inlineStr">
        <is>
          <t>Red</t>
        </is>
      </c>
      <c r="AI31" s="3" t="inlineStr">
        <is>
          <t>Intertidal / very shallow (&lt; 2 m)</t>
        </is>
      </c>
      <c r="AJ31" s="3" t="inlineStr">
        <is>
          <t>Sheltered</t>
        </is>
      </c>
      <c r="AK31" s="16" t="inlineStr">
        <is>
          <t>To survey the fish living in and around your farm, lay [10] 20 m tapes at random within the farm and at its edge, working in the hours either side of high tide when depth and visibility allow. Count each tape in three passes: first the active fish within 2 m either side (a 4 m belt), then swim slowly back along each side searching the bottom within 2 m for hidden and bottom-dwelling fish, identifying everything to the lowest level your guide allows. Split the transects between rising and falling tide, keep the same observer throughout, and summarise fish per transect, species per transect and Shannon diversity. Repeat once per season; visual counts favour large, active fish and can miss small, cryptic species in dense seaweed.</t>
        </is>
      </c>
      <c r="AL31" s="17" t="inlineStr">
        <is>
          <t>High</t>
        </is>
      </c>
      <c r="AM31" s="18" t="inlineStr">
        <is>
          <t>bergman_2001_hb121</t>
        </is>
      </c>
      <c r="AN31" s="19" t="n"/>
      <c r="AO31" s="19" t="n"/>
      <c r="AP31" s="19" t="n"/>
      <c r="AQ31" s="16" t="inlineStr">
        <is>
          <t>Mobile-fauna monitoring — Seaweed</t>
        </is>
      </c>
      <c r="AR31" s="16" t="inlineStr">
        <is>
          <t xml:space="preserve">Bergman, Kajsa C; Svensson, Sara; Öhman, Marcus C; </t>
        </is>
      </c>
      <c r="AS31" s="16" t="inlineStr">
        <is>
          <t>Older foundational tropical study; provides the comparative-lagoon design template that several subsequent papers (Anyango 2017, Hehre 2015) build on.  |  Migration (one-indicator-per-row, 2026-09-04): split from bergman_2001 -&gt; {bergman_2001_hb121, bergman_2001_hb211}. This row = bergman_2001_hb121 (H&amp;B 1.2.1 — Mobile fauna). Candidate: AK/N/Q blanked and I/K/W/O/P provisional; per-indicator method text, tier/cost/effort and match adjudication to be finalised at generation. Combined parent I/AK/N/Q retained in v37 (pre-split).  |  [2026-10-09 Rule 15 cost re-rate, batch 1] Framework basis: SW H&amp;B 1.2.1: within farm + edge; once per season (2 visits); 2 locations × 2 visits × 3 replicates = 12. Belt-transect UVC; gear inferred from method note. Prior O: 'Low — &lt;$500'.  |  [2026-10-13 method-summary pass] S: blank → 'Full PDF'. I, K: candidate-split text replaced after full read (prior: 'Maps to H&amp;B 1.2.1 — Mobile fauna. Candidate split…' / 'Standalone-candidate…'). L: 'Yes — belt transects and line-intercept are entry-level marine-ecology techniques, doable with snorkel gear.' → notes the source used SCUBA. N, Q: blank → filled. AD: 'Small (&lt;1 ha)' → 'Medium (1–20 ha)' (farms 50–100 m seaward × several hundred m alongshore). O unchanged (gear only, snorkel route). AK written; AL High (unchanged).  |  [2026-10-16 monitoring-methods pass] AT (Monitoring Methods) set from the protocol's method summary (AK): Visual census / belt transects.</t>
        </is>
      </c>
      <c r="AT31" s="20" t="inlineStr">
        <is>
          <t>Visual census / belt transects</t>
        </is>
      </c>
    </row>
    <row r="32" ht="240" customHeight="1">
      <c r="A32" s="20" t="inlineStr">
        <is>
          <t>Bergman, K. C., et al.</t>
        </is>
      </c>
      <c r="B32" s="20" t="inlineStr">
        <is>
          <t>Influence of algal farming on fish assemblages</t>
        </is>
      </c>
      <c r="C32" s="20" t="inlineStr">
        <is>
          <t>Marine Pollution Bulletin</t>
        </is>
      </c>
      <c r="D32" s="20" t="n">
        <v>42</v>
      </c>
      <c r="E32" s="20" t="n">
        <v>12</v>
      </c>
      <c r="F32" s="20" t="inlineStr">
        <is>
          <t>1379-1389</t>
        </is>
      </c>
      <c r="G32" s="20" t="n">
        <v>2001</v>
      </c>
      <c r="H32" s="20" t="inlineStr">
        <is>
          <t>Elsevier</t>
        </is>
      </c>
      <c r="I32" s="20" t="inlineStr">
        <is>
          <t>Maps to H&amp;B 2.1.1 — Community composition. Fish assemblages inside seaweed farms compared with a near (10–100 m) and a far (&gt;500 m) control in two lagoons, alongside line-intercept substrate cover. Match: Partial — fish only; comparative.</t>
        </is>
      </c>
      <c r="J32" s="20" t="inlineStr">
        <is>
          <t>Protocol (empirical, fully specified — belt-transect visual surveys + line-intercept substrate sampling)</t>
        </is>
      </c>
      <c r="K32" s="20" t="inlineStr">
        <is>
          <t>Confirmed standalone (full read). Farm vs near and far controls (10 belt transects each) compared on abundance, richness, diversity and assemblage composition (MDS, ANOSIM, SIMPER) — robust for H&amp;B 2.1.1 (Partial; comparative). The two-control layout matches the Framework's two reference locations.</t>
        </is>
      </c>
      <c r="L32" s="20" t="inlineStr">
        <is>
          <t>Yes — belt-transect fish counts and line-intercept are entry-level techniques; the source used SCUBA, but in a shallow lagoon around high tide a snorkeller can run the same counts.</t>
        </is>
      </c>
      <c r="M32" s="20" t="inlineStr">
        <is>
          <t>Yes — full design specified.</t>
        </is>
      </c>
      <c r="N32" s="20" t="inlineStr">
        <is>
          <t>SCUBA or snorkel gear (source: SCUBA; snorkel is adequate in a shallow lagoon around high tide); 20 m transect tape; underwater slate; regional fish ID guides; line-intercept recording along the same tape for substrate cover (context).</t>
        </is>
      </c>
      <c r="O32" s="20" t="inlineStr">
        <is>
          <t>Low — ~$260 yr 1: $260 start-up (snorkel set $150 [est]; transect tape $40 [est]; slate + datasheets $40 [est]; fish ID guide $30 [est]) + no recurring cost</t>
        </is>
      </c>
      <c r="P32" s="20" t="inlineStr">
        <is>
          <t>Short campaign (days to 2 weeks)</t>
        </is>
      </c>
      <c r="Q32" s="20" t="inlineStr">
        <is>
          <t>nMDS on Bray-Curtis (double square-root transformed), ANOSIM, SIMPER; RELATE to link fish and substrate patterns (PRIMER); one-way ANOVA on abundance, richness and Shannon H'.</t>
        </is>
      </c>
      <c r="R32" s="20" t="inlineStr">
        <is>
          <t>No — Paywalled at Elsevier (Marine Pollution Bulletin)</t>
        </is>
      </c>
      <c r="S32" s="21" t="inlineStr">
        <is>
          <t>Full PDF</t>
        </is>
      </c>
      <c r="T32" s="20" t="inlineStr">
        <is>
          <t>Paywall: https://pubmed.ncbi.nlm.nih.gov/11827126/</t>
        </is>
      </c>
      <c r="U32" s="20" t="n"/>
      <c r="V32" s="20" t="inlineStr">
        <is>
          <t>Original list</t>
        </is>
      </c>
      <c r="W32" s="10" t="inlineStr">
        <is>
          <t>4 — Practitioner</t>
        </is>
      </c>
      <c r="X32" s="20" t="inlineStr">
        <is>
          <t>Seaweed</t>
        </is>
      </c>
      <c r="Y32" s="20" t="inlineStr">
        <is>
          <t>Habitat &amp; Biodiversity</t>
        </is>
      </c>
      <c r="Z32" s="20" t="inlineStr">
        <is>
          <t>H&amp;B 2.1.1 — Community composition</t>
        </is>
      </c>
      <c r="AA32" s="20" t="inlineStr">
        <is>
          <t>Tropical</t>
        </is>
      </c>
      <c r="AB32" s="20" t="inlineStr">
        <is>
          <t>Kappaphycus / Eucheuma</t>
        </is>
      </c>
      <c r="AC32" s="20" t="inlineStr">
        <is>
          <t>Off-bottom (monoline / pegs)</t>
        </is>
      </c>
      <c r="AD32" s="20" t="inlineStr">
        <is>
          <t>Medium (1–20 ha)</t>
        </is>
      </c>
      <c r="AE32" s="20" t="inlineStr">
        <is>
          <t>Clear (visual methods feasible)</t>
        </is>
      </c>
      <c r="AF32" s="20" t="inlineStr">
        <is>
          <t>Monoculture</t>
        </is>
      </c>
      <c r="AG32" s="20" t="inlineStr">
        <is>
          <t>Visual survey</t>
        </is>
      </c>
      <c r="AH32" s="20" t="inlineStr">
        <is>
          <t>Red</t>
        </is>
      </c>
      <c r="AI32" s="20" t="inlineStr">
        <is>
          <t>Intertidal / very shallow (&lt; 2 m)</t>
        </is>
      </c>
      <c r="AJ32" s="20" t="inlineStr">
        <is>
          <t>Sheltered</t>
        </is>
      </c>
      <c r="AK32" s="16" t="inlineStr">
        <is>
          <t>To test whether your farm changes the local fish community, run the same 20 m belt-transect counts (a pass for active fish in a 4 m belt, then slow passes for hidden fish along each side) inside the farm and at [2] control areas, one close by (about 10–100 m away) and one farther off (more than 500 m), with [10] transects per area. Along each tape also record what lies beneath it (farmed seaweed, seagrass, coral, rubble, sand) by line-intercept, so you can see how much of any difference follows the habitat. Compare abundance, species richness, diversity and the species mix between farm and controls, with an ordination (e.g. nMDS with ANOSIM/SIMPER) where a partner can help. Repeat once a year; the same kind of farm can raise fish numbers on one bottom type and lower them on another, so describe the habitat the farm sits on in your report.</t>
        </is>
      </c>
      <c r="AL32" s="17" t="inlineStr">
        <is>
          <t>High</t>
        </is>
      </c>
      <c r="AM32" s="18" t="inlineStr">
        <is>
          <t>bergman_2001_hb211</t>
        </is>
      </c>
      <c r="AN32" s="19" t="n"/>
      <c r="AO32" s="19" t="n"/>
      <c r="AP32" s="19" t="n"/>
      <c r="AQ32" s="16" t="inlineStr">
        <is>
          <t>Community-composition survey — Seaweed</t>
        </is>
      </c>
      <c r="AR32" s="16" t="inlineStr">
        <is>
          <t xml:space="preserve">Bergman, Kajsa C; Svensson, Sara; Öhman, Marcus C; </t>
        </is>
      </c>
      <c r="AS32" s="16" t="inlineStr">
        <is>
          <t>Older foundational tropical study; provides the comparative-lagoon design template that several subsequent papers (Anyango 2017, Hehre 2015) build on.  |  Migration (one-indicator-per-row, 2026-09-04): split from bergman_2001 -&gt; {bergman_2001_hb121, bergman_2001_hb211}. This row = bergman_2001_hb211 (H&amp;B 2.1.1 — Community composition). Candidate: AK/N/Q blanked and I/K/W/O/P provisional; per-indicator method text, tier/cost/effort and match adjudication to be finalised at generation. Combined parent I/AK/N/Q retained in v37 (pre-split).  |  [2026-10-09 Rule 15 cost re-rate, batch 1] Framework basis: SW H&amp;B 2.1.1: 2 farm strata + 2 offsite refs; annual (1 visit); 4 locations × 1 visits × 3 replicates = 12. Belt-transect UVC; gear inferred from method note. Prior O: 'Low — &lt;$500'.  |  [2026-10-13 method-summary pass] S: blank → 'Full PDF'. I, K: candidate-split text replaced after full read (prior: 'Maps to H&amp;B 2.1.1 — Community composition. Candidate split…' / 'Standalone-candidate…'). L: notes the source used SCUBA (prior: '…doable with snorkel gear.'). N, Q: blank → filled. AD: 'Small (&lt;1 ha)' → 'Medium (1–20 ha)'. O unchanged (gear only). AK written; AL High (unchanged).  |  [2026-10-16 monitoring-methods pass] AT (Monitoring Methods) set from the protocol's method summary (AK): Visual census / belt transects.</t>
        </is>
      </c>
      <c r="AT32" s="20" t="inlineStr">
        <is>
          <t>Visual census / belt transects</t>
        </is>
      </c>
    </row>
    <row r="33" ht="240" customHeight="1">
      <c r="A33" s="20" t="inlineStr">
        <is>
          <t>Underwood, L. H. &amp; Jeffs, A. G.</t>
        </is>
      </c>
      <c r="B33" s="20" t="inlineStr">
        <is>
          <t>Settlement and recruitment of fish in mussel farms</t>
        </is>
      </c>
      <c r="C33" s="20" t="inlineStr">
        <is>
          <t>Aquaculture Environment Interactions</t>
        </is>
      </c>
      <c r="D33" s="20" t="n">
        <v>15</v>
      </c>
      <c r="E33" s="20" t="n"/>
      <c r="F33" s="20" t="inlineStr">
        <is>
          <t>85-100</t>
        </is>
      </c>
      <c r="G33" s="20" t="n">
        <v>2023</v>
      </c>
      <c r="H33" s="20" t="n"/>
      <c r="I33" s="20" t="inlineStr">
        <is>
          <t>Maps to H&amp;B 2.1.1 — Community composition. Fish recruits in SMURFs compared among 2 farm habitats (mussel with low and high kelp fouling) and 2 adjacent natural habitats (rocky reef, soft-sediment seafloor), 10 SMURFs per habitat at 2 depths, over 3 monthly samplings. Match: Partial — fish recruits only.</t>
        </is>
      </c>
      <c r="J33" s="20" t="inlineStr">
        <is>
          <t>Protocol (empirical, SMURF method following Ammann 2004)</t>
        </is>
      </c>
      <c r="K33" s="20" t="inlineStr">
        <is>
          <t>Confirmed standalone (full read). Farm vs reef and soft-sediment references with mixed models, Kruskal–Wallis and nMDS — robust for a fish-recruit community comparison (Partial). The 2026-09-08 flag (duplicative with ferriss_2021_hb211) stands as a call for Peter.</t>
        </is>
      </c>
      <c r="L33" s="20" t="inlineStr">
        <is>
          <t>Yes — SMURF deployment on moorings and fish ID with a regional guide need no lab (ID waiver).</t>
        </is>
      </c>
      <c r="M33" s="20" t="inlineStr">
        <is>
          <t>Yes — well-documented SMURF method with established literature base (Ammann 2004; widely applied in reef-fish recruitment studies)</t>
        </is>
      </c>
      <c r="N33" s="20" t="inlineStr">
        <is>
          <t>SMURFs on lines tied to the farm backbone (farm) or on moorings with anchor and surface buoy (references); scoop net (5 mm); fish bin; measuring board; scale; camera; regional fish guide.</t>
        </is>
      </c>
      <c r="O33" s="20" t="inlineStr">
        <is>
          <t>Medium — ~$1.4K yr 1: $1.36K start-up (SMURF collector ×12 $720 [est]; mooring ×6 $600 [est]; scoop net + sieve $50 [est]; fish ID guide $30 [est]) + no recurring cost</t>
        </is>
      </c>
      <c r="P33" s="20" t="inlineStr">
        <is>
          <t>Seasonal (1–3 months) — December–February, emptied monthly at the new moon</t>
        </is>
      </c>
      <c r="Q33" s="20" t="inlineStr">
        <is>
          <t>Linear mixed-effects models on abundance (habitat × month × depth); Kruskal–Wallis on Shannon and evenness; nMDS (Bray–Curtis) of recruit communities; Fisher's exact test on settler proportions.</t>
        </is>
      </c>
      <c r="R33" s="20" t="inlineStr">
        <is>
          <t>Yes — Open Access (Creative Commons by Attribution)</t>
        </is>
      </c>
      <c r="S33" s="21" t="inlineStr">
        <is>
          <t>Full PDF</t>
        </is>
      </c>
      <c r="T33" s="20" t="inlineStr">
        <is>
          <t>https://doi.org/10.3354/aei00454</t>
        </is>
      </c>
      <c r="U33" s="20" t="inlineStr">
        <is>
          <t>[2026-09-08 Evaluator full-read refresh] Flagged — recruit-community comparison; duplicative with ferriss_2021_hb211. Not deleted — pending confirmation.</t>
        </is>
      </c>
      <c r="V33" s="20" t="inlineStr">
        <is>
          <t>Original list</t>
        </is>
      </c>
      <c r="W33" s="10" t="inlineStr">
        <is>
          <t>4 — Practitioner</t>
        </is>
      </c>
      <c r="X33" s="20" t="inlineStr">
        <is>
          <t>Mollusk, Seaweed</t>
        </is>
      </c>
      <c r="Y33" s="20" t="inlineStr">
        <is>
          <t>Habitat &amp; Biodiversity</t>
        </is>
      </c>
      <c r="Z33" s="20" t="inlineStr">
        <is>
          <t>H&amp;B 2.1.1 — Community composition</t>
        </is>
      </c>
      <c r="AA33" s="20" t="inlineStr">
        <is>
          <t>Temperate Pacific</t>
        </is>
      </c>
      <c r="AB33" s="20" t="inlineStr">
        <is>
          <t>Green-lipped mussel (Perna canaliculus)</t>
        </is>
      </c>
      <c r="AC33" s="20" t="inlineStr">
        <is>
          <t>Suspended longline (mussel)</t>
        </is>
      </c>
      <c r="AD33" s="20" t="inlineStr">
        <is>
          <t>Medium (1–20 ha)</t>
        </is>
      </c>
      <c r="AE33" s="20" t="inlineStr">
        <is>
          <t>Variable / seasonal</t>
        </is>
      </c>
      <c r="AF33" s="20" t="inlineStr">
        <is>
          <t>Seaweed + shellfish</t>
        </is>
      </c>
      <c r="AG33" s="20" t="inlineStr">
        <is>
          <t>Visual survey</t>
        </is>
      </c>
      <c r="AH33" s="20" t="inlineStr">
        <is>
          <t>Not algae-specific</t>
        </is>
      </c>
      <c r="AI33" s="20" t="inlineStr">
        <is>
          <t>Coastal (10–30 m)</t>
        </is>
      </c>
      <c r="AJ33" s="20" t="inlineStr">
        <is>
          <t>Sheltered</t>
        </is>
      </c>
      <c r="AK33" s="16" t="inlineStr">
        <is>
          <t>To compare the young fish settling at your mussel farm with nearby natural habitats, hang [3] SMURFs from the farm backbone within the farm and [3] at its edge, and moor [3] at each of [2] reference habitats at similar depth — for example a rocky reef and bare seafloor — spaced at least 30 m apart. Empty them monthly around the new moon through the settlement season, identifying, counting and measuring every fish. Compare total fish, species mix and size classes among locations; where recruits grow larger over the season at the farm than on bare seafloor, the farm is acting as nursery habitat, not just a place where young fish settle.</t>
        </is>
      </c>
      <c r="AL33" s="17" t="inlineStr">
        <is>
          <t>High</t>
        </is>
      </c>
      <c r="AM33" s="18" t="inlineStr">
        <is>
          <t>underwood_2023_hb211</t>
        </is>
      </c>
      <c r="AN33" s="19" t="n"/>
      <c r="AO33" s="19" t="n"/>
      <c r="AP33" s="19" t="n"/>
      <c r="AQ33" s="16" t="inlineStr">
        <is>
          <t>Community-composition survey — Mollusk, Seaweed</t>
        </is>
      </c>
      <c r="AR33" s="16" t="inlineStr">
        <is>
          <t xml:space="preserve">Underwood, Lucy H; Jeffs, Andrew G; </t>
        </is>
      </c>
      <c r="AS33" s="16" t="inlineStr">
        <is>
          <t>New Zealand study at Esk Point, Coromandel — first quantitative comparison of fish settlement and recruitment in mussel-kelp co-culture vs mussel monoculture vs adjacent natural habitats (rocky reef, soft-sediment seafloor). Methods are directly transferable to seaweed-only aquaculture for fish recruitment monitoring. Companion paper Underwood, van der Reis &amp; Jeffs (2023) examines snapper diet in mussel farms (already at Row 22 in some database versions).  |  Migration (one-indicator-per-row, 2026-09-04): split from underwood_2023 -&gt; {underwood_2023_hb121, underwood_2023_hb211, underwood_2023_hb221}. This row = underwood_2023_hb211 (H&amp;B 2.1.1 — Community composition). Candidate: AK/N/Q blanked and I/K/W/O/P provisional; per-indicator method text, tier/cost/effort and match adjudication to be finalised at generation. Combined parent I/AK/N/Q retained in v37 (pre-split).  |  [2026-10-13 method-summary pass] I, K: 'WEAK / duplicative' text replaced after full read; match kept as Partial, duplication flag left as a call. L: row-specific. W: '3 — Partnership' → '4 — Practitioner' (Rule 14; L already Yes). N, Q: blank → filled. P: → Seasonal + detail. AB, AC: as hb121. AG: → 'Visual survey'. O: 'Low–Medium — …' → Medium ~$1.4K (Rule 15: Mol H&amp;B 2.1.1, 2 farm strata + 2 refs × 3 SMURFs = 12 units; the 6 reference units each need a mooring). AK written; AL High.  |  [2026-10-13 Partial review] Partial match kept for now (fish-recruit community, farm vs 2 natural habitats); sibling hb121 deleted 2026-10-13.  |  [2026-10-16 monitoring-methods pass] AT (Monitoring Methods) set from the protocol's method summary (AK): Continuous moored sensors, Invertebrate collectors / fauna traps.</t>
        </is>
      </c>
      <c r="AT33" s="20" t="inlineStr">
        <is>
          <t>Continuous moored sensors, Invertebrate collectors / fauna traps</t>
        </is>
      </c>
    </row>
    <row r="34" ht="240" customHeight="1">
      <c r="A34" s="20" t="inlineStr">
        <is>
          <t>Underwood, L. H. &amp; Jeffs, A. G.</t>
        </is>
      </c>
      <c r="B34" s="20" t="inlineStr">
        <is>
          <t>Settlement and recruitment of fish in mussel farms</t>
        </is>
      </c>
      <c r="C34" s="20" t="inlineStr">
        <is>
          <t>Aquaculture Environment Interactions</t>
        </is>
      </c>
      <c r="D34" s="20" t="n">
        <v>15</v>
      </c>
      <c r="E34" s="20" t="n"/>
      <c r="F34" s="20" t="inlineStr">
        <is>
          <t>85-100</t>
        </is>
      </c>
      <c r="G34" s="20" t="n">
        <v>2023</v>
      </c>
      <c r="H34" s="20" t="n"/>
      <c r="I34" s="20" t="inlineStr">
        <is>
          <t>Maps to H&amp;B 2.2.1 — Spawning. Candidate split from parent protocol 'underwood_2023' (multi-indicator source; not yet fully read for per-indicator adjudication). Standalone-candidate - match quality and robustness-guard decision to be confirmed at generation.</t>
        </is>
      </c>
      <c r="J34" s="20" t="inlineStr">
        <is>
          <t>Protocol (empirical, SMURF method following Ammann 2004)</t>
        </is>
      </c>
      <c r="K34" s="20" t="inlineStr">
        <is>
          <t>Confirmed standalone (full read). Uses SMURFs — the framework's suggested method for spawning/recruitment — to directly measure the extent of fish settlement and recruitment at the mussel farm; robust for H&amp;B 2.2.1 (Exact).</t>
        </is>
      </c>
      <c r="L34" s="20" t="inlineStr">
        <is>
          <t>Yes — building and servicing SMURFs and identifying fish settlers and recruits with a regional guide need no lab (ID waiver, Peter 2026-10-13).</t>
        </is>
      </c>
      <c r="M34" s="20" t="inlineStr">
        <is>
          <t>Yes — well-documented SMURF method with established literature base (Ammann 2004; widely applied in reef-fish recruitment studies)</t>
        </is>
      </c>
      <c r="N34" s="20" t="inlineStr">
        <is>
          <t>SMURFs (standard monitoring units for the recruitment of fish — plastic-mesh recruitment collectors, per Ammann 2004); mooring lines with anchors/surface buoys or tied to the farm backbone; a boat with a crane/winch; a large scoop net (5 mm mesh); a fish bin; a measuring board (total length) + reference scale for photos; a balance; fish ID references; R and PAST software (linear mixed models, Kruskal-Wallis, NMDS).</t>
        </is>
      </c>
      <c r="O34" s="20" t="inlineStr">
        <is>
          <t>Low — ~$360 yr 1: $360 start-up (SMURF collector ×3 $180 [est]; mooring $100 [est]; scoop net + sieve $50 [est]; fish ID guide $30 [est]) + no recurring cost</t>
        </is>
      </c>
      <c r="P34" s="20" t="inlineStr">
        <is>
          <t>Seasonal (1–3 months) — SMURFs deployed December–February, emptied monthly within 2 days of the new moon</t>
        </is>
      </c>
      <c r="Q34" s="20" t="inlineStr">
        <is>
          <t>Settlers separated by species-specific size at settlement (e.g. ~20 mm TL triplefins); linear mixed models on abundance and length (habitat × month); Fisher's exact test on settler vs post-settler proportions; size-class distributions by month.</t>
        </is>
      </c>
      <c r="R34" s="20" t="inlineStr">
        <is>
          <t>Yes — Open Access (Creative Commons by Attribution)</t>
        </is>
      </c>
      <c r="S34" s="21" t="inlineStr">
        <is>
          <t>Full PDF</t>
        </is>
      </c>
      <c r="T34" s="20" t="inlineStr">
        <is>
          <t>https://doi.org/10.3354/aei00454</t>
        </is>
      </c>
      <c r="U34" s="20" t="inlineStr">
        <is>
          <t>[2026-09-08 Evaluator full-read refresh] CONFIRMED — fills the recruitment gap reopened by removing hossain_2013. Peer-reviewed (Aquacult Environ Interact). Equipment/cost/effort filled. Access URL cleaned (broken PDF link removed; DOI retained). [2026-09-08] hossain_2013 removed from roster (non-peer-reviewed); its recruitment indicator is now filled here. [2026-09-08] V2 bundle hosted; three download URLs written back (Stage 5).</t>
        </is>
      </c>
      <c r="V34" s="20" t="inlineStr">
        <is>
          <t>Original list</t>
        </is>
      </c>
      <c r="W34" s="10" t="inlineStr">
        <is>
          <t>4 — Practitioner</t>
        </is>
      </c>
      <c r="X34" s="20" t="inlineStr">
        <is>
          <t>Mollusk, Seaweed</t>
        </is>
      </c>
      <c r="Y34" s="20" t="inlineStr">
        <is>
          <t>Habitat &amp; Biodiversity</t>
        </is>
      </c>
      <c r="Z34" s="20" t="inlineStr">
        <is>
          <t>H&amp;B 2.2.1 — Spawning</t>
        </is>
      </c>
      <c r="AA34" s="20" t="inlineStr">
        <is>
          <t>Temperate Pacific</t>
        </is>
      </c>
      <c r="AB34" s="20" t="inlineStr">
        <is>
          <t>Green-lipped mussel (Perna canaliculus)</t>
        </is>
      </c>
      <c r="AC34" s="20" t="inlineStr">
        <is>
          <t>Suspended longline (mussel)</t>
        </is>
      </c>
      <c r="AD34" s="20" t="inlineStr">
        <is>
          <t>Medium (1–20 ha)</t>
        </is>
      </c>
      <c r="AE34" s="20" t="inlineStr">
        <is>
          <t>Variable / seasonal</t>
        </is>
      </c>
      <c r="AF34" s="20" t="inlineStr">
        <is>
          <t>Seaweed + shellfish</t>
        </is>
      </c>
      <c r="AG34" s="20" t="inlineStr">
        <is>
          <t>Visual survey</t>
        </is>
      </c>
      <c r="AH34" s="20" t="inlineStr">
        <is>
          <t>Not algae-specific</t>
        </is>
      </c>
      <c r="AI34" s="20" t="inlineStr">
        <is>
          <t>Coastal (10–30 m)</t>
        </is>
      </c>
      <c r="AJ34" s="20" t="inlineStr">
        <is>
          <t>Sheltered</t>
        </is>
      </c>
      <c r="AK34" s="16" t="inlineStr">
        <is>
          <t>To show that fish actually settle and grow up in your mussel farm, hang [3] SMURFs — plastic-mesh shelters for young fish — from the farm backbone near the surface and near the bottom of the dropper lines, at least 30 m apart, at the start of the local fish settlement season. Empty them monthly around the new moon for [3] months: scoop each into a bin, identify, count and measure every fish, then release it and re-hang the SMURF. Separate newly settled fish (below the species' settlement size, about 20 mm for triplefins) from older recruits; settlers show settlement on the farm, and recruits that grow through size classes over successive months show it is working as a nursery.</t>
        </is>
      </c>
      <c r="AL34" s="17" t="inlineStr">
        <is>
          <t>High</t>
        </is>
      </c>
      <c r="AM34" s="18" t="inlineStr">
        <is>
          <t>underwood_2023_hb221</t>
        </is>
      </c>
      <c r="AN34" s="19" t="inlineStr">
        <is>
          <t>https://raw.githubusercontent.com/AquacultureScienceTNC/aquapip-survey/main/protocols/templates/underwood_2023_hb221.pdf</t>
        </is>
      </c>
      <c r="AO34" s="19" t="inlineStr">
        <is>
          <t>https://raw.githubusercontent.com/AquacultureScienceTNC/aquapip-survey/main/protocols/datasheets/underwood_2023_hb221.pdf</t>
        </is>
      </c>
      <c r="AP34" s="19" t="inlineStr">
        <is>
          <t>https://raw.githubusercontent.com/AquacultureScienceTNC/aquapip-survey/main/protocols/workbooks/underwood_2023_hb221.xlsx</t>
        </is>
      </c>
      <c r="AQ34" s="16" t="inlineStr">
        <is>
          <t>Spawning / recruitment monitoring — Mollusk, Seaweed</t>
        </is>
      </c>
      <c r="AR34" s="16" t="inlineStr">
        <is>
          <t xml:space="preserve">Underwood, Lucy H; Jeffs, Andrew G; </t>
        </is>
      </c>
      <c r="AS34" s="16" t="inlineStr">
        <is>
          <t>New Zealand study at Esk Point, Coromandel — first quantitative comparison of fish settlement and recruitment in mussel-kelp co-culture vs mussel monoculture vs adjacent natural habitats (rocky reef, soft-sediment seafloor). Methods are directly transferable to seaweed-only aquaculture for fish recruitment monitoring. Companion paper Underwood, van der Reis &amp; Jeffs (2023) examines snapper diet in mussel farms (already at Row 22 in some database versions).  |  Migration (one-indicator-per-row, 2026-09-04): split from underwood_2023 -&gt; {underwood_2023_hb121, underwood_2023_hb211, underwood_2023_hb221}. This row = underwood_2023_hb221 (H&amp;B 2.2.1 — Spawning). Candidate: AK/N/Q blanked and I/K/W/O/P provisional; per-indicator method text, tier/cost/effort and match adjudication to be finalised at generation. Combined parent I/AK/N/Q retained in v37 (pre-split).  |  [2026-10-09 Rule 15 cost re-rate, batch 2] Framework basis: Mol H&amp;B 2.2.1: within the farm; settlement season (3 monthly retrievals); 1 locations × 3 visits × 3 replicates = 9. SMURFs on one mooring; the farm's boat and crane excluded; ID fee is an estimate (quote needed). Matches the v1.8 pilot. Prior O: 'Low–Medium (SMURFs are inexpensive plastic mesh; boat/crane and lab ID/analysis are the main costs)'.  |  [2026-10-13 Rule 15 lab-fee waiver] ID moved to the field with a guide (Peter, 2026-10-13: species counts and field-identifiable taxa carry no lab fee); L already says settlement-sized fish are ID-able with regional guides; ethanol + jars dropped; band unchanged; design unchanged. Prior O: 'Low — ~$830 yr 1: $330 start-up (SMURF collector ×3 $180 [est]; mooring $100 [est]; scoop net + sieve $50 [est]) + $500/yr (fish-recruit ID 9 × $50 [est]; ethanol + jars $50 [est])'.  |  [2026-10-13 method-summary pass] L: row-specific. W: '3 — Partnership' → '4 — Practitioner' (Rule 14; L already Yes; field ID under the lab-fee waiver). Q: blank → filled. P: 'Multi-month (…)' (off-vocabulary) → Seasonal + detail. AB, AC: as hb121. AG: 'Mixed methods' → 'Visual survey'. N, O, I, K unchanged (already set at the 2026-09-08 full read). AK written; AL High.  |  [2026-10-13 Partial review] Sibling underwood_2023_hb121 deleted (Peter 2026-10-13, Partial review: SMURFs sample fish recruits only, not the mobile-fauna assemblage; this row covers the method). underwood_2023_hb211 kept.  |  [2026-10-16 monitoring-methods pass] AT (Monitoring Methods) set from the protocol's method summary (AK): Invertebrate collectors / fauna traps.</t>
        </is>
      </c>
      <c r="AT34" s="20" t="inlineStr">
        <is>
          <t>Invertebrate collectors / fauna traps</t>
        </is>
      </c>
    </row>
    <row r="35" ht="240" customHeight="1">
      <c r="A35" s="3" t="inlineStr">
        <is>
          <t>Corrigan, S., et al.</t>
        </is>
      </c>
      <c r="B35" s="3" t="inlineStr">
        <is>
          <t>Quantification of finfish assemblages associated with mussel and seaweed farms in southwest UK provides evidence of potential benefits to fisheries</t>
        </is>
      </c>
      <c r="C35" s="3" t="inlineStr">
        <is>
          <t>Aquaculture Environment Interactions</t>
        </is>
      </c>
      <c r="D35" s="3" t="n">
        <v>16</v>
      </c>
      <c r="E35" s="3" t="n"/>
      <c r="F35" s="3" t="inlineStr">
        <is>
          <t>145-162</t>
        </is>
      </c>
      <c r="G35" s="3" t="n">
        <v>2024</v>
      </c>
      <c r="H35" s="3" t="n"/>
      <c r="I35" s="3" t="inlineStr">
        <is>
          <t>Seaweed + Mollusk Habitat &amp; Biodiversity — Indicators 1.2.1 (mobile fauna), 2.1.1 (community composition). Reference paper providing direction on useful monitoring methods at integrated mussel and seaweed farms with citations to primary protocols.</t>
        </is>
      </c>
      <c r="J35" s="3" t="inlineStr">
        <is>
          <t>Reference</t>
        </is>
      </c>
      <c r="K35" s="3" t="inlineStr">
        <is>
          <t>Provides direction on useful monitoring methods for finfish assessment at integrated mussel and seaweed farms. Practitioners and researchers can use this paper to identify cited primary protocols for relevant methodology.</t>
        </is>
      </c>
      <c r="L35" s="3" t="inlineStr">
        <is>
          <t>No — this is a reference/citation guide rather than an executable protocol. Useful for practitioners to identify which primary methodological papers to follow.</t>
        </is>
      </c>
      <c r="M35" s="3" t="inlineStr">
        <is>
          <t>Reference paper; researchers should follow citations within to access primary methodological literature.</t>
        </is>
      </c>
      <c r="N35" s="3" t="inlineStr">
        <is>
          <t>N/A — reference paper (consult cited primary protocols for equipment lists)</t>
        </is>
      </c>
      <c r="O35" s="3" t="inlineStr">
        <is>
          <t>N/A — reference paper</t>
        </is>
      </c>
      <c r="P35" s="3" t="inlineStr">
        <is>
          <t>One-time (no sampling — desk-based)</t>
        </is>
      </c>
      <c r="Q35" s="3" t="inlineStr">
        <is>
          <t>N/A — reference paper (provides citation guidance)</t>
        </is>
      </c>
      <c r="R35" s="3" t="inlineStr">
        <is>
          <t>Yes — Open Access</t>
        </is>
      </c>
      <c r="T35" s="3" t="inlineStr">
        <is>
          <t>https://doi.org/10.3354/aei00478</t>
        </is>
      </c>
      <c r="U35" s="3" t="inlineStr"/>
      <c r="V35" s="3" t="inlineStr">
        <is>
          <t>Original list</t>
        </is>
      </c>
      <c r="W35" s="8" t="inlineStr">
        <is>
          <t>1 — Reference</t>
        </is>
      </c>
      <c r="X35" s="3" t="inlineStr">
        <is>
          <t>Multi-trophic (IMTA)</t>
        </is>
      </c>
      <c r="Y35" s="3" t="inlineStr">
        <is>
          <t>Habitat &amp; Biodiversity</t>
        </is>
      </c>
      <c r="Z35" s="3" t="inlineStr">
        <is>
          <t>H&amp;B 1.2.1 — Mobile fauna, H&amp;B 2.1.1 — Community composition</t>
        </is>
      </c>
      <c r="AA35" s="3" t="inlineStr">
        <is>
          <t>Temperate Atlantic</t>
        </is>
      </c>
      <c r="AB35" s="3" t="inlineStr">
        <is>
          <t>Saccharina (sugar kelp)</t>
        </is>
      </c>
      <c r="AC35" s="3" t="inlineStr">
        <is>
          <t>Longline (surface)</t>
        </is>
      </c>
      <c r="AD35" s="3" t="inlineStr">
        <is>
          <t>Medium (1–20 ha)</t>
        </is>
      </c>
      <c r="AE35" s="3" t="inlineStr">
        <is>
          <t>Variable / seasonal</t>
        </is>
      </c>
      <c r="AF35" s="3" t="inlineStr">
        <is>
          <t>Seaweed + shellfish</t>
        </is>
      </c>
      <c r="AG35" s="3" t="inlineStr">
        <is>
          <t>Mixed methods</t>
        </is>
      </c>
      <c r="AH35" s="3" t="inlineStr">
        <is>
          <t>Brown</t>
        </is>
      </c>
      <c r="AI35" s="3" t="inlineStr">
        <is>
          <t>Shallow nearshore (2–10 m)</t>
        </is>
      </c>
      <c r="AJ35" s="3" t="inlineStr">
        <is>
          <t>Semi-exposed</t>
        </is>
      </c>
      <c r="AK35" s="16" t="inlineStr">
        <is>
          <t>This is a reference paper rather than a standalone protocol: it reviews and signposts useful monitoring methods for mobile fauna and community composition at integrated mussel-and-seaweed farms, with citations to the primary sources that describe each method. Use it to locate the cited primary protocols relevant to your Habitat &amp; Biodiversity indicators, then follow those for execution. Open access.</t>
        </is>
      </c>
      <c r="AL35" s="17" t="inlineStr">
        <is>
          <t>Ref</t>
        </is>
      </c>
      <c r="AM35" s="18" t="inlineStr">
        <is>
          <t>corrigan_2024</t>
        </is>
      </c>
      <c r="AN35" s="19" t="n"/>
      <c r="AO35" s="19" t="n"/>
      <c r="AP35" s="19" t="n"/>
      <c r="AQ35" s="16" t="inlineStr">
        <is>
          <t>Finfish-Assemblage Monitoring at Mussel/Seaweed Farms (Reference)</t>
        </is>
      </c>
      <c r="AR35" s="16" t="inlineStr">
        <is>
          <t xml:space="preserve">Corrigan, Sophie; Smale, Dan A; Tyler, Charles R; Brown, A Ross; </t>
        </is>
      </c>
      <c r="AS35" s="16" t="inlineStr">
        <is>
          <t>Reference paper providing citation guidance for finfish monitoring methods at integrated mussel and seaweed farms. Practitioners can follow citations within to identify potentially applicable primary protocols. Open access at Aquaculture Environment Interactions.</t>
        </is>
      </c>
      <c r="AT35" s="20" t="n"/>
    </row>
    <row r="36" ht="240" customHeight="1">
      <c r="A36" s="3" t="inlineStr">
        <is>
          <t>Theuerkauf, S. J., et al.</t>
        </is>
      </c>
      <c r="B36" s="3" t="inlineStr">
        <is>
          <t>Habitat value of bivalve shellfish and seaweed aquaculture for fish and invertebrates: Pathways, synthesis and next steps</t>
        </is>
      </c>
      <c r="C36" s="3" t="inlineStr">
        <is>
          <t>Reviews in Aquaculture</t>
        </is>
      </c>
      <c r="D36" s="3" t="n">
        <v>14</v>
      </c>
      <c r="E36" s="3" t="n">
        <v>1</v>
      </c>
      <c r="F36" s="3" t="inlineStr">
        <is>
          <t>54-72</t>
        </is>
      </c>
      <c r="G36" s="3" t="n">
        <v>2022</v>
      </c>
      <c r="H36" s="3" t="inlineStr">
        <is>
          <t>Wiley Online Library</t>
        </is>
      </c>
      <c r="I36" s="3" t="inlineStr">
        <is>
          <t>Seaweed Habitat &amp; Biodiversity — covers all H&amp;B indicators via meta-analysis. Reference paper across indicators 1.1.1, 1.2.1, 1.3.1, 2.1.1.</t>
        </is>
      </c>
      <c r="J36" s="3" t="inlineStr">
        <is>
          <t>Reference (systematic literature review + meta-analysis of 65 studies)</t>
        </is>
      </c>
      <c r="K36" s="3" t="inlineStr">
        <is>
          <t>Systematic literature review and meta-analysis (n=65 studies) synthesizing habitat value of bivalve shellfish and seaweed aquaculture for fish and invertebrates. Provides pathways and next-steps framing for the field but does not describe a sampling protocol. Useful as foundational reference for designing primary studies.</t>
        </is>
      </c>
      <c r="L36" s="3" t="inlineStr">
        <is>
          <t>No — review.</t>
        </is>
      </c>
      <c r="M36" s="3" t="inlineStr">
        <is>
          <t>Yes — useful for scoping expected effect sizes.</t>
        </is>
      </c>
      <c r="N36" s="3" t="inlineStr">
        <is>
          <t>N/A — systematic literature review + meta-analysis</t>
        </is>
      </c>
      <c r="O36" s="3" t="inlineStr">
        <is>
          <t>N/A</t>
        </is>
      </c>
      <c r="P36" s="3" t="inlineStr">
        <is>
          <t>One-time (no sampling — desk-based)</t>
        </is>
      </c>
      <c r="Q36" s="3" t="inlineStr">
        <is>
          <t>Meta-analysis using log response ratios (lnRR) across 65 studies</t>
        </is>
      </c>
      <c r="R36" s="3" t="inlineStr">
        <is>
          <t>Yes — Open Access (CC BY-NC-ND, Reviews in Aquaculture / Wiley)</t>
        </is>
      </c>
      <c r="S36" t="inlineStr">
        <is>
          <t>Abstract + DOI metadata</t>
        </is>
      </c>
      <c r="T36" s="3" t="inlineStr">
        <is>
          <t>https://onlinelibrary.wiley.com/doi/10.1111/raq.12584 ; TNC summary: https://www.aquaculturescience.org/habitat-value-of-shellfish-and-seaweed-aquaculture/</t>
        </is>
      </c>
      <c r="U36" s="3" t="inlineStr"/>
      <c r="V36" s="3" t="inlineStr">
        <is>
          <t>Original list</t>
        </is>
      </c>
      <c r="W36" s="8" t="inlineStr">
        <is>
          <t>1 — Reference</t>
        </is>
      </c>
      <c r="X36" s="3" t="inlineStr">
        <is>
          <t>Seaweed, Mollusk</t>
        </is>
      </c>
      <c r="Y36" s="3" t="inlineStr">
        <is>
          <t>Habitat &amp; Biodiversity</t>
        </is>
      </c>
      <c r="Z36" s="3" t="inlineStr">
        <is>
          <t>H&amp;B 1.1.1 — Epibiota, H&amp;B 1.2.1 — Mobile fauna, H&amp;B 1.3.1 — Benthic infauna, H&amp;B 2.1.1 — Community composition</t>
        </is>
      </c>
      <c r="AA36" s="3" t="inlineStr">
        <is>
          <t>Cross-zone / global</t>
        </is>
      </c>
      <c r="AB36" s="3" t="inlineStr">
        <is>
          <t>Not species-specific</t>
        </is>
      </c>
      <c r="AC36" s="3" t="inlineStr">
        <is>
          <t>Not gear-specific</t>
        </is>
      </c>
      <c r="AD36" s="3" t="inlineStr">
        <is>
          <t>Not scale-specific</t>
        </is>
      </c>
      <c r="AE36" s="3" t="inlineStr">
        <is>
          <t>Not site-specific</t>
        </is>
      </c>
      <c r="AF36" s="3" t="inlineStr">
        <is>
          <t>Not specific</t>
        </is>
      </c>
      <c r="AG36" s="3" t="inlineStr">
        <is>
          <t>Mixed methods</t>
        </is>
      </c>
      <c r="AH36" s="3" t="inlineStr">
        <is>
          <t>Not algae-specific</t>
        </is>
      </c>
      <c r="AI36" s="3" t="inlineStr">
        <is>
          <t>Not depth-specific</t>
        </is>
      </c>
      <c r="AJ36" s="3" t="inlineStr">
        <is>
          <t>Not exposure-specific</t>
        </is>
      </c>
      <c r="AK36" s="16" t="inlineStr">
        <is>
          <t>This is a systematic review and meta-analysis (65 studies), not a sampling protocol. It synthesises the habitat value of bivalve and seaweed aquaculture for fish and invertebrates and reports pooled effect sizes (log response ratios), which you can use to anticipate the likely magnitude of habitat effects and to pick gear, species and farm-type combinations that maximise them. Use it to scope and design a primary study rather than to execute measurements.</t>
        </is>
      </c>
      <c r="AL36" s="17" t="inlineStr">
        <is>
          <t>Ref</t>
        </is>
      </c>
      <c r="AM36" s="18" t="inlineStr">
        <is>
          <t>theuerkauf_2022</t>
        </is>
      </c>
      <c r="AN36" s="19" t="n"/>
      <c r="AO36" s="19" t="n"/>
      <c r="AP36" s="19" t="n"/>
      <c r="AQ36" s="16" t="inlineStr">
        <is>
          <t>Habitat Value of Shellfish &amp; Seaweed Aquaculture (Meta-Analysis)</t>
        </is>
      </c>
      <c r="AR36" s="16" t="inlineStr">
        <is>
          <t xml:space="preserve">Theuerkauf, Seth J; Barrett, Luke T; Alleway, Heidi K; Costa‐Pierce, Barry A; St. Gelais, Adam; Jones, Robert C; </t>
        </is>
      </c>
      <c r="AS36" s="16" t="inlineStr">
        <is>
          <t>Major TNC-co-authored review — explicitly cited in the MEL framework. Use to size expected effects and to identify gear/species/typology combinations that maximise habitat value.</t>
        </is>
      </c>
      <c r="AT36" s="20" t="n"/>
    </row>
    <row r="37" ht="240" customHeight="1">
      <c r="A37" s="3" t="inlineStr">
        <is>
          <t>Eklöf, J. S., et al.</t>
        </is>
      </c>
      <c r="B37" s="3" t="inlineStr">
        <is>
          <t>How do seaweed farms influence local fishery catches in a seagrass-dominated setting in Chwaka Bay, Zanzibar?</t>
        </is>
      </c>
      <c r="C37" s="3" t="inlineStr">
        <is>
          <t>Aquatic Living Resources</t>
        </is>
      </c>
      <c r="D37" s="3" t="n">
        <v>19</v>
      </c>
      <c r="E37" s="3" t="n">
        <v>2</v>
      </c>
      <c r="F37" s="3" t="inlineStr">
        <is>
          <t>137-147</t>
        </is>
      </c>
      <c r="G37" s="3" t="n">
        <v>2006</v>
      </c>
      <c r="H37" s="3" t="inlineStr">
        <is>
          <t>EDP Sciences</t>
        </is>
      </c>
      <c r="I37" s="3" t="inlineStr">
        <is>
          <t>Maps to H&amp;B 1.2.1 — Mobile fauna. Baited basket traps set for ~24 h inside the seaweed farm (and, in a second test, beside the farmed seaweed vs on sand patches) index fish and crab abundance, catch weight and species per trap-day. Match: Partial — trap catches are bait- and gear-selective, so they give relative, not absolute, abundance.</t>
        </is>
      </c>
      <c r="J37" s="3" t="inlineStr">
        <is>
          <t>Protocol (empirical, fully specified — traditional fishery basket-trap surveys)</t>
        </is>
      </c>
      <c r="K37" s="3" t="inlineStr">
        <is>
          <t>Confirmed standalone (full read). Five traps per site ~20 m apart, emptied, re-baited and moved daily over three neap tides, with every animal weighed, measured and identified — robust for H&amp;B 1.2.1 (Partial: trap-selective; 43% of traps came up empty, so many trap-days are needed).</t>
        </is>
      </c>
      <c r="L37" s="3" t="inlineStr">
        <is>
          <t>Yes — uses traditional fishing gear; designed to be embedded in existing artisanal fishery practice.</t>
        </is>
      </c>
      <c r="M37" s="3" t="inlineStr">
        <is>
          <t>Yes — fully specified.</t>
        </is>
      </c>
      <c r="N37" s="3" t="inlineStr">
        <is>
          <t>Baited basket traps (traditional hexagonal 'madema' design, ~1 × 1.1 × 0.2 m, 3 cm mesh; a commercial collapsible fish trap is an adequate stand-in) with marker buoys; locally collected bait (seagrass, algae, brittle stars, sponge), a fixed volume per trap; 0.25 m² frame for plant cover in front of the trap mouth (context); hanging scale; measuring board; regional fish ID guides.</t>
        </is>
      </c>
      <c r="O37" s="3" t="inlineStr">
        <is>
          <t>Low — ~$800 yr 1: $803 start-up (fish trap ×10 $743 [list]; hanging scale $30 [est]; fish ID guide $30 [est]) + no recurring cost</t>
        </is>
      </c>
      <c r="P37" s="3" t="inlineStr">
        <is>
          <t>Seasonal (1–3 months) — 18 trap-days over three neap tides (Apr–Jun), plus a 5-day within-farm comparison</t>
        </is>
      </c>
      <c r="Q37" s="3" t="inlineStr">
        <is>
          <t>Catch per trap-day (individuals, weight, species, mean size): one-way ANOVA or Kruskal-Wallis with Tukey HSD / Mann-Whitney U (sequential Bonferroni); t-test for algae vs sand microhabitats within the farm.</t>
        </is>
      </c>
      <c r="R37" s="3" t="inlineStr">
        <is>
          <t>Yes — Open Access (Aquatic Living Resources)</t>
        </is>
      </c>
      <c r="S37" t="inlineStr">
        <is>
          <t>Full PDF</t>
        </is>
      </c>
      <c r="T37" s="3" t="inlineStr">
        <is>
          <t>https://www.alr-journal.org/articles/alr/abs/2006/02/alr004-06/alr004-06.html</t>
        </is>
      </c>
      <c r="U37" s="3" t="inlineStr">
        <is>
          <t>A good model for community-based catch monitoring at tropical artisanal farms.</t>
        </is>
      </c>
      <c r="V37" s="3" t="inlineStr">
        <is>
          <t>Original list</t>
        </is>
      </c>
      <c r="W37" s="10" t="inlineStr">
        <is>
          <t>4 — Practitioner</t>
        </is>
      </c>
      <c r="X37" s="3" t="inlineStr">
        <is>
          <t>Seaweed</t>
        </is>
      </c>
      <c r="Y37" s="3" t="inlineStr">
        <is>
          <t>Habitat &amp; Biodiversity</t>
        </is>
      </c>
      <c r="Z37" s="3" t="inlineStr">
        <is>
          <t>H&amp;B 1.2.1 — Mobile fauna</t>
        </is>
      </c>
      <c r="AA37" s="3" t="inlineStr">
        <is>
          <t>Tropical</t>
        </is>
      </c>
      <c r="AB37" s="3" t="inlineStr">
        <is>
          <t>Kappaphycus / Eucheuma</t>
        </is>
      </c>
      <c r="AC37" s="3" t="inlineStr">
        <is>
          <t>Off-bottom (monoline / pegs)</t>
        </is>
      </c>
      <c r="AD37" s="3" t="inlineStr">
        <is>
          <t>Small (&lt;1 ha)</t>
        </is>
      </c>
      <c r="AE37" s="3" t="inlineStr">
        <is>
          <t>Clear (visual methods feasible)</t>
        </is>
      </c>
      <c r="AF37" s="3" t="inlineStr">
        <is>
          <t>Monoculture</t>
        </is>
      </c>
      <c r="AG37" s="3" t="inlineStr">
        <is>
          <t>Mixed methods</t>
        </is>
      </c>
      <c r="AH37" s="3" t="inlineStr">
        <is>
          <t>Red</t>
        </is>
      </c>
      <c r="AI37" s="3" t="inlineStr">
        <is>
          <t>Intertidal / very shallow (&lt; 2 m)</t>
        </is>
      </c>
      <c r="AJ37" s="3" t="inlineStr">
        <is>
          <t>Sheltered</t>
        </is>
      </c>
      <c r="AK37" s="16" t="inlineStr">
        <is>
          <t>To measure the fish (and crabs) using your farm, set [5] baited basket traps about 20 m apart within the farm and [5] at its edge, mouths facing the farmed seaweed, each with the same volume of locally used bait (e.g. seagrass, algae, brittle stars) and marked with a buoy. Collect after about 24 hours, re-bait and move each trap to a new spot, and repeat for [several] days during calm (neap) tides. Weigh, measure and identify every animal with a regional fish guide, and express the catch as individuals, weight and species per trap per day. Repeat once per season; bait and trap design decide which species enter and many traps come up empty, so keep traps and bait the same every time and treat results as relative, not absolute, abundance.</t>
        </is>
      </c>
      <c r="AL37" s="17" t="inlineStr">
        <is>
          <t>High</t>
        </is>
      </c>
      <c r="AM37" s="18" t="inlineStr">
        <is>
          <t>eklof_2006_hb121</t>
        </is>
      </c>
      <c r="AN37" s="19" t="n"/>
      <c r="AO37" s="19" t="n"/>
      <c r="AP37" s="19" t="n"/>
      <c r="AQ37" s="16" t="inlineStr">
        <is>
          <t>Mobile-fauna monitoring — Seaweed</t>
        </is>
      </c>
      <c r="AR37" s="16" t="inlineStr">
        <is>
          <t xml:space="preserve">Eklöf, Johan S; de la Torre-Castro, Maricela; Nilsson, Camilla; Rönnbäck, Patrik; </t>
        </is>
      </c>
      <c r="AS37" s="16" t="inlineStr">
        <is>
          <t>Strong tropical artisanal-fishery design — particularly suitable as a model for community-based monitoring at Zanzibar / Tanzania / Kenya farms.  |  Migration (one-indicator-per-row, 2026-09-04): split from eklof_2006 -&gt; {eklof_2006_hb121, eklof_2006_hb211}. This row = eklof_2006_hb121 (H&amp;B 1.2.1 — Mobile fauna). Candidate: AK/N/Q blanked and I/K/W/O/P provisional; per-indicator method text, tier/cost/effort and match adjudication to be finalised at generation. Combined parent I/AK/N/Q retained in v37 (pre-split).  |  [2026-10-09 Rule 15 cost re-rate, batch 1] Framework basis: SW H&amp;B 1.2.1: within farm + edge; once per season (2 visits); 2 locations × 2 visits × 3 replicates = 12. Basket-trap catch counts + weights, one trap set per location; gear inferred from method note. Prior O: 'Low — &lt;$500'.  |  [2026-10-13 method-summary pass] S: blank → 'Full PDF' (public PDF fetched from marineagronomy.org). I, K: candidate-split text replaced after full read (prior: 'Maps to H&amp;B 1.2.1 — Mobile fauna. Candidate split…' / 'Standalone-candidate…'). N, Q: blank → filled. P: 'Short campaign (days to 2 weeks)' → Seasonal (sampling spread over three neap tides, Apr–Jun). O: 'Low — ~$510 yr 1: $506 start-up (fish trap ×6 $446 [list]; hanging scale $30 [est]; fish ID guide $30 [est]) + no recurring cost' → Low ~$800; Rule 15 basis: SW H&amp;B 1.2.1 within farm + edge; 2 locations × 5 traps (source n) = 10 traps, reused across visits; bait collected locally ($0). AK written; AL High (unchanged).  |  [2026-10-16 monitoring-methods pass] AT (Monitoring Methods) set from the protocol's method summary (AK): Nets &amp; baited traps.</t>
        </is>
      </c>
      <c r="AT37" s="20" t="inlineStr">
        <is>
          <t>Nets &amp; baited traps</t>
        </is>
      </c>
    </row>
    <row r="38" ht="240" customHeight="1">
      <c r="A38" s="20" t="inlineStr">
        <is>
          <t>Eklöf, J. S., et al.</t>
        </is>
      </c>
      <c r="B38" s="20" t="inlineStr">
        <is>
          <t>How do seaweed farms influence local fishery catches in a seagrass-dominated setting in Chwaka Bay, Zanzibar?</t>
        </is>
      </c>
      <c r="C38" s="20" t="inlineStr">
        <is>
          <t>Aquatic Living Resources</t>
        </is>
      </c>
      <c r="D38" s="20" t="n">
        <v>19</v>
      </c>
      <c r="E38" s="20" t="n">
        <v>2</v>
      </c>
      <c r="F38" s="20" t="inlineStr">
        <is>
          <t>137-147</t>
        </is>
      </c>
      <c r="G38" s="20" t="n">
        <v>2006</v>
      </c>
      <c r="H38" s="20" t="inlineStr">
        <is>
          <t>EDP Sciences</t>
        </is>
      </c>
      <c r="I38" s="20" t="inlineStr">
        <is>
          <t>Maps to H&amp;B 2.1.1 — Community composition. Basket-trap catches compared between a seaweed farm, a seagrass bed and a bare sand bank (species and trophic-group composition by weight). Match: Partial — fish and crabs only; comparative.</t>
        </is>
      </c>
      <c r="J38" s="20" t="inlineStr">
        <is>
          <t>Protocol (empirical, fully specified — traditional fishery basket-trap surveys)</t>
        </is>
      </c>
      <c r="K38" s="20" t="inlineStr">
        <is>
          <t>Confirmed standalone (full read). Same-day trap fishing at farm, seagrass and sand sites, with traps rotated among sites daily, compared catch per trap-day and composition (MDS, ANOSIM, SIMPER, BIO-ENV) — robust for H&amp;B 2.1.1 (Partial; comparative). The seagrass and sand controls map onto the Framework's two reference locations.</t>
        </is>
      </c>
      <c r="L38" s="20" t="inlineStr">
        <is>
          <t>Yes — uses traditional fishing gear; designed to be embedded in existing artisanal fishery practice.</t>
        </is>
      </c>
      <c r="M38" s="20" t="inlineStr">
        <is>
          <t>Yes — fully specified.</t>
        </is>
      </c>
      <c r="N38" s="20" t="inlineStr">
        <is>
          <t>Baited basket traps (traditional hexagonal 'madema' design, ~1 × 1.1 × 0.2 m, 3 cm mesh; a commercial collapsible fish trap is an adequate stand-in) with marker buoys; locally collected bait (seagrass, algae, brittle stars, sponge), a fixed volume per trap; 0.25 m² frame for plant cover in front of the trap mouth (context); hanging scale; measuring board; regional fish ID guides.</t>
        </is>
      </c>
      <c r="O38" s="20" t="inlineStr">
        <is>
          <t>Medium — ~$1.5K yr 1: $1.55K start-up (fish trap ×20 $1.49K [list]; hanging scale $30 [est]; fish ID guide $30 [est]) + no recurring cost</t>
        </is>
      </c>
      <c r="P38" s="20" t="inlineStr">
        <is>
          <t>Seasonal (1–3 months) — 18 trap-days over three neap tides (Apr–Jun), plus a 5-day within-farm comparison</t>
        </is>
      </c>
      <c r="Q38" s="20" t="inlineStr">
        <is>
          <t>Catch composition by species and trophic-group weight: nMDS on Bray-Curtis (4th-root transformed), ANOSIM, SIMPER; BIO-ENV against cover and tide variables (PRIMER 5); one-way ANOVA / Kruskal-Wallis on catch per trap-day.</t>
        </is>
      </c>
      <c r="R38" s="20" t="inlineStr">
        <is>
          <t>Yes — Open Access (Aquatic Living Resources)</t>
        </is>
      </c>
      <c r="S38" s="21" t="inlineStr">
        <is>
          <t>Full PDF</t>
        </is>
      </c>
      <c r="T38" s="20" t="inlineStr">
        <is>
          <t>https://www.alr-journal.org/articles/alr/abs/2006/02/alr004-06/alr004-06.html</t>
        </is>
      </c>
      <c r="U38" s="20" t="inlineStr">
        <is>
          <t>A good model for community-based catch monitoring at tropical artisanal farms.</t>
        </is>
      </c>
      <c r="V38" s="20" t="inlineStr">
        <is>
          <t>Original list</t>
        </is>
      </c>
      <c r="W38" s="10" t="inlineStr">
        <is>
          <t>4 — Practitioner</t>
        </is>
      </c>
      <c r="X38" s="20" t="inlineStr">
        <is>
          <t>Seaweed</t>
        </is>
      </c>
      <c r="Y38" s="20" t="inlineStr">
        <is>
          <t>Habitat &amp; Biodiversity</t>
        </is>
      </c>
      <c r="Z38" s="20" t="inlineStr">
        <is>
          <t>H&amp;B 2.1.1 — Community composition</t>
        </is>
      </c>
      <c r="AA38" s="20" t="inlineStr">
        <is>
          <t>Tropical</t>
        </is>
      </c>
      <c r="AB38" s="20" t="inlineStr">
        <is>
          <t>Kappaphycus / Eucheuma</t>
        </is>
      </c>
      <c r="AC38" s="20" t="inlineStr">
        <is>
          <t>Off-bottom (monoline / pegs)</t>
        </is>
      </c>
      <c r="AD38" s="20" t="inlineStr">
        <is>
          <t>Small (&lt;1 ha)</t>
        </is>
      </c>
      <c r="AE38" s="20" t="inlineStr">
        <is>
          <t>Clear (visual methods feasible)</t>
        </is>
      </c>
      <c r="AF38" s="20" t="inlineStr">
        <is>
          <t>Monoculture</t>
        </is>
      </c>
      <c r="AG38" s="20" t="inlineStr">
        <is>
          <t>Mixed methods</t>
        </is>
      </c>
      <c r="AH38" s="20" t="inlineStr">
        <is>
          <t>Red</t>
        </is>
      </c>
      <c r="AI38" s="20" t="inlineStr">
        <is>
          <t>Intertidal / very shallow (&lt; 2 m)</t>
        </is>
      </c>
      <c r="AJ38" s="20" t="inlineStr">
        <is>
          <t>Sheltered</t>
        </is>
      </c>
      <c r="AK38" s="16" t="inlineStr">
        <is>
          <t>To compare fish catches at your farm with nearby habitats, fish [5] baited basket traps within the farm, [5] at its edge and [5] at each of [2] reference sites of similar depth — for example an unfarmed seagrass bed and a bare-sand area — setting all locations on the same days and rotating traps among them so differences between traps don't bias the comparison. Leave traps about 24 hours, re-bait and reposition, and repeat for [several] days across [2–3] calm (neap) tides. Identify, count and weigh the catch by species, assign each species to a feeding group, and compare catch per trap-day, species number and catch composition between locations (e.g. nMDS with ANOSIM/SIMPER); noting the plant cover in front of each trap mouth helps explain differences. Do this once a year; within one farm, traps facing the seaweed catch more than traps on sand, so place traps the same way at every location.</t>
        </is>
      </c>
      <c r="AL38" s="17" t="inlineStr">
        <is>
          <t>High</t>
        </is>
      </c>
      <c r="AM38" s="18" t="inlineStr">
        <is>
          <t>eklof_2006_hb211</t>
        </is>
      </c>
      <c r="AN38" s="19" t="n"/>
      <c r="AO38" s="19" t="n"/>
      <c r="AP38" s="19" t="n"/>
      <c r="AQ38" s="16" t="inlineStr">
        <is>
          <t>Community-composition survey — Seaweed</t>
        </is>
      </c>
      <c r="AR38" s="16" t="inlineStr">
        <is>
          <t xml:space="preserve">Eklöf, Johan S; de la Torre-Castro, Maricela; Nilsson, Camilla; Rönnbäck, Patrik; </t>
        </is>
      </c>
      <c r="AS38" s="16" t="inlineStr">
        <is>
          <t>Strong tropical artisanal-fishery design — particularly suitable as a model for community-based monitoring at Zanzibar / Tanzania / Kenya farms.  |  Migration (one-indicator-per-row, 2026-09-04): split from eklof_2006 -&gt; {eklof_2006_hb121, eklof_2006_hb211}. This row = eklof_2006_hb211 (H&amp;B 2.1.1 — Community composition). Candidate: AK/N/Q blanked and I/K/W/O/P provisional; per-indicator method text, tier/cost/effort and match adjudication to be finalised at generation. Combined parent I/AK/N/Q retained in v37 (pre-split).  |  [2026-10-09 Rule 15 cost re-rate, batch 1] Framework basis: SW H&amp;B 2.1.1: 2 farm strata + 2 offsite refs; annual (1 visit); 4 locations × 1 visits × 3 replicates = 12. Basket-trap catch counts + weights, one trap set per location; gear inferred from method note. Prior O: 'Low — &lt;$500'.  |  [2026-10-13 method-summary pass] S: blank → 'Full PDF' (public PDF fetched from marineagronomy.org). I, K: candidate-split text replaced after full read (prior: 'Maps to H&amp;B 2.1.1 — Community composition. Candidate split…' / 'Standalone-candidate…'). N, Q: blank → filled. P: 'Short campaign (days to 2 weeks)' → Seasonal. O: 'Low — ~$950 yr 1: $952 start-up (fish trap ×12 $892 [list]; hanging scale $30 [est]; fish ID guide $30 [est]) + no recurring cost' → Medium ~$1.5K; Rule 15 basis: SW H&amp;B 2.1.1 2 farm strata + 2 offsite refs; annual; 4 locations × 5 traps (source n), fished simultaneously as in the source = 20 traps. AK written; AL High (unchanged).  |  [2026-10-16 monitoring-methods pass] AT (Monitoring Methods) set from the protocol's method summary (AK): Nets &amp; baited traps.</t>
        </is>
      </c>
      <c r="AT38" s="20" t="inlineStr">
        <is>
          <t>Nets &amp; baited traps</t>
        </is>
      </c>
    </row>
    <row r="39" ht="240" customHeight="1">
      <c r="A39" s="3" t="inlineStr">
        <is>
          <t>Abhilash, K., et al.</t>
        </is>
      </c>
      <c r="B39" s="3" t="inlineStr">
        <is>
          <t>Impact of long-term seaweed farming on water quality: a case study from Palk Bay, India</t>
        </is>
      </c>
      <c r="C39" s="3" t="inlineStr">
        <is>
          <t>Journal of coastal conservation</t>
        </is>
      </c>
      <c r="D39" s="3" t="n">
        <v>23</v>
      </c>
      <c r="E39" s="3" t="n">
        <v>2</v>
      </c>
      <c r="F39" s="3" t="inlineStr">
        <is>
          <t>485-499</t>
        </is>
      </c>
      <c r="G39" s="3" t="n">
        <v>2019</v>
      </c>
      <c r="H39" s="3" t="inlineStr">
        <is>
          <t>Springer</t>
        </is>
      </c>
      <c r="I39" s="3" t="inlineStr">
        <is>
          <t>Seaweed Water Quality — Indicator 1.2.1 (dissolved oxygen). Decadal-scale paired culture/control/reference water-quality assessment with broader nutrient and Chl-a context, but WQ 1.1.1 and 2.1.1 are not directly measured per the MEL framework definitions (no biomass-bioextraction quantification; Chl-a method defers to Grasshoff et al. 1999 without specifying the procedure).</t>
        </is>
      </c>
      <c r="J39" s="3" t="inlineStr">
        <is>
          <t>Protocol (empirical, fully specified — standard hydrographic and water-chemistry sampling across three monsoon seasons at culture / control / reference sites)</t>
        </is>
      </c>
      <c r="K39" s="3" t="inlineStr">
        <is>
          <t>Yes. Hydrographic and water-quality parameters measured following standard procedures (per Strickland &amp; Parsons 1972 lineage cited in references) across three seasons — southwest monsoon, northeast monsoon, and spring inter-monsoon — at three culture locations in Palk Bay with paired control and reference sites. Found no consistent farm-vs-control variation; variation was mostly site-specific, supporting a low-impact framing for tropical Kappaphycus farming.</t>
        </is>
      </c>
      <c r="L39" s="3" t="inlineStr">
        <is>
          <t>Partial — handheld multiprobes for T, S, DO, pH are practitioner-friendly; standard Strickland-Parsons nutrient chemistry (NO3, NO2, NH4, PO4, SiO4) needs either field kits (Hach / LaMotte) or partner-lab analysis. Three-season sampling cadence is manageable with monthly station visits.</t>
        </is>
      </c>
      <c r="M39" s="3" t="inlineStr">
        <is>
          <t>Yes — methods are well-specified through their reference to Strickland &amp; Parsons (1972) and standard hydrographic procedures.</t>
        </is>
      </c>
      <c r="N39" s="3" t="inlineStr">
        <is>
          <t>Handheld multiprobe (T/S/DO/pH), spectrophotometer or partner-lab nutrient analyser, Niskin/Van Dorn bottle</t>
        </is>
      </c>
      <c r="O39" s="3" t="inlineStr">
        <is>
          <t>Medium — ~$5.4K yr 1: $4.62K start-up (DO logger ×3 $4.19K [list]; logger base station $130 [est]; mooring ×3 $300 [est]) + $740/yr (DO sensor cap 6 × $115 [list]; calibration supplies $50 [est])</t>
        </is>
      </c>
      <c r="P39" s="3" t="inlineStr">
        <is>
          <t>Year-long study (12 months)</t>
        </is>
      </c>
      <c r="Q39" s="3" t="inlineStr">
        <is>
          <t>ANOVA across sites and seasons, descriptive comparisons</t>
        </is>
      </c>
      <c r="R39" s="3" t="inlineStr">
        <is>
          <t>No — Paywalled at Springer (Journal of Coastal Conservation)</t>
        </is>
      </c>
      <c r="T39" s="3" t="inlineStr">
        <is>
          <t>Paywall: https://link.springer.com/article/10.1007/s11852-018-00678-4 ; JSTOR: https://www.jstor.org/stable/45047215 ; DOI 10.1007/s11852-018-00678-4</t>
        </is>
      </c>
      <c r="U39" s="3" t="inlineStr">
        <is>
          <t>A decadal case study with a null result (no farm-vs-control difference) - a useful template for the 'is established farming changing water quality?' question.</t>
        </is>
      </c>
      <c r="V39" s="3" t="inlineStr">
        <is>
          <t>Original list</t>
        </is>
      </c>
      <c r="W39" s="9" t="inlineStr">
        <is>
          <t>3 — Partnership</t>
        </is>
      </c>
      <c r="X39" s="3" t="inlineStr">
        <is>
          <t>Seaweed</t>
        </is>
      </c>
      <c r="Y39" s="3" t="inlineStr">
        <is>
          <t>Water Quality</t>
        </is>
      </c>
      <c r="Z39" s="3" t="inlineStr">
        <is>
          <t>WQ 1.2.1 — Dissolved oxygen</t>
        </is>
      </c>
      <c r="AA39" s="3" t="inlineStr">
        <is>
          <t>Tropical</t>
        </is>
      </c>
      <c r="AB39" s="3" t="inlineStr">
        <is>
          <t>Kappaphycus / Eucheuma</t>
        </is>
      </c>
      <c r="AC39" s="3" t="inlineStr">
        <is>
          <t>Off-bottom (monoline / pegs)</t>
        </is>
      </c>
      <c r="AD39" s="3" t="inlineStr">
        <is>
          <t>Large (&gt;20 ha)</t>
        </is>
      </c>
      <c r="AE39" s="3" t="inlineStr">
        <is>
          <t>Variable / seasonal</t>
        </is>
      </c>
      <c r="AF39" s="3" t="inlineStr">
        <is>
          <t>Monoculture</t>
        </is>
      </c>
      <c r="AG39" s="3" t="inlineStr">
        <is>
          <t>Water chemistry</t>
        </is>
      </c>
      <c r="AH39" s="3" t="inlineStr">
        <is>
          <t>Red</t>
        </is>
      </c>
      <c r="AI39" s="3" t="inlineStr">
        <is>
          <t>Shallow nearshore (2–10 m)</t>
        </is>
      </c>
      <c r="AJ39" s="3" t="inlineStr">
        <is>
          <t>Not exposure-specific</t>
        </is>
      </c>
      <c r="AK39" s="16" t="inlineStr">
        <is>
          <t>To assess whether long-term seaweed farming is changing local water quality, sample at the culture site and at two comparison sites — a control just outside the farm (a few hundred metres away) and a reference site further off (~1–1.5 km) with similar conditions but no farming — and, where possible, compare against historical baseline data for the area. Sample across seasons rather than once, collecting surface water with a Niskin sampler and reading temperature, salinity, dissolved oxygen, pH, turbidity and total dissolved solids on the spot with a multiparameter sonde, while taking bottles for nutrients (ammonia, nitrate, nitrite, phosphate, silicate), chlorophyll-a, primary productivity (light/dark bottle) and BOD by standard laboratory methods; confirm DO by Winkler titration. Test spatial (culture vs control vs reference) and seasonal differences with one-way ANOVA and Tukey post-hoc tests, and group sites by their water-quality signature using cluster analysis, MDS and PCA.</t>
        </is>
      </c>
      <c r="AL39" s="17" t="inlineStr">
        <is>
          <t>High</t>
        </is>
      </c>
      <c r="AM39" s="18" t="inlineStr">
        <is>
          <t>abhilash_2019</t>
        </is>
      </c>
      <c r="AN39" s="19" t="n"/>
      <c r="AO39" s="19" t="n"/>
      <c r="AP39" s="19" t="n"/>
      <c r="AQ39" s="16" t="inlineStr">
        <is>
          <t>Long-Term Water-Quality Monitoring at a Seaweed Farm</t>
        </is>
      </c>
      <c r="AR39" s="16" t="inlineStr">
        <is>
          <t xml:space="preserve">Abhilash, KR; Sankar, R; Purvaja, R; Deepak, Samuel V; Sreeraj, CR; Krishnan, P; Sekar, V; Biswas, Amit K; Kumarapandiyan, G; Ramesh, R; </t>
        </is>
      </c>
      <c r="AS39" s="16" t="inlineStr">
        <is>
          <t>Long-time-series (decadal) tropical Kappaphycus farming case study with a clear null finding (no significant farm-vs-control variation). Particularly useful as a template for tropical farms where the question is whether established commercial-scale farming is altering background hydrography against monsoonal noise. [Caveat re Chl-a]: This paper defers to Grasshoff et al. 1999 (Methods of Seawater Analysis) for chlorophyll-a procedure without specifying it. If you want to measure Chl-a using this paper's framing, use it alongside Grasshoff et al. 1999.  |  [2026-10-09 Rule 15 cost re-rate, batch 3] Framework basis: SW WQ 1.2.1: farm + 2 adjacent non-farm refs; seasonal + diurnal (4 visits, tropical year-round crop; one logger per location); 3 locations × 4 visits × 1 replicates = 12. Spot sonde readings replaced by the logger route (a DO logger per location meets the diurnal requirement); Winkler checks covered by calibration supplies. Prior O: 'Medium — multiprobe $500–3K; spectrophotometer ~$3K (or partner lab)'.  |  [2026-10-16 monitoring-methods pass] AT (Monitoring Methods) set from the protocol's method summary (AK): Temperature / salinity, Dissolved oxygen, pH, Water clarity / turbidity (Secchi), Dissolved nutrients (N &amp; P), Chlorophyll-a (water), BOD / COD.</t>
        </is>
      </c>
      <c r="AT39" s="20" t="inlineStr">
        <is>
          <t>Temperature / salinity, Dissolved oxygen, pH, Water clarity / turbidity (Secchi), Dissolved nutrients (N &amp; P), Chlorophyll-a (water), BOD / COD</t>
        </is>
      </c>
    </row>
    <row r="40" ht="240" customHeight="1">
      <c r="A40" s="3" t="inlineStr">
        <is>
          <t>Zhu, Y., et al.</t>
        </is>
      </c>
      <c r="B40" s="3" t="inlineStr">
        <is>
          <t>Spatiotemporal variation of phytoplankton communities and water quality among seaweed, shellfish and cage fish culture systems</t>
        </is>
      </c>
      <c r="C40" s="3" t="inlineStr">
        <is>
          <t>Science of the Total Environment</t>
        </is>
      </c>
      <c r="D40" s="3" t="n">
        <v>896</v>
      </c>
      <c r="E40" s="3" t="n"/>
      <c r="F40" s="3" t="n">
        <v>165305</v>
      </c>
      <c r="G40" s="3" t="n">
        <v>2023</v>
      </c>
      <c r="H40" s="3" t="inlineStr">
        <is>
          <t>Elsevier</t>
        </is>
      </c>
      <c r="I40" s="3" t="inlineStr">
        <is>
          <t>Maps to WQ 2.1.1 — Chlorophyll-a. Surface (~0.5 m) water at three sites in each of seaweed, mussel and fish-cage areas and two unfarmed sites beside each, acetone-extracted chlorophyll-a by spectrophotometer. Match: Exact.</t>
        </is>
      </c>
      <c r="J40" s="3" t="inlineStr">
        <is>
          <t>Protocol (empirical, presumably standard phytoplankton enumeration + water chemistry)</t>
        </is>
      </c>
      <c r="K40" s="3" t="inlineStr">
        <is>
          <t>Confirmed standalone (full read). Five surveys over the summer with farm vs adjacent blank sites for three culture types — robust for WQ 2.1.1 (Exact; daytime surface samples).</t>
        </is>
      </c>
      <c r="L40" s="3" t="inlineStr">
        <is>
          <t>Partial — surface water collection is farmer-doable; acetone extraction and spectrophotometric chlorophyll-a need a partner lab.</t>
        </is>
      </c>
      <c r="M40" s="3" t="inlineStr">
        <is>
          <t>Yes — long-established methods.</t>
        </is>
      </c>
      <c r="N40" s="3" t="inlineStr">
        <is>
          <t>Glass water sampler or bottle at ~0.5 m; 500 mL bottles on ice; partner-lab GF/F filtration, 90% acetone extraction and spectrophotometer; multiparameter meter (YSI ProPlus) and Secchi disc for context.</t>
        </is>
      </c>
      <c r="O40" s="3" t="inlineStr">
        <is>
          <t>Medium — ~$1.3K yr 1: $250 start-up (chl-a filtration kit $250 [est]) + $1.01K/yr (chl-a analysis 36 × $25.18 [lab fee]; filters + foil $100 [est])</t>
        </is>
      </c>
      <c r="P40" s="3" t="inlineStr">
        <is>
          <t>Multi-season (3–9 months) — five surveys, Jun–Sep 2020</t>
        </is>
      </c>
      <c r="Q40" s="3" t="inlineStr">
        <is>
          <t>One-way ANOVA with Tukey tests among culture areas and blanks; Pearson correlation with environmental variables.</t>
        </is>
      </c>
      <c r="R40" s="3" t="inlineStr">
        <is>
          <t>Yes — Open Access at journal website</t>
        </is>
      </c>
      <c r="S40" t="inlineStr">
        <is>
          <t>Full PDF</t>
        </is>
      </c>
      <c r="T40" s="3" t="inlineStr">
        <is>
          <t>https://doi.org/10.1016/j.scitotenv.2023.165305</t>
        </is>
      </c>
      <c r="U40" s="3" t="n"/>
      <c r="V40" s="3" t="inlineStr">
        <is>
          <t>Original list</t>
        </is>
      </c>
      <c r="W40" s="9" t="inlineStr">
        <is>
          <t>3 — Partnership</t>
        </is>
      </c>
      <c r="X40" s="3" t="inlineStr">
        <is>
          <t>Multi-trophic (IMTA)</t>
        </is>
      </c>
      <c r="Y40" s="3" t="inlineStr">
        <is>
          <t>Water Quality</t>
        </is>
      </c>
      <c r="Z40" s="3" t="inlineStr">
        <is>
          <t>WQ 2.1.1 — Chlorophyll-a</t>
        </is>
      </c>
      <c r="AA40" s="3" t="inlineStr">
        <is>
          <t>Temperate Pacific</t>
        </is>
      </c>
      <c r="AB40" s="3" t="inlineStr">
        <is>
          <t>Multi-species / mixed</t>
        </is>
      </c>
      <c r="AC40" s="3" t="inlineStr">
        <is>
          <t>Mixed</t>
        </is>
      </c>
      <c r="AD40" s="3" t="inlineStr">
        <is>
          <t>Multi-farm regional</t>
        </is>
      </c>
      <c r="AE40" s="3" t="inlineStr">
        <is>
          <t>Variable / seasonal</t>
        </is>
      </c>
      <c r="AF40" s="3" t="inlineStr">
        <is>
          <t>Three-trophic IMTA</t>
        </is>
      </c>
      <c r="AG40" s="3" t="inlineStr">
        <is>
          <t>Water chemistry</t>
        </is>
      </c>
      <c r="AH40" s="3" t="inlineStr">
        <is>
          <t>Multi-type</t>
        </is>
      </c>
      <c r="AI40" s="3" t="inlineStr">
        <is>
          <t>Not depth-specific</t>
        </is>
      </c>
      <c r="AJ40" s="3" t="inlineStr">
        <is>
          <t>Not exposure-specific</t>
        </is>
      </c>
      <c r="AK40" s="16" t="inlineStr">
        <is>
          <t>To compare phytoplankton (chlorophyll-a) at your farm with nearby water, take surface water (about 0.5 m) in a clean bottle at [3] sites within the farmed area and [2] unfarmed sites just outside it, keep the [500 mL] samples cool and dark, and have a partner lab filter and extract them in acetone for chlorophyll-a. Sample at least once per season (monthly through the warm season shows the pattern) and compare farm and outside sites — and different culture types if you run several — with ANOVA and Tukey tests. Single-day surface samples are snapshots that tide and recent weather can shift more than the farm, so sample farm and reference sites on the same tide.</t>
        </is>
      </c>
      <c r="AL40" s="17" t="inlineStr">
        <is>
          <t>High</t>
        </is>
      </c>
      <c r="AM40" s="18" t="inlineStr">
        <is>
          <t>zhu_2023_wq211</t>
        </is>
      </c>
      <c r="AN40" s="19" t="n"/>
      <c r="AO40" s="19" t="n"/>
      <c r="AP40" s="19" t="n"/>
      <c r="AQ40" s="16" t="inlineStr">
        <is>
          <t>Chlorophyll-a monitoring — Multi-trophic (IMTA)</t>
        </is>
      </c>
      <c r="AR40" s="16" t="inlineStr">
        <is>
          <t xml:space="preserve">Zhu, Yaojia; Wang, Zhiyin; Song, Li; Gu, Jiali; Ye, Zhanjiang; Jin, Runjie; Wu, Jiaping; </t>
        </is>
      </c>
      <c r="AS40" s="16" t="inlineStr">
        <is>
          <t>One of several Chinese seaweed-farm water-quality studies in the original list. Together with Rows 26, 32, 33, 34 forms a Chinese-context cluster useful for IMTA / nutrient cycling indicators.  |  Migration (one-indicator-per-row, 2026-09-04): split from zhu_2023 -&gt; {zhu_2023_wq211, zhu_2023_wq212}. This row = zhu_2023_wq211 (WQ 2.1.1 — Chlorophyll-a). Candidate: AK/N/Q blanked and I/K/W/O/P provisional; per-indicator method text, tier/cost/effort and match adjudication to be finalised at generation. Combined parent I/AK/N/Q retained in v37 (pre-split).  |  [2026-10-09 Rule 15 cost re-rate, batch 3] Framework basis: SW/Mol WQ 2.1.1 (IMTA; the mollusc row is the most demanding): farm + 2 adjacent non-farm refs; seasonal + diurnal, fixed-time reading (4 visits); 3 locations × 4 visits × 3 replicates = 36. Lab chl-a (fluorometry) on field-filtered samples; gear inferred from method note and old cost note. Prior O: 'Medium–High — YSI ProPlus ~$1–3K; Secchi disk + glass hydrophore Low; DNA extraction + sequencing partner-lab time'.  |  [2026-10-13 method-summary pass] I, K: candidate-split text replaced after full read. N, Q: blank → filled. S: blank → 'Full PDF'. P: controlled phrase + detail. AG → 'Water chemistry'. O: 'Medium — ~$2.3K yr 1: $1.34K start-up (water sampler $986 [list]; …)' → Medium ~$1.3K: surface samples need no water sampler. AK written; AL High.  |  [2026-10-16 monitoring-methods pass] AT (Monitoring Methods) set from the protocol's method summary (AK): Chlorophyll-a (water).</t>
        </is>
      </c>
      <c r="AT40" s="20" t="inlineStr">
        <is>
          <t>Chlorophyll-a (water)</t>
        </is>
      </c>
    </row>
    <row r="41" ht="240" customHeight="1">
      <c r="A41" s="20" t="inlineStr">
        <is>
          <t>Zhu, Y., et al.</t>
        </is>
      </c>
      <c r="B41" s="20" t="inlineStr">
        <is>
          <t>Spatiotemporal variation of phytoplankton communities and water quality among seaweed, shellfish and cage fish culture systems</t>
        </is>
      </c>
      <c r="C41" s="20" t="inlineStr">
        <is>
          <t>Science of the Total Environment</t>
        </is>
      </c>
      <c r="D41" s="20" t="n">
        <v>896</v>
      </c>
      <c r="E41" s="20" t="n"/>
      <c r="F41" s="20" t="n">
        <v>165305</v>
      </c>
      <c r="G41" s="20" t="n">
        <v>2023</v>
      </c>
      <c r="H41" s="20" t="inlineStr">
        <is>
          <t>Elsevier</t>
        </is>
      </c>
      <c r="I41" s="20" t="inlineStr">
        <is>
          <t>Maps to WQ 2.1.2 — Microorganisms. Phytoplankton community from 18S rRNA (V4) metabarcoding of 1 L surface samples filtered at 0.22 µm, at seaweed, mussel and fish-cage areas and adjacent unfarmed sites. Match: Partial — relative read abundance, not cell counts.</t>
        </is>
      </c>
      <c r="J41" s="20" t="inlineStr">
        <is>
          <t>Protocol (empirical, presumably standard phytoplankton enumeration + water chemistry)</t>
        </is>
      </c>
      <c r="K41" s="20" t="inlineStr">
        <is>
          <t>Confirmed standalone (full read). OTU richness, Shannon and Chao indices, NMDS/ANOSIM and RDA against water quality across five summer surveys — robust for farm vs adjacent phytoplankton community composition (Partial: metabarcoding).</t>
        </is>
      </c>
      <c r="L41" s="20" t="inlineStr">
        <is>
          <t>Partial — filtering water onto 0.22 µm filters is farmer-doable; DNA extraction, sequencing and bioinformatics need a commercial or partner lab.</t>
        </is>
      </c>
      <c r="M41" s="20" t="inlineStr">
        <is>
          <t>Yes — long-established methods.</t>
        </is>
      </c>
      <c r="N41" s="20" t="inlineStr">
        <is>
          <t>1 L bottles; 0.22 µm filters and filtration set; freezer; commercial DNA extraction, 18S V4 PCR and Illumina MiSeq sequencing with bioinformatics.</t>
        </is>
      </c>
      <c r="O41" s="20" t="inlineStr">
        <is>
          <t>Medium — ~$4.1K yr 1: $250 start-up (chl-a filtration kit $250 [est]) + $3.88K/yr (eDNA metabarcoding 36 × $105 [paper]; filters + bottles $100 [est])</t>
        </is>
      </c>
      <c r="P41" s="20" t="inlineStr">
        <is>
          <t>Multi-season (3–9 months) — five surveys, Jun–Sep 2020</t>
        </is>
      </c>
      <c r="Q41" s="20" t="inlineStr">
        <is>
          <t>OTUs at 97% similarity; Sobs, Shannon and Chao indices; NMDS and ANOSIM; RDA against environmental variables; Pearson correlation (R, Past).</t>
        </is>
      </c>
      <c r="R41" s="20" t="inlineStr">
        <is>
          <t>Yes — Open Access at journal website</t>
        </is>
      </c>
      <c r="S41" s="21" t="inlineStr">
        <is>
          <t>Full PDF</t>
        </is>
      </c>
      <c r="T41" s="20" t="inlineStr">
        <is>
          <t>https://doi.org/10.1016/j.scitotenv.2023.165305</t>
        </is>
      </c>
      <c r="U41" s="20" t="inlineStr">
        <is>
          <t>eDNA read share is relative abundance, not cell counts or biomass; read proportions shift with extraction, primers and copy number, so treat changes as compositional, not as bloom size.</t>
        </is>
      </c>
      <c r="V41" s="20" t="inlineStr">
        <is>
          <t>Original list</t>
        </is>
      </c>
      <c r="W41" s="9" t="inlineStr">
        <is>
          <t>3 — Partnership</t>
        </is>
      </c>
      <c r="X41" s="20" t="inlineStr">
        <is>
          <t>Multi-trophic (IMTA)</t>
        </is>
      </c>
      <c r="Y41" s="20" t="inlineStr">
        <is>
          <t>Water Quality</t>
        </is>
      </c>
      <c r="Z41" s="20" t="inlineStr">
        <is>
          <t>WQ 2.1.2 — Microorganisms</t>
        </is>
      </c>
      <c r="AA41" s="20" t="inlineStr">
        <is>
          <t>Temperate Pacific</t>
        </is>
      </c>
      <c r="AB41" s="20" t="inlineStr">
        <is>
          <t>Multi-species / mixed</t>
        </is>
      </c>
      <c r="AC41" s="20" t="inlineStr">
        <is>
          <t>Mixed</t>
        </is>
      </c>
      <c r="AD41" s="20" t="inlineStr">
        <is>
          <t>Multi-farm regional</t>
        </is>
      </c>
      <c r="AE41" s="20" t="inlineStr">
        <is>
          <t>Variable / seasonal</t>
        </is>
      </c>
      <c r="AF41" s="20" t="inlineStr">
        <is>
          <t>Three-trophic IMTA</t>
        </is>
      </c>
      <c r="AG41" s="20" t="inlineStr">
        <is>
          <t>eDNA</t>
        </is>
      </c>
      <c r="AH41" s="20" t="inlineStr">
        <is>
          <t>Multi-type</t>
        </is>
      </c>
      <c r="AI41" s="20" t="inlineStr">
        <is>
          <t>Not depth-specific</t>
        </is>
      </c>
      <c r="AJ41" s="20" t="inlineStr">
        <is>
          <t>Not exposure-specific</t>
        </is>
      </c>
      <c r="AK41" s="16" t="inlineStr">
        <is>
          <t>To describe the phytoplankton community at your farm, filter [1 L] of surface water from [3] sites within the farm and [2] just outside it through a 0.22 µm filter, freeze the filters, and send them to a sequencing service for DNA extraction and 18S rRNA metabarcoding, processed into taxa. Sample at least once per season and compare richness, Shannon diversity and community composition between farm and outside sites (e.g. NMDS and ANOSIM), alongside temperature, nutrients and chlorophyll taken at the same time. Metabarcoding gives relative read numbers rather than cell counts and also picks up DNA from dead cells and non-phytoplankton organisms, so keep the primers and pipeline identical across years and treat proportions with care.</t>
        </is>
      </c>
      <c r="AL41" s="17" t="inlineStr">
        <is>
          <t>High</t>
        </is>
      </c>
      <c r="AM41" s="18" t="inlineStr">
        <is>
          <t>zhu_2023_wq212</t>
        </is>
      </c>
      <c r="AN41" s="19" t="n"/>
      <c r="AO41" s="19" t="n"/>
      <c r="AP41" s="19" t="n"/>
      <c r="AQ41" s="16" t="inlineStr">
        <is>
          <t>Plankton / microorganism monitoring — Multi-trophic (IMTA)</t>
        </is>
      </c>
      <c r="AR41" s="16" t="inlineStr">
        <is>
          <t xml:space="preserve">Zhu, Yaojia; Wang, Zhiyin; Song, Li; Gu, Jiali; Ye, Zhanjiang; Jin, Runjie; Wu, Jiaping; </t>
        </is>
      </c>
      <c r="AS41" s="16" t="inlineStr">
        <is>
          <t>One of several Chinese seaweed-farm water-quality studies in the original list. Together with Rows 26, 32, 33, 34 forms a Chinese-context cluster useful for IMTA / nutrient cycling indicators.  |  Migration (one-indicator-per-row, 2026-09-04): split from zhu_2023 -&gt; {zhu_2023_wq211, zhu_2023_wq212}. This row = zhu_2023_wq212 (WQ 2.1.2 — Microorganisms). Candidate: AK/N/Q blanked and I/K/W/O/P provisional; per-indicator method text, tier/cost/effort and match adjudication to be finalised at generation. Combined parent I/AK/N/Q retained in v37 (pre-split).  |  [2026-10-09 Rule 15 cost re-rate, batch 3] Framework basis: SW/Mol WQ 2.1.2 (IMTA; the mollusc row is the most demanding): farm + 2 neighbouring non-farm refs; seasonal + diurnal, fixed-time reading (4 visits); 3 locations × 4 visits × 3 replicates = 36. Microscope counts at a partner lab; molecular ID treated as supplementary (presence only) and excluded. Prior O: 'Medium–High — YSI ProPlus ~$1–3K; Secchi disk + glass hydrophore Low; DNA extraction + sequencing partner-lab time'.  |  [2026-10-13 method-summary pass] I, K: candidate-split text replaced after full read. N, Q: blank → filled. S: blank → 'Full PDF'. P: controlled phrase + detail. AG → 'eDNA' (source uses 18S metabarcoding, not microscopy). L: microscopy wording replaced. O: 'Medium — ~$7.2K yr 1: … phytoplankton count 36 × $165 …' → Medium ~$4.1K: the method is metabarcoding, so lab_edna $105 per sample replaces microscope counts; surface samples, no water sampler. AK written; AL High.  |  [2026-10-13 Partial review] Partial match kept (Peter 2026-10-13). U: caveat added that read share is not abundance.  |  [2026-10-16 monitoring-methods pass] AT (Monitoring Methods) set from the protocol's method summary (AK): Temperature / salinity, Chlorophyll-a (water), Water eDNA, Phytoplankton community (microscopy).</t>
        </is>
      </c>
      <c r="AT41" s="20" t="inlineStr">
        <is>
          <t>Temperature / salinity, Chlorophyll-a (water), Water eDNA, Phytoplankton community (microscopy)</t>
        </is>
      </c>
    </row>
    <row r="42" ht="240" customHeight="1">
      <c r="A42" s="3" t="inlineStr">
        <is>
          <t>Xu, Y., et al.</t>
        </is>
      </c>
      <c r="B42" s="3" t="inlineStr">
        <is>
          <t>Improvement of water quality by the macroalga, Gracilaria lemaneiformis (Rhodophyta), near aquaculture effluent outlets</t>
        </is>
      </c>
      <c r="C42" s="3" t="inlineStr">
        <is>
          <t>Journal of the World Aquaculture Society</t>
        </is>
      </c>
      <c r="D42" s="3" t="n">
        <v>39</v>
      </c>
      <c r="E42" s="3" t="n">
        <v>4</v>
      </c>
      <c r="F42" s="3" t="inlineStr">
        <is>
          <t>549-555</t>
        </is>
      </c>
      <c r="G42" s="3" t="n">
        <v>2008</v>
      </c>
      <c r="H42" s="3" t="inlineStr">
        <is>
          <t>Wiley Online Library</t>
        </is>
      </c>
      <c r="I42" s="3" t="inlineStr">
        <is>
          <t>Maps to WQ 1.2.1 — Dissolved oxygen. Surface DO read with a handheld meter at seven stations along a transect through a Gracilaria raft culture and a parallel transect outside it, weekly over the 65-day crop. Match: Partial — daytime ebb-tide readings; no diurnal cycle.</t>
        </is>
      </c>
      <c r="J42" s="3" t="inlineStr">
        <is>
          <t>Protocol (empirical) — paired farm/control water-chemistry monitoring with tissue elemental analysis</t>
        </is>
      </c>
      <c r="K42" s="3" t="inlineStr">
        <is>
          <t>Confirmed standalone (full read). Ten weekly surveys (Mar–May) of paired transects radiating from an effluent outlet, one through the seaweed and one alongside, with DO by YSI-85 handheld meter — robust for comparing farm vs adjacent DO (Partial: daytime only; the difference appeared once the crop was dense).</t>
        </is>
      </c>
      <c r="L42" s="3" t="inlineStr">
        <is>
          <t>Yes — handheld meter readings along two transects, compared station by station; no lab or partner step for DO (the source's nutrient and COD analyses were lab-based but sit outside this indicator).</t>
        </is>
      </c>
      <c r="M42" s="3" t="inlineStr">
        <is>
          <t>Yes — fully replicable.</t>
        </is>
      </c>
      <c r="N42" s="3" t="inlineStr">
        <is>
          <t>Small boat; handheld multiparameter meter (source: YSI-85 for temperature, salinity, DO; pH meter); Secchi disc; marked stations every 15–25 m along two transects.</t>
        </is>
      </c>
      <c r="O42" s="3" t="inlineStr">
        <is>
          <t>Low — ~$670 yr 1: $620 start-up (handheld DO meter $620 [est]) + $50/yr (DO membrane caps + electrolyte $50 [est])</t>
        </is>
      </c>
      <c r="P42" s="3" t="inlineStr">
        <is>
          <t>Seasonal (1–3 months)</t>
        </is>
      </c>
      <c r="Q42" s="3" t="inlineStr">
        <is>
          <t>Matching stations on the through-crop vs outside transect compared by Student's t-test (n = 3), before vs after the crop reached high density (SigmaPlot, SPSS).</t>
        </is>
      </c>
      <c r="R42" s="3" t="inlineStr">
        <is>
          <t>No — Paywalled (Wiley, Journal of the World Aquaculture Society)</t>
        </is>
      </c>
      <c r="S42" t="inlineStr">
        <is>
          <t>Full PDF</t>
        </is>
      </c>
      <c r="T42" s="3" t="inlineStr">
        <is>
          <t>https://doi.org/10.1111/j.1749-7345.2008.00180.x</t>
        </is>
      </c>
      <c r="U42" s="3" t="inlineStr">
        <is>
          <t>Shows bioremediation by comparing water passing through the crop vs alongside it - it evidences nutrient drawdown, not a tissue-based removal figure.</t>
        </is>
      </c>
      <c r="V42" s="3" t="inlineStr">
        <is>
          <t>Original list</t>
        </is>
      </c>
      <c r="W42" s="10" t="inlineStr">
        <is>
          <t>4 — Practitioner</t>
        </is>
      </c>
      <c r="X42" s="3" t="inlineStr">
        <is>
          <t>Multi-trophic (IMTA)</t>
        </is>
      </c>
      <c r="Y42" s="3" t="inlineStr">
        <is>
          <t>Water Quality</t>
        </is>
      </c>
      <c r="Z42" s="3" t="inlineStr">
        <is>
          <t>WQ 1.2.1 — Dissolved oxygen</t>
        </is>
      </c>
      <c r="AA42" s="3" t="inlineStr">
        <is>
          <t>Subtropical</t>
        </is>
      </c>
      <c r="AB42" s="3" t="inlineStr">
        <is>
          <t>Gracilaria</t>
        </is>
      </c>
      <c r="AC42" s="3" t="inlineStr">
        <is>
          <t>Raft / floating</t>
        </is>
      </c>
      <c r="AD42" s="3" t="inlineStr">
        <is>
          <t>Small (&lt;1 ha)</t>
        </is>
      </c>
      <c r="AE42" s="3" t="inlineStr">
        <is>
          <t>Variable / seasonal</t>
        </is>
      </c>
      <c r="AF42" s="3" t="inlineStr">
        <is>
          <t>Seaweed + finfish</t>
        </is>
      </c>
      <c r="AG42" s="3" t="inlineStr">
        <is>
          <t>Water chemistry</t>
        </is>
      </c>
      <c r="AH42" s="3" t="inlineStr">
        <is>
          <t>Red</t>
        </is>
      </c>
      <c r="AI42" s="3" t="inlineStr">
        <is>
          <t>Shallow nearshore (2–10 m)</t>
        </is>
      </c>
      <c r="AJ42" s="3" t="inlineStr">
        <is>
          <t>Not exposure-specific</t>
        </is>
      </c>
      <c r="AK42" s="16" t="inlineStr">
        <is>
          <t>To see whether your seaweed crop raises dissolved oxygen in the water around it, lay out two transects from a common starting point at the up-current edge of the farm — one passing through the cultivation area, one running alongside it outside the farm — with [7] stations every [15–25 m]. On each visit, read surface DO with a handheld meter at every station on the same tide, recording temperature and salinity, and compare matching stations on the two transects (t-test). Sample every [1–2] weeks through the growing season, or at minimum once per season. The difference shows once the crop is dense; these are daytime readings, so they capture the photosynthetic boost, not night-time lows.</t>
        </is>
      </c>
      <c r="AL42" s="17" t="inlineStr">
        <is>
          <t>High</t>
        </is>
      </c>
      <c r="AM42" s="18" t="inlineStr">
        <is>
          <t>xu_2008_wq121</t>
        </is>
      </c>
      <c r="AN42" s="19" t="n"/>
      <c r="AO42" s="19" t="n"/>
      <c r="AP42" s="19" t="n"/>
      <c r="AQ42" s="16" t="inlineStr">
        <is>
          <t>Dissolved-oxygen monitoring — Multi-trophic (IMTA)</t>
        </is>
      </c>
      <c r="AR42" s="16" t="inlineStr">
        <is>
          <t xml:space="preserve">Xu, Yongjian; Fang, Jianguang; Tang, Qisheng; Lin, Junda; Le, Guanzong; Liao, Lv; </t>
        </is>
      </c>
      <c r="AS42" s="16" t="inlineStr">
        <is>
          <t>Foundational Chinese Gracilaria bioremediation paper; provides species-specific bioextraction reference data analogous to Xiao 2017's Saccharina values. | v30 AK-vs-I reconciliation: full methods (Xu 2008, read) show water-column DIN/DIP transect sampling only - no tissue %N/%P, no CHN analyser, no chlorophyll-a. Removed WQ 1.1.1 (tissue bioextraction) and WQ 2.1.1 (chl-a); retained WQ 1.2.1 (DO) and CC 2.1.1 (pH). Bioremediation inferred from water-column drawdown, not tissue uptake. Original I: 'Seaweed Water Quality — Indicators 1.1.1 (N and P bioextraction via Gracilaria tissue uptake), 2.1.1 (chlorophyll-a / phytoplankton response). Climate Change Indicator 2.1.1 (pH) likely also.' | v32: matching column (MEL Indicator multi-select) re-tagged from 'WQ 1.1.1; WQ 2.1.1' to 'WQ 1.2.1 (DO); CC 2.1.1 (pH)' so the reconciliation drives tool matching (user-approved). Tool now surfaces row 26 under DO and pH, not bioextraction/chl-a.  |  Migration (one-indicator-per-row, 2026-09-04): split from xu_2008 -&gt; {xu_2008_wq121, xu_2008_cc211}. This row = xu_2008_wq121 (WQ 1.2.1 — Dissolved oxygen). Candidate: AK/N/Q blanked and I/K/W/O/P provisional; per-indicator method text, tier/cost/effort and match adjudication to be finalised at generation. Combined parent I/AK/N/Q retained in v37 (pre-split).  |  [2026-10-09 Rule 15 cost re-rate, batch 3] Framework basis: SW WQ 1.2.1: farm + 2 adjacent non-farm refs; seasonal + diurnal (2 visits, Gracilaria grow-out; one logger per location); 3 locations × 2 visits × 1 replicates = 6. Transect DO readings replaced by the logger route (a DO logger per location meets the diurnal requirement). Prior O: 'Medium — partner lab for nutrients and tissue elemental analysis'.  |  [2026-10-13 method-summary pass] I, K: candidate-split text replaced after full read (prior: 'Maps to WQ 1.2.1 — Dissolved oxygen. Candidate split…' / 'Standalone-candidate…'). S: blank → 'Full PDF'. R: 'Unknown without exact citation…' → paywalled (Wiley). AD: 'Medium (1–20 ha)' → 'Small (&lt;1 ha)' (0.5 ha and 0.2 ha plots). AG: 'Water chemistry, Tissue analysis' → 'Water chemistry' (no tissue analysis in the source). N, Q: blank → filled. L: 'Partial — water sampling and biomass measurement are accessible; tissue elemental analysis is lab-grade.' → Yes (DO by handheld meter, no lab step). W: '3 — Partnership' → '4 — Practitioner' (Rule 14; source contradicts T3 for DO). O: 'Medium — ~$5.4K yr 1: … DO logger ×3 …' → Low ~$670, handheld meter route for transect DO (Peter, 2026-10-13); visit count moot (gear only), though the source notes G. lemaneiformis grows year-round here. AK written; AL High (unchanged).  |  [2026-10-16 monitoring-methods pass] AT (Monitoring Methods) set from the protocol's method summary (AK): Temperature / salinity, Dissolved oxygen.</t>
        </is>
      </c>
      <c r="AT42" s="20" t="inlineStr">
        <is>
          <t>Temperature / salinity, Dissolved oxygen</t>
        </is>
      </c>
    </row>
    <row r="43" ht="240" customHeight="1">
      <c r="A43" s="20" t="inlineStr">
        <is>
          <t>Xu, Y., et al.</t>
        </is>
      </c>
      <c r="B43" s="20" t="inlineStr">
        <is>
          <t>Improvement of water quality by the macroalga, Gracilaria lemaneiformis (Rhodophyta), near aquaculture effluent outlets</t>
        </is>
      </c>
      <c r="C43" s="20" t="inlineStr">
        <is>
          <t>Journal of the World Aquaculture Society</t>
        </is>
      </c>
      <c r="D43" s="20" t="n">
        <v>39</v>
      </c>
      <c r="E43" s="20" t="n">
        <v>4</v>
      </c>
      <c r="F43" s="20" t="inlineStr">
        <is>
          <t>549-555</t>
        </is>
      </c>
      <c r="G43" s="20" t="n">
        <v>2008</v>
      </c>
      <c r="H43" s="20" t="inlineStr">
        <is>
          <t>Wiley Online Library</t>
        </is>
      </c>
      <c r="I43" s="20" t="inlineStr">
        <is>
          <t>Maps to CC 2.1.1 — pH / ocean acidification (seaweed). Surface pH read with a handheld meter along a transect through a Gracilaria raft culture and a parallel transect outside it. Match: Partial — the source's handheld pH (≈0.01–0.1 resolution) shows the large daytime rise in a dense crop but is not OA-grade.</t>
        </is>
      </c>
      <c r="J43" s="20" t="inlineStr">
        <is>
          <t>Protocol (empirical) — paired farm/control water-chemistry monitoring with tissue elemental analysis</t>
        </is>
      </c>
      <c r="K43" s="20" t="inlineStr">
        <is>
          <t>Confirmed standalone (full read). Weekly paired-transect surveys over the 65-day crop recorded higher pH through the seaweed once it was dense — robust as a farm-vs-adjacent pH comparison (Partial: not OA-grade; daytime only; no carbonate chemistry).</t>
        </is>
      </c>
      <c r="L43" s="20" t="inlineStr">
        <is>
          <t>Partial — handheld pH readings on transects are farmer-doable, but the indicator needs OA-grade pH sensors and periodic carbonate (TA + DIC) checks through a partner lab.</t>
        </is>
      </c>
      <c r="M43" s="20" t="inlineStr">
        <is>
          <t>Yes — fully replicable.</t>
        </is>
      </c>
      <c r="N43" s="20" t="inlineStr">
        <is>
          <t>Small boat; handheld pH meter (source: YSI-85 field meter); marked stations every 15–25 m along two transects; for the indicator, OA-grade pH loggers and TA/DIC bottle samples.</t>
        </is>
      </c>
      <c r="O43" s="20" t="inlineStr">
        <is>
          <t>High — ~$38K yr 1: $36.3K start-up (OA-grade pH logger ×3 $36K [est]; mooring ×3 $300 [est]) + $1.95K/yr (TA + DIC check 24 × $79 [lab fee]; calibration supplies $50 [est])</t>
        </is>
      </c>
      <c r="P43" s="20" t="inlineStr">
        <is>
          <t>Seasonal (1–3 months)</t>
        </is>
      </c>
      <c r="Q43" s="20" t="inlineStr">
        <is>
          <t>Matching stations on the through-crop vs outside transect compared by Student's t-test (n = 3), before vs after the crop reached high density (SigmaPlot, SPSS).</t>
        </is>
      </c>
      <c r="R43" s="20" t="inlineStr">
        <is>
          <t>No — Paywalled (Wiley, Journal of the World Aquaculture Society)</t>
        </is>
      </c>
      <c r="S43" s="21" t="inlineStr">
        <is>
          <t>Full PDF</t>
        </is>
      </c>
      <c r="T43" s="20" t="inlineStr">
        <is>
          <t>https://doi.org/10.1111/j.1749-7345.2008.00180.x</t>
        </is>
      </c>
      <c r="U43" s="20" t="inlineStr">
        <is>
          <t>Shows bioremediation by comparing water passing through the crop vs alongside it - it evidences nutrient drawdown, not a tissue-based removal figure.</t>
        </is>
      </c>
      <c r="V43" s="20" t="inlineStr">
        <is>
          <t>Original list</t>
        </is>
      </c>
      <c r="W43" s="9" t="inlineStr">
        <is>
          <t>3 — Partnership</t>
        </is>
      </c>
      <c r="X43" s="20" t="inlineStr">
        <is>
          <t>Multi-trophic (IMTA)</t>
        </is>
      </c>
      <c r="Y43" s="20" t="inlineStr">
        <is>
          <t>Climate Change</t>
        </is>
      </c>
      <c r="Z43" s="20" t="inlineStr">
        <is>
          <t>CC 2.1.1 — pH / ocean acidification</t>
        </is>
      </c>
      <c r="AA43" s="20" t="inlineStr">
        <is>
          <t>Subtropical</t>
        </is>
      </c>
      <c r="AB43" s="20" t="inlineStr">
        <is>
          <t>Gracilaria</t>
        </is>
      </c>
      <c r="AC43" s="20" t="inlineStr">
        <is>
          <t>Raft / floating</t>
        </is>
      </c>
      <c r="AD43" s="20" t="inlineStr">
        <is>
          <t>Small (&lt;1 ha)</t>
        </is>
      </c>
      <c r="AE43" s="20" t="inlineStr">
        <is>
          <t>Variable / seasonal</t>
        </is>
      </c>
      <c r="AF43" s="20" t="inlineStr">
        <is>
          <t>Seaweed + finfish</t>
        </is>
      </c>
      <c r="AG43" s="20" t="inlineStr">
        <is>
          <t>Water chemistry</t>
        </is>
      </c>
      <c r="AH43" s="20" t="inlineStr">
        <is>
          <t>Red</t>
        </is>
      </c>
      <c r="AI43" s="20" t="inlineStr">
        <is>
          <t>Shallow nearshore (2–10 m)</t>
        </is>
      </c>
      <c r="AJ43" s="20" t="inlineStr">
        <is>
          <t>Not exposure-specific</t>
        </is>
      </c>
      <c r="AK43" s="16" t="inlineStr">
        <is>
          <t>To check whether your seaweed raises pH (a local buffer against acidification) in the surrounding water, lay out one transect through the cultivation area and a parallel one outside it, with [7] matched stations, and read pH at every station on the same tide, at least once per season. For a result you can report as acidification relief, log pH continuously with OA-grade sensors inside the farm and at [2] nearby non-farm sites, and send occasional water samples for alkalinity and dissolved inorganic carbon to a partner lab to check the sensors. Daytime rises in a dense crop are large, but pH swings over the day and with the tide, so single readings say little about the night-time and seasonal picture.</t>
        </is>
      </c>
      <c r="AL43" s="17" t="inlineStr">
        <is>
          <t>High</t>
        </is>
      </c>
      <c r="AM43" s="18" t="inlineStr">
        <is>
          <t>xu_2008_cc211</t>
        </is>
      </c>
      <c r="AN43" s="19" t="n"/>
      <c r="AO43" s="19" t="n"/>
      <c r="AP43" s="19" t="n"/>
      <c r="AQ43" s="16" t="inlineStr">
        <is>
          <t>pH / ocean-acidification monitoring — Multi-trophic (IMTA)</t>
        </is>
      </c>
      <c r="AR43" s="16" t="inlineStr">
        <is>
          <t xml:space="preserve">Xu, Yongjian; Fang, Jianguang; Tang, Qisheng; Lin, Junda; Le, Guanzong; Liao, Lv; </t>
        </is>
      </c>
      <c r="AS43" s="16" t="inlineStr">
        <is>
          <t>Foundational Chinese Gracilaria bioremediation paper; provides species-specific bioextraction reference data analogous to Xiao 2017's Saccharina values. | v30 AK-vs-I reconciliation: full methods (Xu 2008, read) show water-column DIN/DIP transect sampling only - no tissue %N/%P, no CHN analyser, no chlorophyll-a. Removed WQ 1.1.1 (tissue bioextraction) and WQ 2.1.1 (chl-a); retained WQ 1.2.1 (DO) and CC 2.1.1 (pH). Bioremediation inferred from water-column drawdown, not tissue uptake. Original I: 'Seaweed Water Quality — Indicators 1.1.1 (N and P bioextraction via Gracilaria tissue uptake), 2.1.1 (chlorophyll-a / phytoplankton response). Climate Change Indicator 2.1.1 (pH) likely also.' | v32: matching column (MEL Indicator multi-select) re-tagged from 'WQ 1.1.1; WQ 2.1.1' to 'WQ 1.2.1 (DO); CC 2.1.1 (pH)' so the reconciliation drives tool matching (user-approved). Tool now surfaces row 26 under DO and pH, not bioextraction/chl-a.  |  Migration (one-indicator-per-row, 2026-09-04): split from xu_2008 -&gt; {xu_2008_wq121, xu_2008_cc211}. This row = xu_2008_cc211 (CC 2.1.1 — pH / ocean acidification). Candidate: AK/N/Q blanked and I/K/W/O/P provisional; per-indicator method text, tier/cost/effort and match adjudication to be finalised at generation. Combined parent I/AK/N/Q retained in v37 (pre-split).  |  [2026-10-09 Rule 15 cost re-rate, batch 3] Framework basis: SW CC 2.1.1 (pH; the mollusc CC 2.1.1 is a different indicator): farm + 2 adjacent non-farm refs; real-time with diurnal (continuous logging, one logger per location); 3 locations × 1 visits × 1 replicates = 3. OA-grade sensor required by the indicator, so the paper's pH meter is upgraded; TA + DIC checks 3 locations × 4 seasons × 2 = 24 (pilot convention); SeaFET price is quote-only. Prior O: 'Medium — partner lab for nutrients and tissue elemental analysis'.  |  [2026-10-13 method-summary pass] I, K: candidate-split text replaced after full read (prior: 'Maps to CC 2.1.1 — pH / ocean acidification. Candidate split…' / 'Standalone-candidate…'). S: blank → 'Full PDF'. R: 'Unknown without exact citation…' → paywalled (Wiley). AD: 'Medium (1–20 ha)' → 'Small (&lt;1 ha)' (0.5 ha and 0.2 ha plots). AG: 'Water chemistry, Tissue analysis' → 'Water chemistry' (no tissue analysis in the source). N, Q: blank → filled. L: 'Partial — water sampling and biomass measurement are accessible; tissue elemental analysis is lab-grade.' → names the OA-grade requirement. O unchanged (batch 3 already upgraded to OA-grade sensors as the indicator requires). AK written; AL High (unchanged).  |  [2026-10-16 monitoring-methods pass] AT (Monitoring Methods) set from the protocol's method summary (AK): pH, Carbonate system (pH / OA).</t>
        </is>
      </c>
      <c r="AT43" s="20" t="inlineStr">
        <is>
          <t>pH, Carbonate system (pH / OA)</t>
        </is>
      </c>
    </row>
    <row r="44" ht="240" customHeight="1">
      <c r="A44" s="3" t="inlineStr">
        <is>
          <t>Drakard, V. F., et al.</t>
        </is>
      </c>
      <c r="B44" s="3" t="inlineStr">
        <is>
          <t>Macroalgal fouling communities as indicators of environmental change: potential applications for water quality monitoring</t>
        </is>
      </c>
      <c r="C44" s="3" t="inlineStr">
        <is>
          <t>Journal of the Marine Biological Association of the United Kingdom</t>
        </is>
      </c>
      <c r="D44" s="3" t="n">
        <v>98</v>
      </c>
      <c r="E44" s="3" t="n">
        <v>7</v>
      </c>
      <c r="F44" s="3" t="inlineStr">
        <is>
          <t>1581-1588</t>
        </is>
      </c>
      <c r="G44" s="3" t="n">
        <v>2018</v>
      </c>
      <c r="H44" s="3" t="inlineStr">
        <is>
          <t>Cambridge University Press</t>
        </is>
      </c>
      <c r="I44" s="3" t="inlineStr">
        <is>
          <t>Seaweed Water Quality — Indicator 2.1.1 (community composition as bioindicator of turbidity and nutrient enrichment). Bioindicator framing rather than direct chemistry.</t>
        </is>
      </c>
      <c r="J44" s="3" t="inlineStr">
        <is>
          <t>Protocol (empirical, fully specified — standardised buoy-based fouling collection across a water-quality gradient)</t>
        </is>
      </c>
      <c r="K44" s="3" t="inlineStr">
        <is>
          <t>Yes. Standardised buoy-as-substrate macroalgal-fouling collection across seven Maltese sites along a turbidity / nutrient gradient, with PCA-based site ordering. Quantitative metrics (species richness, abundance, evenness) responded to environmental gradients.</t>
        </is>
      </c>
      <c r="L44" s="3" t="inlineStr">
        <is>
          <t>Yes — buoy fouling collection and basic algal ID are within reach for trained farm staff (Mediterranean/temperate seaweeds).</t>
        </is>
      </c>
      <c r="M44" s="3" t="inlineStr">
        <is>
          <t>Yes — well-specified.</t>
        </is>
      </c>
      <c r="N44" s="3" t="inlineStr">
        <is>
          <t>Buoys (sampling platform), scrapers, sample bags, ID guides</t>
        </is>
      </c>
      <c r="O44" s="3" t="inlineStr">
        <is>
          <t>Low — &lt;$500 + partner lab for taxonomic verification</t>
        </is>
      </c>
      <c r="P44" s="3" t="inlineStr">
        <is>
          <t>Short campaign (days to 2 weeks)</t>
        </is>
      </c>
      <c r="Q44" s="3" t="inlineStr">
        <is>
          <t>PCA site ordination, diversity indices, gradient analysis</t>
        </is>
      </c>
      <c r="R44" s="3" t="inlineStr">
        <is>
          <t>No — Paywalled at Cambridge (JMBA UK)</t>
        </is>
      </c>
      <c r="T44" s="3" t="inlineStr">
        <is>
          <t>Paywall: https://www.cambridge.org/core/journals/journal-of-the-marine-biological-association-of-the-united-kingdom/article/abs/macroalgal-fouling-communities-as-indicators-of-environmental-change-potential-applications-for-water-quality-monitoring/4333833A82CF5E8BE5458D52393B5C49</t>
        </is>
      </c>
      <c r="U44" s="3" t="inlineStr">
        <is>
          <t>Lets you get a water-quality proxy from the fouling community itself, without chemistry gear.</t>
        </is>
      </c>
      <c r="V44" s="3" t="inlineStr">
        <is>
          <t>Original list</t>
        </is>
      </c>
      <c r="W44" s="10" t="inlineStr">
        <is>
          <t>4 — Practitioner</t>
        </is>
      </c>
      <c r="X44" s="3" t="inlineStr">
        <is>
          <t>Seaweed</t>
        </is>
      </c>
      <c r="Y44" s="3" t="inlineStr">
        <is>
          <t>Water Quality</t>
        </is>
      </c>
      <c r="Z44" s="3" t="inlineStr">
        <is>
          <t>WQ 2.1.1 — Chlorophyll-a</t>
        </is>
      </c>
      <c r="AA44" s="3" t="inlineStr">
        <is>
          <t>Subtropical</t>
        </is>
      </c>
      <c r="AB44" s="3" t="inlineStr">
        <is>
          <t>Multi-species / mixed</t>
        </is>
      </c>
      <c r="AC44" s="3" t="inlineStr">
        <is>
          <t>Not gear-specific</t>
        </is>
      </c>
      <c r="AD44" s="3" t="inlineStr">
        <is>
          <t>Multi-farm regional</t>
        </is>
      </c>
      <c r="AE44" s="3" t="inlineStr">
        <is>
          <t>Clear (visual methods feasible)</t>
        </is>
      </c>
      <c r="AF44" s="3" t="inlineStr">
        <is>
          <t>Not specific</t>
        </is>
      </c>
      <c r="AG44" s="3" t="inlineStr">
        <is>
          <t>Visual survey</t>
        </is>
      </c>
      <c r="AH44" s="3" t="inlineStr">
        <is>
          <t>Multi-type</t>
        </is>
      </c>
      <c r="AI44" s="3" t="inlineStr">
        <is>
          <t>Shallow nearshore (2–10 m)</t>
        </is>
      </c>
      <c r="AJ44" s="3" t="inlineStr">
        <is>
          <t>Not exposure-specific</t>
        </is>
      </c>
      <c r="AK44" s="16" t="inlineStr">
        <is>
          <t>To use fouling macroalgae as a bioindicator of water-quality differences between sites, sample the community growing on standardised hard structures — here, established mooring buoys that have been in place long enough to be fully colonised — choosing several sites spanning a suspected nutrient/turbidity gradient. At each site scrape all the fouling off several replicate buoys (e.g. ~10) into fine (~1 mm) mesh bags, preserve it, then sort and identify the macroalgae (to genus) and dry and weigh them, standardising biomass to the surface area sampled. Pair these community data with water-quality measurements for each site (e.g. nitrate, phosphate, water clarity). Compare taxon richness and biomass among sites (e.g. Kruskal–Wallis with pairwise tests) and community composition with multivariate methods (Jaccard for presence/absence, Bray–Curtis for biomass, via ANOSIM and SIMPER), and relate the site groupings to the water-quality gradient with PCA or cluster analysis.</t>
        </is>
      </c>
      <c r="AL44" s="17" t="inlineStr">
        <is>
          <t>High</t>
        </is>
      </c>
      <c r="AM44" s="18" t="inlineStr">
        <is>
          <t>drakard_2018</t>
        </is>
      </c>
      <c r="AN44" s="19" t="n"/>
      <c r="AO44" s="19" t="n"/>
      <c r="AP44" s="19" t="n"/>
      <c r="AQ44" s="16" t="inlineStr">
        <is>
          <t>Fouling Macroalgae as a Water-Quality Bioindicator</t>
        </is>
      </c>
      <c r="AR44" s="16" t="inlineStr">
        <is>
          <t xml:space="preserve">Drakard, Veronica Farrugia; Lanfranco, Sandro; Schembri, Patrick J; </t>
        </is>
      </c>
      <c r="AS44" s="16" t="inlineStr">
        <is>
          <t>Cleverly uses fouling communities themselves as bioindicators — directly relevant if a farm wants water-quality proxy data without chemistry equipment.  |  [2026-10-16 monitoring-methods pass] AT (Monitoring Methods) set from the protocol's method summary (AK): Water clarity / turbidity (Secchi), Dissolved nutrients (N &amp; P), Epibiota on lines / structures.</t>
        </is>
      </c>
      <c r="AT44" s="20" t="inlineStr">
        <is>
          <t>Water clarity / turbidity (Secchi), Dissolved nutrients (N &amp; P), Epibiota on lines / structures</t>
        </is>
      </c>
    </row>
    <row r="45" ht="240" customHeight="1">
      <c r="A45" s="3" t="inlineStr">
        <is>
          <t>Zhang, X., et al.</t>
        </is>
      </c>
      <c r="B45" s="3" t="inlineStr">
        <is>
          <t>Evaluation and analysis of water quality of marine aquaculture area</t>
        </is>
      </c>
      <c r="C45" s="3" t="inlineStr">
        <is>
          <t>International Journal of Environmental Research and Public Health</t>
        </is>
      </c>
      <c r="D45" s="3" t="n">
        <v>17</v>
      </c>
      <c r="E45" s="3" t="n">
        <v>4</v>
      </c>
      <c r="F45" s="3" t="n">
        <v>1446</v>
      </c>
      <c r="G45" s="3" t="n">
        <v>2020</v>
      </c>
      <c r="H45" s="3" t="inlineStr">
        <is>
          <t>MDPI</t>
        </is>
      </c>
      <c r="I45" s="3" t="inlineStr">
        <is>
          <t>Maps to WQ 1.2.1 — Dissolved oxygen. DO read in situ with a multiparameter meter (YSI ProPlus) at nine sea cucumber ponds (0.5 m) and at stations among bivalve and fish cages/rafts 15–30 km offshore (3 m), in May, August and November 2018. Match: Partial — farm stations only, no non-farm reference; daytime spot readings.</t>
        </is>
      </c>
      <c r="J45" s="3" t="inlineStr">
        <is>
          <t>Protocol (empirical) — farm water-quality survey (pond and cage/raft culture)</t>
        </is>
      </c>
      <c r="K45" s="3" t="inlineStr">
        <is>
          <t>Confirmed standalone (full read). Three daytime surveys timed to the growth, summer and harvest stages, with DO analysed alongside eight other variables by PCA to rank months and culture types — usable for tracking DO at the farm (Partial: the source treats water inside and outside the farm as the same and samples no reference site, so it cannot show a farm effect).</t>
        </is>
      </c>
      <c r="L45" s="3" t="inlineStr">
        <is>
          <t>Yes — in-situ DO with a handheld meter at farm stations is farmer-doable; no lab step for DO (the source's nutrient, COD, chl-a and antibiotic-resistance-gene analyses were lab-based but sit outside this indicator).</t>
        </is>
      </c>
      <c r="M45" s="3" t="inlineStr">
        <is>
          <t>Yes.</t>
        </is>
      </c>
      <c r="N45" s="3" t="inlineStr">
        <is>
          <t>Boat; handheld multiparameter meter (source: YSI ProPlus for pH, temperature, salinity and DO, ±0.01 mg/L), read at 0.5 m in ponds and 3.0 m in the cage area.</t>
        </is>
      </c>
      <c r="O45" s="3" t="inlineStr">
        <is>
          <t>Low — ~$670 yr 1: $620 start-up (handheld DO meter $620 [est]) + $50/yr (DO membrane caps + electrolyte $50 [est])</t>
        </is>
      </c>
      <c r="P45" s="3" t="inlineStr">
        <is>
          <t>Multi-season (3–9 months) — three surveys, May, Aug and Nov 2018</t>
        </is>
      </c>
      <c r="Q45" s="3" t="inlineStr">
        <is>
          <t>Z-score standardisation; PCA (KMO and Bartlett's tests, eigenvalue &gt; 1, varimax rotation) with variance-weighted comprehensive scores per site and month; Spearman rank correlation of each variable with the principal components (SPSS 18). No farm-vs-reference test.</t>
        </is>
      </c>
      <c r="R45" s="3" t="inlineStr">
        <is>
          <t>Yes — Open Access (MDPI International Journal of Environmental Research and Public Health)</t>
        </is>
      </c>
      <c r="S45" t="inlineStr">
        <is>
          <t>Full PDF</t>
        </is>
      </c>
      <c r="T45" s="3" t="inlineStr">
        <is>
          <t>https://doi.org/10.3390/ijerph17041446</t>
        </is>
      </c>
      <c r="U45" s="3" t="inlineStr">
        <is>
          <t>Farm-only design: ranks months and culture types by overall water condition (PCA scores) but has no reference site, so it cannot attribute changes to the farm.</t>
        </is>
      </c>
      <c r="V45" s="3" t="inlineStr">
        <is>
          <t>Original list</t>
        </is>
      </c>
      <c r="W45" s="10" t="inlineStr">
        <is>
          <t>4 — Practitioner</t>
        </is>
      </c>
      <c r="X45" s="3" t="inlineStr">
        <is>
          <t>Mollusk, Echinoderm, Finfish</t>
        </is>
      </c>
      <c r="Y45" s="3" t="inlineStr">
        <is>
          <t>Water Quality</t>
        </is>
      </c>
      <c r="Z45" s="3" t="inlineStr">
        <is>
          <t>WQ 1.2.1 — Dissolved oxygen</t>
        </is>
      </c>
      <c r="AA45" s="3" t="inlineStr">
        <is>
          <t>Temperate Pacific</t>
        </is>
      </c>
      <c r="AB45" s="3" t="inlineStr">
        <is>
          <t>Pacific oyster (Crassostrea / Magallana gigas), Scallop (Pecten / Argopecten / Placopecten spp.), Other</t>
        </is>
      </c>
      <c r="AC45" s="3" t="inlineStr">
        <is>
          <t>Mixed</t>
        </is>
      </c>
      <c r="AD45" s="3" t="inlineStr">
        <is>
          <t>Multi-farm regional</t>
        </is>
      </c>
      <c r="AE45" s="3" t="inlineStr">
        <is>
          <t>Variable / seasonal</t>
        </is>
      </c>
      <c r="AF45" s="3" t="inlineStr">
        <is>
          <t>Shellfish + finfish</t>
        </is>
      </c>
      <c r="AG45" s="3" t="inlineStr">
        <is>
          <t>Water chemistry</t>
        </is>
      </c>
      <c r="AH45" s="3" t="inlineStr">
        <is>
          <t>Not algae-specific</t>
        </is>
      </c>
      <c r="AI45" s="3" t="inlineStr">
        <is>
          <t>Not depth-specific</t>
        </is>
      </c>
      <c r="AJ45" s="3" t="inlineStr">
        <is>
          <t>Not exposure-specific</t>
        </is>
      </c>
      <c r="AK45" s="16" t="inlineStr">
        <is>
          <t>To track dissolved oxygen at your farm, read DO with a calibrated handheld meter at [3] stations spread through the culture area — about 3 m deep among cages, rafts or longlines (0.5 m in shallow ponds) — recording temperature and salinity alongside. Visit once per season, timed to the main crop stages (e.g. growth, peak summer, harvest), and read all stations within a few hours on the same tide. The source sampled farm stations only; to show a farm effect rather than conditions at the farm, read [2] non-farm sites outside it on the same visit and compare farm and outside values (t-test or ANOVA). Daytime spot readings miss night-time lows, and in shallow ponds heat waves and heavy rain can outweigh the farm, so note the weather before each visit.</t>
        </is>
      </c>
      <c r="AL45" s="17" t="inlineStr">
        <is>
          <t>High</t>
        </is>
      </c>
      <c r="AM45" s="18" t="inlineStr">
        <is>
          <t>zhang_2020_wq121</t>
        </is>
      </c>
      <c r="AN45" s="19" t="n"/>
      <c r="AO45" s="19" t="n"/>
      <c r="AP45" s="19" t="n"/>
      <c r="AQ45" s="16" t="inlineStr">
        <is>
          <t>Dissolved-oxygen monitoring — Mollusk, Echinoderm, Finfish</t>
        </is>
      </c>
      <c r="AR45" s="16" t="inlineStr">
        <is>
          <t xml:space="preserve">Zhang, Xianyu; Zhang, Yingqi; Zhang, Qian; Liu, Peiwu; Guo, Rui; Jin, Shengyi; Liu, Jiawen; Chen, Lei; Ma, Zhen; Liu, Ying; </t>
        </is>
      </c>
      <c r="AS45" s="16" t="inlineStr">
        <is>
          <t>Generic title — likely Chinese-context water-quality survey; not distinctive methodologically. | v15 Rule 12 cross-database refinement (bivalve CSV): Confirmed as bivalve-relevant marine aquaculture WQ paper; X retained as 'Not specific' because the original paper does not specify aquaculture type. Bivalve relevance: marine aquaculture area = shellfish-cultivation context in Chinese coastal-aquaculture literature.  |  Migration (one-indicator-per-row, 2026-09-04): split from zhang_2020 -&gt; {zhang_2020_wq121, zhang_2020_wq211}. This row = zhang_2020_wq121 (WQ 1.2.1 — Dissolved oxygen). Candidate: AK/N/Q blanked and I/K/W/O/P provisional; per-indicator method text, tier/cost/effort and match adjudication to be finalised at generation. Combined parent I/AK/N/Q retained in v37 (pre-split).  |  [2026-10-14 method-summary pass] Full read (open PDF, uploaded). I, K: candidate-split text replaced. Match Partial (farm stations only; the source ignores inside/outside differences) — brought to Peter. S: 'Abstract + DOI metadata' → 'Full PDF'. R: 'Unknown without exact citation' → Open Access (MDPI). J: 'likely standard…' → farm water-quality survey. X: 'Not specific' → 'Mollusk, Echinoderm, Finfish' (source names sea cucumber ponds and scallop/oyster/ark clam rafts with yellowtail cages; corrects the v15 note); AB: 'Not species-specific' → Pacific oyster, Scallop, Other (Scapharca broughtonii, Apostichopus japonicus, Seriola aureovittata); AC: 'Not gear-specific' → 'Mixed' (ponds + cages/rafts); AF: 'Not specific' → 'Shellfish + finfish'; AQ suffix follows X. P: 'Seasonal (1–3 months)' → Multi-season (May/Aug/Nov). L: 'Partial — multiprobe… nutrient chemistry needs lab or kits.' → Yes. W: '3 — Partnership' → '4 — Practitioner' (Rule 14; handheld meter, no lab step); fill → T4 lime. O: 'Medium — multiprobe $500–3K + nutrient kits/lab' → Low ~$670, handheld DO meter route (Peter, 2026-10-13: discrete-station DO); held-back re-price resolved. N, Q, U: blank → filled. AK written; AL High.  |  [2026-10-14 method-summary pass] Peter's call (2026-10-14): Partial kept.  |  [2026-10-16 monitoring-methods pass] AT (Monitoring Methods) set from the protocol's method summary (AK): Temperature / salinity, Dissolved oxygen.</t>
        </is>
      </c>
      <c r="AT45" s="20" t="inlineStr">
        <is>
          <t>Temperature / salinity, Dissolved oxygen</t>
        </is>
      </c>
    </row>
    <row r="46" ht="240" customHeight="1">
      <c r="A46" s="20" t="inlineStr">
        <is>
          <t>Zhang, X., et al.</t>
        </is>
      </c>
      <c r="B46" s="20" t="inlineStr">
        <is>
          <t>Evaluation and analysis of water quality of marine aquaculture area</t>
        </is>
      </c>
      <c r="C46" s="20" t="inlineStr">
        <is>
          <t>International Journal of Environmental Research and Public Health</t>
        </is>
      </c>
      <c r="D46" s="20" t="n">
        <v>17</v>
      </c>
      <c r="E46" s="20" t="n">
        <v>4</v>
      </c>
      <c r="F46" s="20" t="n">
        <v>1446</v>
      </c>
      <c r="G46" s="20" t="n">
        <v>2020</v>
      </c>
      <c r="H46" s="20" t="inlineStr">
        <is>
          <t>MDPI</t>
        </is>
      </c>
      <c r="I46" s="20" t="inlineStr">
        <is>
          <t>Maps to WQ 2.1.1 — Chlorophyll-a. Water from 0.5 m (ponds) and 3 m (cage/raft area) at the same farm stations, chlorophyll-a extracted in dimethylformamide and read by spectrophotometer, in May, August and November 2018. Match: Partial — farm stations only, no non-farm reference.</t>
        </is>
      </c>
      <c r="J46" s="20" t="inlineStr">
        <is>
          <t>Protocol (empirical) — farm water-quality survey (pond and cage/raft culture)</t>
        </is>
      </c>
      <c r="K46" s="20" t="inlineStr">
        <is>
          <t>Confirmed standalone (full read). Three surveys with chl-a analysed alongside eight other variables by PCA; chl-a was the leading driver of the first component in the cage area — usable for tracking chl-a at the farm (Partial: no reference site, so no farm effect can be shown; filtered volume and replication not reported).</t>
        </is>
      </c>
      <c r="L46" s="20" t="inlineStr">
        <is>
          <t>Partial — water collection is farmer-doable; chlorophyll-a extraction and spectrophotometry need a partner lab.</t>
        </is>
      </c>
      <c r="M46" s="20" t="inlineStr">
        <is>
          <t>Yes.</t>
        </is>
      </c>
      <c r="N46" s="20" t="inlineStr">
        <is>
          <t>Boat; water sampler (0.5 m in ponds, 3.0 m in the cage area); cool, dark transport per China's marine monitoring specification (GB 17378); partner-lab chlorophyll-a extraction in dimethylformamide (12 h in the dark) and spectrophotometer.</t>
        </is>
      </c>
      <c r="O46" s="20" t="inlineStr">
        <is>
          <t>Medium — ~$2.3K yr 1: $1.34K start-up (water sampler $986 [list]; messenger + line $100 [est]; chl-a filtration kit $250 [est]) + $1.01K/yr (chl-a analysis 36 × $25.18 [lab fee]; filters + foil $100 [est])</t>
        </is>
      </c>
      <c r="P46" s="20" t="inlineStr">
        <is>
          <t>Multi-season (3–9 months) — three surveys, May, Aug and Nov 2018</t>
        </is>
      </c>
      <c r="Q46" s="20" t="inlineStr">
        <is>
          <t>Z-score standardisation; PCA (KMO and Bartlett's tests, eigenvalue &gt; 1, varimax rotation) with variance-weighted comprehensive scores per site and month; Spearman rank correlation of each variable with the principal components (SPSS 18). No farm-vs-reference test.</t>
        </is>
      </c>
      <c r="R46" s="20" t="inlineStr">
        <is>
          <t>Yes — Open Access (MDPI International Journal of Environmental Research and Public Health)</t>
        </is>
      </c>
      <c r="S46" s="21" t="inlineStr">
        <is>
          <t>Full PDF</t>
        </is>
      </c>
      <c r="T46" s="20" t="inlineStr">
        <is>
          <t>https://doi.org/10.3390/ijerph17041446</t>
        </is>
      </c>
      <c r="U46" s="20" t="inlineStr">
        <is>
          <t>Farm-only design: ranks months and culture types by overall water condition (PCA scores) but has no reference site, so it cannot attribute changes to the farm.</t>
        </is>
      </c>
      <c r="V46" s="20" t="inlineStr">
        <is>
          <t>Original list</t>
        </is>
      </c>
      <c r="W46" s="9" t="inlineStr">
        <is>
          <t>3 — Partnership</t>
        </is>
      </c>
      <c r="X46" s="20" t="inlineStr">
        <is>
          <t>Mollusk, Echinoderm, Finfish</t>
        </is>
      </c>
      <c r="Y46" s="20" t="inlineStr">
        <is>
          <t>Water Quality</t>
        </is>
      </c>
      <c r="Z46" s="20" t="inlineStr">
        <is>
          <t>WQ 2.1.1 — Chlorophyll-a</t>
        </is>
      </c>
      <c r="AA46" s="20" t="inlineStr">
        <is>
          <t>Temperate Pacific</t>
        </is>
      </c>
      <c r="AB46" s="20" t="inlineStr">
        <is>
          <t>Pacific oyster (Crassostrea / Magallana gigas), Scallop (Pecten / Argopecten / Placopecten spp.), Other</t>
        </is>
      </c>
      <c r="AC46" s="20" t="inlineStr">
        <is>
          <t>Mixed</t>
        </is>
      </c>
      <c r="AD46" s="20" t="inlineStr">
        <is>
          <t>Multi-farm regional</t>
        </is>
      </c>
      <c r="AE46" s="20" t="inlineStr">
        <is>
          <t>Variable / seasonal</t>
        </is>
      </c>
      <c r="AF46" s="20" t="inlineStr">
        <is>
          <t>Shellfish + finfish</t>
        </is>
      </c>
      <c r="AG46" s="20" t="inlineStr">
        <is>
          <t>Water chemistry</t>
        </is>
      </c>
      <c r="AH46" s="20" t="inlineStr">
        <is>
          <t>Not algae-specific</t>
        </is>
      </c>
      <c r="AI46" s="20" t="inlineStr">
        <is>
          <t>Not depth-specific</t>
        </is>
      </c>
      <c r="AJ46" s="20" t="inlineStr">
        <is>
          <t>Not exposure-specific</t>
        </is>
      </c>
      <c r="AK46" s="16" t="inlineStr">
        <is>
          <t>To track phytoplankton (chlorophyll-a) at your farm, collect water with a water sampler at about 3 m depth among cages, rafts or longlines (0.5 m in shallow ponds) at [3] stations within the culture area and [2] non-farm sites outside it, on the same tide. Sample once per season, timed to the main crop stages (e.g. growth, peak summer, harvest). Keep samples cool and dark, filter a measured volume ([250–500 mL]) through glass-fibre filters, take [3] replicate filters per site, freeze them in foil and have a partner lab extract and read chlorophyll-a. Compare farm and outside sites at each visit (t-test or ANOVA). The source sampled farm stations only and combined chl-a with other variables in a PCA, which ranks months and areas but cannot show a farm effect — the outside sites are added for that.</t>
        </is>
      </c>
      <c r="AL46" s="17" t="inlineStr">
        <is>
          <t>High</t>
        </is>
      </c>
      <c r="AM46" s="18" t="inlineStr">
        <is>
          <t>zhang_2020_wq211</t>
        </is>
      </c>
      <c r="AN46" s="19" t="n"/>
      <c r="AO46" s="19" t="n"/>
      <c r="AP46" s="19" t="n"/>
      <c r="AQ46" s="16" t="inlineStr">
        <is>
          <t>Chlorophyll-a monitoring — Mollusk, Echinoderm, Finfish</t>
        </is>
      </c>
      <c r="AR46" s="16" t="inlineStr">
        <is>
          <t xml:space="preserve">Zhang, Xianyu; Zhang, Yingqi; Zhang, Qian; Liu, Peiwu; Guo, Rui; Jin, Shengyi; Liu, Jiawen; Chen, Lei; Ma, Zhen; Liu, Ying; </t>
        </is>
      </c>
      <c r="AS46" s="16" t="inlineStr">
        <is>
          <t>Generic title — likely Chinese-context water-quality survey; not distinctive methodologically. | v15 Rule 12 cross-database refinement (bivalve CSV): Confirmed as bivalve-relevant marine aquaculture WQ paper; X retained as 'Not specific' because the original paper does not specify aquaculture type. Bivalve relevance: marine aquaculture area = shellfish-cultivation context in Chinese coastal-aquaculture literature.  |  Migration (one-indicator-per-row, 2026-09-04): split from zhang_2020 -&gt; {zhang_2020_wq121, zhang_2020_wq211}. This row = zhang_2020_wq211 (WQ 2.1.1 — Chlorophyll-a). Candidate: AK/N/Q blanked and I/K/W/O/P provisional; per-indicator method text, tier/cost/effort and match adjudication to be finalised at generation. Combined parent I/AK/N/Q retained in v37 (pre-split).  |  [2026-10-14 method-summary pass] Full read (open PDF, uploaded). I, K: candidate-split text replaced. Match Partial (farm stations only) — brought to Peter. S: 'Abstract + DOI metadata' → 'Full PDF'. R → Open Access (MDPI). J, X, AB, AC, AF, AQ, P: as zhang_2020_wq121. L: 'Partial — multiprobe… nutrient chemistry…' → chl-a steps. O: 'Medium — multiprobe $500–3K + nutrient kits/lab' → Medium ~$2.3K; Rule 15 basis: Mol WQ 2.1.1 farm + 2 adjacent refs × 4 seasonal visits × 3 = 36 lab chl-a; samples at 3 m, so a water sampler (as liu_2024_wq211); held-back re-price resolved. Source: DMF extraction + spectrophotometer; filtered volume not reported (AK brackets 250–500 mL). W stays 3. N, Q, U: blank → filled. AK adds the 2 non-farm sites and flags it. AL High.  |  [2026-10-14 method-summary pass] Peter's call (2026-10-14): Partial kept.  |  [2026-10-16 monitoring-methods pass] AT (Monitoring Methods) set from the protocol's method summary (AK): Chlorophyll-a (water).</t>
        </is>
      </c>
      <c r="AT46" s="20" t="inlineStr">
        <is>
          <t>Chlorophyll-a (water)</t>
        </is>
      </c>
    </row>
    <row r="47" ht="240" customHeight="1">
      <c r="A47" s="3" t="inlineStr">
        <is>
          <t>Jansen, H. M., et al.</t>
        </is>
      </c>
      <c r="B47" s="3" t="inlineStr">
        <is>
          <t>Discrete water quality sampling at open-water aquaculture sites: limitations and strategies</t>
        </is>
      </c>
      <c r="C47" s="3" t="inlineStr">
        <is>
          <t>Aquaculture environment interactions</t>
        </is>
      </c>
      <c r="D47" s="3" t="n">
        <v>8</v>
      </c>
      <c r="E47" s="3" t="n"/>
      <c r="F47" s="3" t="inlineStr">
        <is>
          <t>463-480</t>
        </is>
      </c>
      <c r="G47" s="3" t="n">
        <v>2016</v>
      </c>
      <c r="H47" s="3" t="n"/>
      <c r="I47" s="3" t="inlineStr">
        <is>
          <t>Seaweed Water Quality — cross-cutting methodology paper for Indicators 1.1.1, 1.2.1, 2.1.1, 2.1.2. About sampling design rather than indicator measurement itself.</t>
        </is>
      </c>
      <c r="J47" s="3" t="inlineStr">
        <is>
          <t>Reference + Protocol hybrid — methodology synthesis with two case studies (Norwegian salmon farm particle abundance; Canadian IMTA ammonium with continuous current measurements)</t>
        </is>
      </c>
      <c r="K47" s="3" t="inlineStr">
        <is>
          <t>Yes — this is essentially the design-of-experiments paper for any open-water aquaculture water-quality programme. Walks through complex hydrodynamics, reference-site suitability, sampling resolution, data pooling, post hoc power tests, and the trade-offs between discrete vs. continuous sampling. Critical reading before designing the WQ component of any MEL implementation.</t>
        </is>
      </c>
      <c r="L47" s="3" t="inlineStr">
        <is>
          <t>No — methodology guidance, not a procedure to run. But the design recommendations are directly actionable for practitioners and their research partners.</t>
        </is>
      </c>
      <c r="M47" s="3" t="inlineStr">
        <is>
          <t>Yes — explicitly written for programme designers.</t>
        </is>
      </c>
      <c r="N47" s="3" t="inlineStr">
        <is>
          <t>N/A — methodology paper (case studies use multiprobe particle counter + ammonium analyser)</t>
        </is>
      </c>
      <c r="O47" s="3" t="inlineStr">
        <is>
          <t>N/A — methodology paper</t>
        </is>
      </c>
      <c r="P47" s="3" t="inlineStr">
        <is>
          <t>One-time (no sampling — desk-based)</t>
        </is>
      </c>
      <c r="Q47" s="3" t="inlineStr">
        <is>
          <t>Post-hoc power analysis, design-of-experiments, pooling tests</t>
        </is>
      </c>
      <c r="R47" s="3" t="inlineStr">
        <is>
          <t>Yes — Open Access (Aquaculture Environment Interactions, Inter-Research gold-OA journal)</t>
        </is>
      </c>
      <c r="S47" t="inlineStr">
        <is>
          <t>Abstract + DOI metadata</t>
        </is>
      </c>
      <c r="T47" s="3" t="inlineStr">
        <is>
          <t>https://www.int-res.com/abstracts/aei/v8/p463-480/ ; DOI 10.3354/aei00192</t>
        </is>
      </c>
      <c r="U47" s="3" t="inlineStr"/>
      <c r="V47" s="3" t="inlineStr">
        <is>
          <t>Original list</t>
        </is>
      </c>
      <c r="W47" s="7" t="inlineStr">
        <is>
          <t>2 — Researcher</t>
        </is>
      </c>
      <c r="X47" s="3" t="inlineStr">
        <is>
          <t>Mollusk, Seaweed</t>
        </is>
      </c>
      <c r="Y47" s="3" t="inlineStr">
        <is>
          <t>Water Quality, Cross-cutting / Framework</t>
        </is>
      </c>
      <c r="Z47" s="3" t="inlineStr">
        <is>
          <t>Cross-cutting / framework</t>
        </is>
      </c>
      <c r="AA47" s="3" t="inlineStr">
        <is>
          <t>Cross-zone / global</t>
        </is>
      </c>
      <c r="AB47" s="3" t="inlineStr">
        <is>
          <t>Not species-specific</t>
        </is>
      </c>
      <c r="AC47" s="3" t="inlineStr">
        <is>
          <t>Not gear-specific</t>
        </is>
      </c>
      <c r="AD47" s="3" t="inlineStr">
        <is>
          <t>Not scale-specific</t>
        </is>
      </c>
      <c r="AE47" s="3" t="inlineStr">
        <is>
          <t>Not site-specific</t>
        </is>
      </c>
      <c r="AF47" s="3" t="inlineStr">
        <is>
          <t>Not specific</t>
        </is>
      </c>
      <c r="AG47" s="3" t="inlineStr">
        <is>
          <t>Mixed methods</t>
        </is>
      </c>
      <c r="AH47" s="3" t="inlineStr">
        <is>
          <t>Not algae-specific</t>
        </is>
      </c>
      <c r="AI47" s="3" t="inlineStr">
        <is>
          <t>Not depth-specific</t>
        </is>
      </c>
      <c r="AJ47" s="3" t="inlineStr">
        <is>
          <t>Not exposure-specific</t>
        </is>
      </c>
      <c r="AK47" s="16" t="inlineStr">
        <is>
          <t>This is a design-of-experiments reference for open-water water-quality monitoring, not an indicator-measurement protocol. Read it before designing the WQ component of a farm programme: it covers how to choose reference sites in complex hydrodynamic settings, how to set sampling resolution, when data can be pooled, how to run post-hoc power tests, and the trade-offs between discrete grab sampling and continuous logging. Use its guidance to size and lay out your sampling design, then draw the actual measurement procedures from the indicator-specific protocols.</t>
        </is>
      </c>
      <c r="AL47" s="17" t="inlineStr">
        <is>
          <t>Ref</t>
        </is>
      </c>
      <c r="AM47" s="18" t="inlineStr">
        <is>
          <t>jansen_2016</t>
        </is>
      </c>
      <c r="AN47" s="19" t="n"/>
      <c r="AO47" s="19" t="n"/>
      <c r="AP47" s="19" t="n"/>
      <c r="AQ47" s="16" t="inlineStr">
        <is>
          <t>Designing Open-Water Aquaculture Water-Quality Sampling (Reference)</t>
        </is>
      </c>
      <c r="AR47" s="16" t="inlineStr">
        <is>
          <t xml:space="preserve">Jansen, Henrice M; Reid, Gregor K; Bannister, RJ; Husa, Vivian; Robinson, SMC; Cooper, John Andrew; Quinton, Cheryl; Strand, Øivind; </t>
        </is>
      </c>
      <c r="AS47" s="16" t="inlineStr">
        <is>
          <t>Co-author Henrice Jansen also co-authored the Wageningen Bernard 2019 metabarcoding protocol (Row 15) and Tonk 2021 framework (Row 56) — these three papers together represent the Wageningen "design + protocol + framework" stack for aquaculture environmental monitoring. Read this one before doing any discrete WQ sampling at a farm. [Rule 12 cross-DB refinement: methodology for discrete water-quality sampling transfers across seaweed and mollusk open-water sites; broadened from 'Not specific' to capture both. Original Jansen 2016 paper appears in both seaweed and mollusk CSV batches.]  |  [2026-10-16 monitoring-methods pass] AT (Monitoring Methods) set from the protocol's method summary (AK): Continuous moored sensors.</t>
        </is>
      </c>
      <c r="AT47" s="20" t="inlineStr">
        <is>
          <t>Continuous moored sensors</t>
        </is>
      </c>
    </row>
    <row r="48" ht="240" customHeight="1">
      <c r="A48" s="3" t="inlineStr">
        <is>
          <t>Liang, Z., et al.</t>
        </is>
      </c>
      <c r="B48" s="3" t="inlineStr">
        <is>
          <t>Influence of commercial-scale seaweed cultivation on water quality: A case study in a typical laver culture area of the Yellow Sea, North China</t>
        </is>
      </c>
      <c r="C48" s="3" t="inlineStr">
        <is>
          <t>Journal of Marine Science and Engineering</t>
        </is>
      </c>
      <c r="D48" s="3" t="n">
        <v>10</v>
      </c>
      <c r="E48" s="3" t="n">
        <v>5</v>
      </c>
      <c r="F48" s="3" t="n">
        <v>681</v>
      </c>
      <c r="G48" s="3" t="n">
        <v>2022</v>
      </c>
      <c r="H48" s="3" t="inlineStr">
        <is>
          <t>MDPI</t>
        </is>
      </c>
      <c r="I48" s="3" t="inlineStr">
        <is>
          <t>Maps to WQ 1.2.1 — Dissolved oxygen. DO read in situ at 0.2 m with a YSI 600QS sonde at three points each in a 40 ha laver farm, nearshore and offshore control areas ~1 km outside it and a reference area ~2 km away (plus a 0.067 ha farm with controls 100 m outside), in September, October and December 2019. Match: Exact — farm vs adjacent non-farm DO (daytime surface readings).</t>
        </is>
      </c>
      <c r="J48" s="3" t="inlineStr">
        <is>
          <t>Protocol (empirical) — standard water-quality monitoring at commercial-scale farm</t>
        </is>
      </c>
      <c r="K48" s="3" t="inlineStr">
        <is>
          <t>Confirmed standalone (full read). Farm, two adjacent controls and a separate reference area compared each month by one-way ANOVA and Tukey tests — robust for WQ 1.2.1 (Exact; daytime only). At the 40 ha farm DO was about 1 mg/L above the controls in October and differed again in December (both p &lt; 0.01); no effect was detected at the 0.067 ha farm.</t>
        </is>
      </c>
      <c r="L48" s="3" t="inlineStr">
        <is>
          <t>Yes — surface DO readings with a handheld meter are farmer-doable; no lab step for DO (the source's nutrient, carbon and chl-a analyses were lab-based but sit outside this indicator).</t>
        </is>
      </c>
      <c r="M48" s="3" t="inlineStr">
        <is>
          <t>Yes.</t>
        </is>
      </c>
      <c r="N48" s="3" t="inlineStr">
        <is>
          <t>Boat; multiparameter sonde for temperature, salinity, pH and DO at 0.2 m (source: YSI 600QS); Secchi disc; three sampling points per site.</t>
        </is>
      </c>
      <c r="O48" s="3" t="inlineStr">
        <is>
          <t>Low — ~$670 yr 1: $620 start-up (handheld DO meter $620 [est]) + $50/yr (DO membrane caps + electrolyte $50 [est])</t>
        </is>
      </c>
      <c r="P48" s="3" t="inlineStr">
        <is>
          <t>Multi-season (3–9 months) — three surveys, Sep, Oct and Dec 2019</t>
        </is>
      </c>
      <c r="Q48" s="3" t="inlineStr">
        <is>
          <t>One-way ANOVA with Tukey HSD per month (culture vs control, culture vs reference, control vs reference); PCA, Ward's hierarchical clustering and Pearson correlation (SPSS 22).</t>
        </is>
      </c>
      <c r="R48" s="3" t="inlineStr">
        <is>
          <t>Yes — Open Access (MDPI Journal of Marine Science and Engineering)</t>
        </is>
      </c>
      <c r="S48" t="inlineStr">
        <is>
          <t>Full PDF</t>
        </is>
      </c>
      <c r="T48" s="3" t="inlineStr">
        <is>
          <t>https://doi.org/10.3390/jmse10050681</t>
        </is>
      </c>
      <c r="U48" s="3" t="inlineStr">
        <is>
          <t>Scale matters: higher DO and pH and lower DIN showed at the 40 ha farm but not at a 0.067 ha farm; a separate reference area ~2 km away was used to confirm that differences came from the farm.</t>
        </is>
      </c>
      <c r="V48" s="3" t="inlineStr">
        <is>
          <t>Original list</t>
        </is>
      </c>
      <c r="W48" s="10" t="inlineStr">
        <is>
          <t>4 — Practitioner</t>
        </is>
      </c>
      <c r="X48" s="3" t="inlineStr">
        <is>
          <t>Seaweed</t>
        </is>
      </c>
      <c r="Y48" s="3" t="inlineStr">
        <is>
          <t>Water Quality</t>
        </is>
      </c>
      <c r="Z48" s="3" t="inlineStr">
        <is>
          <t>WQ 1.2.1 — Dissolved oxygen</t>
        </is>
      </c>
      <c r="AA48" s="3" t="inlineStr">
        <is>
          <t>Temperate Pacific</t>
        </is>
      </c>
      <c r="AB48" s="3" t="inlineStr">
        <is>
          <t>Porphyra / Pyropia (nori/laver)</t>
        </is>
      </c>
      <c r="AC48" s="3" t="inlineStr">
        <is>
          <t>Raft / floating</t>
        </is>
      </c>
      <c r="AD48" s="3" t="inlineStr">
        <is>
          <t>Large (&gt;20 ha)</t>
        </is>
      </c>
      <c r="AE48" s="3" t="inlineStr">
        <is>
          <t>Variable / seasonal</t>
        </is>
      </c>
      <c r="AF48" s="3" t="inlineStr">
        <is>
          <t>Monoculture</t>
        </is>
      </c>
      <c r="AG48" s="3" t="inlineStr">
        <is>
          <t>Water chemistry</t>
        </is>
      </c>
      <c r="AH48" s="3" t="inlineStr">
        <is>
          <t>Red</t>
        </is>
      </c>
      <c r="AI48" s="3" t="inlineStr">
        <is>
          <t>Not depth-specific</t>
        </is>
      </c>
      <c r="AJ48" s="3" t="inlineStr">
        <is>
          <t>Not exposure-specific</t>
        </is>
      </c>
      <c r="AK48" s="16" t="inlineStr">
        <is>
          <t>To check whether your seaweed farm raises dissolved oxygen, read DO about 0.2 m below the surface with a calibrated handheld meter at [3] points inside the farm and [3] points in each of [2] control areas about 1 km outside it (one inshore, one offshore), recording temperature, salinity and pH alongside, and cover all points within a few hours. Visit at least [2] times during the growing season, including when the crop is near peak growth. Compare farm and controls at each visit with one-way ANOVA and Tukey tests; if you can, add a reference area with a similar setting about 2 km away to confirm the difference comes from the farm rather than the shoreline. The source saw an effect at a 40 ha farm but none at a 0.067 ha one, and daytime readings capture the photosynthetic boost, not night-time lows.</t>
        </is>
      </c>
      <c r="AL48" s="17" t="inlineStr">
        <is>
          <t>High</t>
        </is>
      </c>
      <c r="AM48" s="18" t="inlineStr">
        <is>
          <t>liang_2022_wq121</t>
        </is>
      </c>
      <c r="AN48" s="19" t="n"/>
      <c r="AO48" s="19" t="n"/>
      <c r="AP48" s="19" t="n"/>
      <c r="AQ48" s="16" t="inlineStr">
        <is>
          <t>Dissolved-oxygen monitoring — Seaweed</t>
        </is>
      </c>
      <c r="AR48" s="16" t="inlineStr">
        <is>
          <t xml:space="preserve">Liang, Zhourui; Wang, Wenjun; Liu, Lulei; Li, Guoliang; Xia, Bin; </t>
        </is>
      </c>
      <c r="AS48" s="16" t="inlineStr">
        <is>
          <t>Commercial-scale rather than experimental — particularly relevant for farms approaching the size threshold where bioextraction becomes measurable at site scale.  |  Migration (one-indicator-per-row, 2026-09-04): split from liang_2022 -&gt; {liang_2022_wq121, liang_2022_wq211}. This row = liang_2022_wq121 (WQ 1.2.1 — Dissolved oxygen). Candidate: AK/N/Q blanked and I/K/W/O/P provisional; per-indicator method text, tier/cost/effort and match adjudication to be finalised at generation. Combined parent I/AK/N/Q retained in v37 (pre-split).  |  [2026-10-09 Rule 15 cost re-rate, batch 3] Framework basis: SW WQ 1.2.1: farm + 2 adjacent non-farm refs; seasonal + diurnal (2 visits, laver grow-out; one logger per location); 3 locations × 2 visits × 1 replicates = 6. Logger route set by Rule 15 whatever DO method the paper used; source specifics not read. Prior O: 'Medium — multiprobe + partner lab'.  |  [2026-10-14 method-summary pass] Full read (open PDF, uploaded). I, K: candidate-split text replaced. S: blank → 'Full PDF'. P: controlled phrase + detail (Sep/Oct/Dec 2019). U: 'Commercial-scale rather than experimental…' → scale finding from the source (40 ha vs 0.067 ha). L: 'Partial — multiprobe and water sampling are accessible; nutrient and Chl-a need lab.' → Yes. W: '3 — Partnership' → '4 — Practitioner' (Rule 14; in-situ meter readings, no lab step); fill → T4 lime. O: 'Medium — ~$5.4K yr 1: $4.62K start-up (DO logger ×3 …' → Low ~$670, handheld DO meter route (Peter, 2026-10-13: discrete-station DO). N, Q: blank → filled. AK written; AL High.  |  [2026-10-16 monitoring-methods pass] AT (Monitoring Methods) set from the protocol's method summary (AK): Temperature / salinity, Dissolved oxygen, pH.</t>
        </is>
      </c>
      <c r="AT48" s="20" t="inlineStr">
        <is>
          <t>Temperature / salinity, Dissolved oxygen, pH</t>
        </is>
      </c>
    </row>
    <row r="49" ht="240" customHeight="1">
      <c r="A49" s="20" t="inlineStr">
        <is>
          <t>Liang, Z., et al.</t>
        </is>
      </c>
      <c r="B49" s="20" t="inlineStr">
        <is>
          <t>Influence of commercial-scale seaweed cultivation on water quality: A case study in a typical laver culture area of the Yellow Sea, North China</t>
        </is>
      </c>
      <c r="C49" s="20" t="inlineStr">
        <is>
          <t>Journal of Marine Science and Engineering</t>
        </is>
      </c>
      <c r="D49" s="20" t="n">
        <v>10</v>
      </c>
      <c r="E49" s="20" t="n">
        <v>5</v>
      </c>
      <c r="F49" s="20" t="n">
        <v>681</v>
      </c>
      <c r="G49" s="20" t="n">
        <v>2022</v>
      </c>
      <c r="H49" s="20" t="inlineStr">
        <is>
          <t>MDPI</t>
        </is>
      </c>
      <c r="I49" s="20" t="inlineStr">
        <is>
          <t>Maps to WQ 2.1.1 — Chlorophyll-a. 500 mL surface (0.2 m) water filtered on GF/F with MgCO3, frozen, and chlorophyll-a read by spectrophotometer (ISO 10260) at three points each in the farm, two adjacent control areas and a reference area, in September, October and December 2019. Match: Exact.</t>
        </is>
      </c>
      <c r="J49" s="20" t="inlineStr">
        <is>
          <t>Protocol (empirical) — standard water-quality monitoring at commercial-scale farm</t>
        </is>
      </c>
      <c r="K49" s="20" t="inlineStr">
        <is>
          <t>Confirmed standalone (full read). Same farm/control/reference design with one-way ANOVA and Tukey tests — robust for WQ 2.1.1 (Exact; daytime samples). At the 40 ha farm chl-a was higher than the controls in October and lower in December (both p &lt; 0.05; the authors suggest nutrient competition at peak growth); no difference at the 0.067 ha farm.</t>
        </is>
      </c>
      <c r="L49" s="20" t="inlineStr">
        <is>
          <t>Partial — surface water collection and filtration are farmer-doable; chlorophyll-a extraction and spectrophotometry need a partner lab.</t>
        </is>
      </c>
      <c r="M49" s="20" t="inlineStr">
        <is>
          <t>Yes.</t>
        </is>
      </c>
      <c r="N49" s="20" t="inlineStr">
        <is>
          <t>Boat; organic-glass water sampler at 0.2 m; carboys kept cool and dark, filtered within 2 h; GF/F filters with 1% MgCO3 suspension; dry-ice storage; partner-lab spectrophotometric chlorophyll-a (ISO 10260; source: Metash UV-9000).</t>
        </is>
      </c>
      <c r="O49" s="20" t="inlineStr">
        <is>
          <t>Low — ~$800 yr 1: $250 start-up (chl-a filtration kit $250 [est]) + $553/yr (chl-a analysis 18 × $25.18 [lab fee]; filters + foil $100 [est])</t>
        </is>
      </c>
      <c r="P49" s="20" t="inlineStr">
        <is>
          <t>Multi-season (3–9 months) — three surveys, Sep, Oct and Dec 2019</t>
        </is>
      </c>
      <c r="Q49" s="20" t="inlineStr">
        <is>
          <t>One-way ANOVA with Tukey HSD per month (culture vs control, culture vs reference, control vs reference); PCA, Ward's hierarchical clustering and Pearson correlation (SPSS 22).</t>
        </is>
      </c>
      <c r="R49" s="20" t="inlineStr">
        <is>
          <t>Yes — Open Access (MDPI Journal of Marine Science and Engineering)</t>
        </is>
      </c>
      <c r="S49" s="21" t="inlineStr">
        <is>
          <t>Full PDF</t>
        </is>
      </c>
      <c r="T49" s="20" t="inlineStr">
        <is>
          <t>https://doi.org/10.3390/jmse10050681</t>
        </is>
      </c>
      <c r="U49" s="20" t="inlineStr">
        <is>
          <t>Scale matters: higher DO and pH and lower DIN showed at the 40 ha farm but not at a 0.067 ha farm; a separate reference area ~2 km away was used to confirm that differences came from the farm.</t>
        </is>
      </c>
      <c r="V49" s="20" t="inlineStr">
        <is>
          <t>Original list</t>
        </is>
      </c>
      <c r="W49" s="9" t="inlineStr">
        <is>
          <t>3 — Partnership</t>
        </is>
      </c>
      <c r="X49" s="20" t="inlineStr">
        <is>
          <t>Seaweed</t>
        </is>
      </c>
      <c r="Y49" s="20" t="inlineStr">
        <is>
          <t>Water Quality</t>
        </is>
      </c>
      <c r="Z49" s="20" t="inlineStr">
        <is>
          <t>WQ 2.1.1 — Chlorophyll-a</t>
        </is>
      </c>
      <c r="AA49" s="20" t="inlineStr">
        <is>
          <t>Temperate Pacific</t>
        </is>
      </c>
      <c r="AB49" s="20" t="inlineStr">
        <is>
          <t>Porphyra / Pyropia (nori/laver)</t>
        </is>
      </c>
      <c r="AC49" s="20" t="inlineStr">
        <is>
          <t>Raft / floating</t>
        </is>
      </c>
      <c r="AD49" s="20" t="inlineStr">
        <is>
          <t>Large (&gt;20 ha)</t>
        </is>
      </c>
      <c r="AE49" s="20" t="inlineStr">
        <is>
          <t>Variable / seasonal</t>
        </is>
      </c>
      <c r="AF49" s="20" t="inlineStr">
        <is>
          <t>Monoculture</t>
        </is>
      </c>
      <c r="AG49" s="20" t="inlineStr">
        <is>
          <t>Water chemistry</t>
        </is>
      </c>
      <c r="AH49" s="20" t="inlineStr">
        <is>
          <t>Red</t>
        </is>
      </c>
      <c r="AI49" s="20" t="inlineStr">
        <is>
          <t>Not depth-specific</t>
        </is>
      </c>
      <c r="AJ49" s="20" t="inlineStr">
        <is>
          <t>Not exposure-specific</t>
        </is>
      </c>
      <c r="AK49" s="16" t="inlineStr">
        <is>
          <t>To check whether your seaweed farm changes phytoplankton levels, collect surface water (about 0.2 m) at [3] points inside the farm and [3] points in each of [2] control areas about 1 km outside it (one inshore, one offshore), at least [2] times during the growing season, covering all points within a few hours. Keep samples cool and dark, filter [500 mL] per point through a glass-fibre filter within a few hours (a little MgCO3 helps preserve the pigment), freeze the filters in foil and have a partner lab extract and read chlorophyll-a. Compare farm and controls at each visit with one-way ANOVA and Tukey tests; a reference area with a similar setting about 2 km away strengthens the case that differences come from the farm. The direction can flip with season — here chl-a was higher in the farm in October and lower at peak growth in December — and no effect showed at a 0.067 ha farm.</t>
        </is>
      </c>
      <c r="AL49" s="17" t="inlineStr">
        <is>
          <t>High</t>
        </is>
      </c>
      <c r="AM49" s="18" t="inlineStr">
        <is>
          <t>liang_2022_wq211</t>
        </is>
      </c>
      <c r="AN49" s="19" t="n"/>
      <c r="AO49" s="19" t="n"/>
      <c r="AP49" s="19" t="n"/>
      <c r="AQ49" s="16" t="inlineStr">
        <is>
          <t>Chlorophyll-a monitoring — Seaweed</t>
        </is>
      </c>
      <c r="AR49" s="16" t="inlineStr">
        <is>
          <t xml:space="preserve">Liang, Zhourui; Wang, Wenjun; Liu, Lulei; Li, Guoliang; Xia, Bin; </t>
        </is>
      </c>
      <c r="AS49" s="16" t="inlineStr">
        <is>
          <t>Commercial-scale rather than experimental — particularly relevant for farms approaching the size threshold where bioextraction becomes measurable at site scale.  |  Migration (one-indicator-per-row, 2026-09-04): split from liang_2022 -&gt; {liang_2022_wq121, liang_2022_wq211}. This row = liang_2022_wq211 (WQ 2.1.1 — Chlorophyll-a). Candidate: AK/N/Q blanked and I/K/W/O/P provisional; per-indicator method text, tier/cost/effort and match adjudication to be finalised at generation. Combined parent I/AK/N/Q retained in v37 (pre-split).  |  [2026-10-09 Rule 15 cost re-rate, batch 3] Framework basis: SW WQ 2.1.1: farm + 2 adjacent non-farm refs; seasonal + diurnal, fixed-time reading (2 visits, laver grow-out); 3 locations × 2 visits × 3 replicates = 18. Lab chl-a on field-filtered samples (route from the practitioner note); source specifics not read. Prior O: 'Medium — multiprobe + partner lab'.  |  [2026-10-14 method-summary pass] Full read (open PDF, uploaded). I, K: candidate-split text replaced. S: blank → 'Full PDF'. P: controlled phrase + detail. U: as liang_2022_wq121. L tightened to the chl-a steps. O: 'Medium — ~$1.9K yr 1: $1.34K start-up (water sampler $986 [list]; messenger + line $100 [est]; filtration kit $250 [est]) + $553/yr …' → Low ~$800: surface samples at 0.2 m need no water sampler (as zhu_2023_wq211, ray_2015_wq211); 18 analyses unchanged (SW laver grow-out, 2 visits × 3 locations × 3). Band Medium → Low. W stays 3. N, Q: blank → filled. AK written; AL High.  |  [2026-10-16 monitoring-methods pass] AT (Monitoring Methods) set from the protocol's method summary (AK): Chlorophyll-a (water).</t>
        </is>
      </c>
      <c r="AT49" s="20" t="inlineStr">
        <is>
          <t>Chlorophyll-a (water)</t>
        </is>
      </c>
    </row>
    <row r="50" ht="240" customHeight="1">
      <c r="A50" s="3" t="inlineStr">
        <is>
          <t>Jiang, Z., et al.</t>
        </is>
      </c>
      <c r="B50" s="3" t="inlineStr">
        <is>
          <t>Kelp cultivation effectively improves water quality and regulates phytoplankton community in a turbid, highly eutrophic bay</t>
        </is>
      </c>
      <c r="C50" s="3" t="inlineStr">
        <is>
          <t>Science of the Total Environment</t>
        </is>
      </c>
      <c r="D50" s="3" t="n">
        <v>707</v>
      </c>
      <c r="E50" s="3" t="n"/>
      <c r="F50" s="3" t="n">
        <v>135561</v>
      </c>
      <c r="G50" s="3" t="n">
        <v>2020</v>
      </c>
      <c r="H50" s="3" t="inlineStr">
        <is>
          <t>Elsevier</t>
        </is>
      </c>
      <c r="I50" s="3" t="inlineStr">
        <is>
          <t>Maps to WQ 1.2.1 — Dissolved oxygen. Thirteen cruises (2008–2015) in kelp farms (old ~20–50 ha; new ~200 ha) and control areas 500–1000 m beyond the farm edge in turbid, eutrophic Xiangshan Bay; DO by Winkler titration on Niskin samples from 0.5 m below the surface and 0.5 m above the seabed, 7 cruises during grow-out and 6 after harvest. Match: Yes.</t>
        </is>
      </c>
      <c r="J50" s="3" t="inlineStr">
        <is>
          <t>Protocol (empirical, fully specified — paired farm/control area sampling at a Saccharina japonica farm in a turbid, highly eutrophic Chinese bay)</t>
        </is>
      </c>
      <c r="K50" s="3" t="inlineStr">
        <is>
          <t>Yes (full read) — paired farm vs control sampling at two depths; the post-harvest cruises act as a built-in check (differences vanished once the kelp was removed). Farm DO was only ~1% higher, significant on some dates. Daytime snapshots only; no diurnal series.</t>
        </is>
      </c>
      <c r="L50" s="3" t="inlineStr">
        <is>
          <t>Yes — station sampling with a calibrated handheld DO meter is farmer-doable; the source's Winkler titration is the lab reference method, not a required step.</t>
        </is>
      </c>
      <c r="M50" s="3" t="inlineStr">
        <is>
          <t>Yes — full sampling and statistical (similarity / SIMPER) design specified.</t>
        </is>
      </c>
      <c r="N50" s="3" t="inlineStr">
        <is>
          <t>Research vessel; 5 L Niskin bottles (0.5 m below surface, 0.5 m above seabed); Winkler titration for DO; YSI 30 temperature/salinity meter; Secchi disc.</t>
        </is>
      </c>
      <c r="O50" s="3" t="inlineStr">
        <is>
          <t>Low — ~$670 yr 1: $620 start-up (handheld DO meter $620 [est]) + $50/yr (DO membrane caps + electrolyte $50 [est])</t>
        </is>
      </c>
      <c r="P50" s="3" t="inlineStr">
        <is>
          <t>Multi-year monitoring (&gt; 1 year) — 13 cruises, Dec 2008–Oct 2015: 7 during kelp grow-out (Dec–Apr) and 6 after harvest (May–Nov)</t>
        </is>
      </c>
      <c r="Q50" s="3" t="inlineStr">
        <is>
          <t>Two-way Scheirer-Ray-Hare test (area × depth layer) per cruise in R (rcompanion); per-cruise % difference farm vs control.</t>
        </is>
      </c>
      <c r="R50" s="3" t="inlineStr">
        <is>
          <t>Mixed — journal version paywalled at Elsevier; a free PDF is hosted at marineagronomy.org.</t>
        </is>
      </c>
      <c r="S50" t="inlineStr">
        <is>
          <t>Full PDF</t>
        </is>
      </c>
      <c r="T50" s="3" t="inlineStr">
        <is>
          <t>https://www.marineagronomy.org/sites/default/files/Kelp%20cultivation%20effectively%20improves%20water%20quality%20and%20regulates%20phytoplankton%20community%20in%20a%20turbid%2C%20highly%20eutrophic%20bay.pdf ; DOI 10.1016/j.scitotenv.2019.135561</t>
        </is>
      </c>
      <c r="U50" s="3" t="inlineStr">
        <is>
          <t>Two design features worth copying: post-harvest re-sampling to prove cause, and tracking shifts in harmful-bloom dominance (not just biomass).</t>
        </is>
      </c>
      <c r="V50" s="3" t="inlineStr">
        <is>
          <t>Original list</t>
        </is>
      </c>
      <c r="W50" s="10" t="inlineStr">
        <is>
          <t>4 — Practitioner</t>
        </is>
      </c>
      <c r="X50" s="3" t="inlineStr">
        <is>
          <t>Seaweed</t>
        </is>
      </c>
      <c r="Y50" s="3" t="inlineStr">
        <is>
          <t>Water Quality</t>
        </is>
      </c>
      <c r="Z50" s="3" t="inlineStr">
        <is>
          <t>WQ 1.2.1 — Dissolved oxygen</t>
        </is>
      </c>
      <c r="AA50" s="3" t="inlineStr">
        <is>
          <t>Subtropical</t>
        </is>
      </c>
      <c r="AB50" s="3" t="inlineStr">
        <is>
          <t>Saccharina (sugar kelp)</t>
        </is>
      </c>
      <c r="AC50" s="3" t="inlineStr">
        <is>
          <t>Longline (surface)</t>
        </is>
      </c>
      <c r="AD50" s="3" t="inlineStr">
        <is>
          <t>Large (&gt;20 ha)</t>
        </is>
      </c>
      <c r="AE50" s="3" t="inlineStr">
        <is>
          <t>Turbid (visual methods limited)</t>
        </is>
      </c>
      <c r="AF50" s="3" t="inlineStr">
        <is>
          <t>Monoculture</t>
        </is>
      </c>
      <c r="AG50" s="3" t="inlineStr">
        <is>
          <t>Water chemistry</t>
        </is>
      </c>
      <c r="AH50" s="3" t="inlineStr">
        <is>
          <t>Brown</t>
        </is>
      </c>
      <c r="AI50" s="3" t="inlineStr">
        <is>
          <t>Coastal (10–30 m)</t>
        </is>
      </c>
      <c r="AJ50" s="3" t="inlineStr">
        <is>
          <t>Sheltered</t>
        </is>
      </c>
      <c r="AK50" s="16" t="inlineStr">
        <is>
          <t>To check whether your kelp farm raises dissolved oxygen, sample inside the farm and in [2] control areas 500–1000 m beyond its edge, with [1–3] stations per area, at least [2] times while the crop is in the water and once after harvest. At each station read DO about 0.5 m below the surface and 0.5 m above the seabed with a calibrated handheld DO meter on a long cable (or bring water up with a sampler and read it at once; Winkler titration through a partner lab is the reference method), recording temperature and salinity alongside, and cover all areas within the same few hours. Compare farm and control for each depth and visit (e.g. a non-parametric two-way test of area × depth). The source found differences of only about 1%, so one daytime visit can miss an effect and says nothing about night-time lows; the after-harvest visit shows whether a difference was due to the kelp.</t>
        </is>
      </c>
      <c r="AL50" s="17" t="inlineStr">
        <is>
          <t>High</t>
        </is>
      </c>
      <c r="AM50" s="18" t="inlineStr">
        <is>
          <t>jiang_2020_wq121</t>
        </is>
      </c>
      <c r="AN50" s="19" t="n"/>
      <c r="AO50" s="19" t="n"/>
      <c r="AP50" s="19" t="n"/>
      <c r="AQ50" s="16" t="inlineStr">
        <is>
          <t>Dissolved-oxygen monitoring — Seaweed</t>
        </is>
      </c>
      <c r="AR50" s="16" t="inlineStr">
        <is>
          <t xml:space="preserve">Jiang, Zhibing; Liu, Jingjing; Li, Shanglu; Chen, Yue; Du, Ping; Zhu, Yuanli; Liao, Yibo; Chen, Quanzhen; Shou, Lu; Yan, Xiaojun; </t>
        </is>
      </c>
      <c r="AS50" s="16" t="inlineStr">
        <is>
          <t>Strong protocol with two design features worth replicating: (a) the post-harvest re-sampling that anchors causal attribution; (b) the specific finding that kelp farming reduced dinoflagellate Prorocentrum minimum dominance, suggesting phytoplankton community composition (not just biomass) is a useful indicator. Highly eutrophic-bay context — most directly applicable to coastal China, Korea, and Vietnam, but methodologically transferable.  |  Migration (one-indicator-per-row, 2026-09-04): split from jiang_2020 -&gt; {jiang_2020_wq121, jiang_2020_wq211, jiang_2020_cc211}. This row = jiang_2020_wq121 (WQ 1.2.1 — Dissolved oxygen). Candidate: AK/N/Q blanked and I/K/W/O/P provisional; per-indicator method text, tier/cost/effort and match adjudication to be finalised at generation. Combined parent I/AK/N/Q retained in v37 (pre-split).  |  [2026-10-09 Rule 15 cost re-rate, batch 3] Framework basis: SW WQ 1.2.1: farm + 2 adjacent non-farm refs; seasonal + diurnal (2 visits, kelp grow-out; one logger per location); 3 locations × 2 visits × 1 replicates = 6. Logger route; DO is not in the parent's measured-parameter list, so confirm it was measured (monitored-only). Prior O: 'Medium — multiprobe $1–3K + partner lab for nutrients and phytoplankton enumeration'.  |  [2026-10-13 method-summary pass] Full read (open PDF). Resolves the re-rate check: DO was measured (Winkler titration, surface + near-bottom). O: logger route → Low ~$670 handheld DO meter (Peter, 2026-10-13: discrete-station DO is costed on the hand-meter route; as jiang_2019_wq121). W stays 3, matching jiang_2019_wq121 (Winkler in the source). R: 'Yes — Open Access' → Mixed (Elsevier paywall; free copy at marineagronomy.org). P → Multi-year (13 cruises 2008–2015). AG: Visual survey dropped. N, Q, AK, AL written. Prior: S: 'None'; R: 'Yes — Open Access PDF available'; P: 'Year-long study (12 months)'; O: 'Medium — ~$5.4K yr 1: $4.62K start-up (DO logger ×3 $4.19K [list]; log'; AG: 'Water chemistry, Visual survey'.  |  [2026-10-13 method-summary pass] Peter's call (2026-10-13): W 3 → 4 (Rule 14: the handheld-meter route has no lab step). L → Yes. Prior: W: '3 — Partnership'; L: 'Partial — station sampling with a water sampler is farmer-doable; the '.  |  [2026-10-16 monitoring-methods pass] AT (Monitoring Methods) set from the protocol's method summary (AK): Temperature / salinity, Dissolved oxygen.</t>
        </is>
      </c>
      <c r="AT50" s="20" t="inlineStr">
        <is>
          <t>Temperature / salinity, Dissolved oxygen</t>
        </is>
      </c>
    </row>
    <row r="51" ht="240" customHeight="1">
      <c r="A51" s="20" t="inlineStr">
        <is>
          <t>Jiang, Z., et al.</t>
        </is>
      </c>
      <c r="B51" s="20" t="inlineStr">
        <is>
          <t>Kelp cultivation effectively improves water quality and regulates phytoplankton community in a turbid, highly eutrophic bay</t>
        </is>
      </c>
      <c r="C51" s="20" t="inlineStr">
        <is>
          <t>Science of the Total Environment</t>
        </is>
      </c>
      <c r="D51" s="20" t="n">
        <v>707</v>
      </c>
      <c r="E51" s="20" t="n"/>
      <c r="F51" s="20" t="n">
        <v>135561</v>
      </c>
      <c r="G51" s="20" t="n">
        <v>2020</v>
      </c>
      <c r="H51" s="20" t="inlineStr">
        <is>
          <t>Elsevier</t>
        </is>
      </c>
      <c r="I51" s="20" t="inlineStr">
        <is>
          <t>Maps to WQ 2.1.1 — Chlorophyll-a. Same farm vs control design as the DO row; 100 mL from surface and near-bottom Niskin samples filtered on 0.7 µm GF/F for total chl-a (size-fractionated &gt;20, 2–20 and &lt;2 µm in 2015), extracted and read by the method of Jiang et al. 2019b. Match: Yes.</t>
        </is>
      </c>
      <c r="J51" s="20" t="inlineStr">
        <is>
          <t>Protocol (empirical, fully specified — paired farm/control area sampling at a Saccharina japonica farm in a turbid, highly eutrophic Chinese bay)</t>
        </is>
      </c>
      <c r="K51" s="20" t="inlineStr">
        <is>
          <t>Yes (full read) — chl-a averaged 11.6% higher in the farm during grow-out (lower turbidity relieved light limitation) and did not differ after harvest. The direction is site-specific: in clearer, nutrient-limited waters seaweed farms have lowered chl-a.</t>
        </is>
      </c>
      <c r="L51" s="20" t="inlineStr">
        <is>
          <t>Partial — water sampling and filtering are farmer-doable; chl-a extraction and reading need a partner lab.</t>
        </is>
      </c>
      <c r="M51" s="20" t="inlineStr">
        <is>
          <t>Yes — full sampling and statistical (similarity / SIMPER) design specified.</t>
        </is>
      </c>
      <c r="N51" s="20" t="inlineStr">
        <is>
          <t>Research vessel; 5 L Niskin bottles; 0.7 µm GF/F filters (plus 20 µm and 2 µm filters for size fractions); filtration rig; freezer; partner-lab extraction and fluorometric chl-a reading (method per Jiang et al. 2019b).</t>
        </is>
      </c>
      <c r="O51" s="20" t="inlineStr">
        <is>
          <t>Medium — ~$1.9K yr 1: $1.34K start-up (water sampler $986 [list]; messenger + line $100 [est]; filtration kit $250 [est]) + $553/yr (chl-a analysis 18 × $25.18 [lab fee]; filters + foil $100 [est])</t>
        </is>
      </c>
      <c r="P51" s="20" t="inlineStr">
        <is>
          <t>Multi-year monitoring (&gt; 1 year) — 13 cruises, Dec 2008–Oct 2015: 7 during kelp grow-out (Dec–Apr) and 6 after harvest (May–Nov)</t>
        </is>
      </c>
      <c r="Q51" s="20" t="inlineStr">
        <is>
          <t>Two-way Scheirer-Ray-Hare test (area × depth layer) per cruise in R (rcompanion); size-fraction contributions compared between areas.</t>
        </is>
      </c>
      <c r="R51" s="20" t="inlineStr">
        <is>
          <t>Mixed — journal version paywalled at Elsevier; a free PDF is hosted at marineagronomy.org.</t>
        </is>
      </c>
      <c r="S51" s="21" t="inlineStr">
        <is>
          <t>Full PDF</t>
        </is>
      </c>
      <c r="T51" s="20" t="inlineStr">
        <is>
          <t>https://www.marineagronomy.org/sites/default/files/Kelp%20cultivation%20effectively%20improves%20water%20quality%20and%20regulates%20phytoplankton%20community%20in%20a%20turbid%2C%20highly%20eutrophic%20bay.pdf ; DOI 10.1016/j.scitotenv.2019.135561</t>
        </is>
      </c>
      <c r="U51" s="20" t="inlineStr">
        <is>
          <t>Two design features worth copying: post-harvest re-sampling to prove cause, and tracking shifts in harmful-bloom dominance (not just biomass).</t>
        </is>
      </c>
      <c r="V51" s="20" t="inlineStr">
        <is>
          <t>Original list</t>
        </is>
      </c>
      <c r="W51" s="9" t="inlineStr">
        <is>
          <t>3 — Partnership</t>
        </is>
      </c>
      <c r="X51" s="20" t="inlineStr">
        <is>
          <t>Seaweed</t>
        </is>
      </c>
      <c r="Y51" s="20" t="inlineStr">
        <is>
          <t>Water Quality</t>
        </is>
      </c>
      <c r="Z51" s="20" t="inlineStr">
        <is>
          <t>WQ 2.1.1 — Chlorophyll-a</t>
        </is>
      </c>
      <c r="AA51" s="20" t="inlineStr">
        <is>
          <t>Subtropical</t>
        </is>
      </c>
      <c r="AB51" s="20" t="inlineStr">
        <is>
          <t>Saccharina (sugar kelp)</t>
        </is>
      </c>
      <c r="AC51" s="20" t="inlineStr">
        <is>
          <t>Longline (surface)</t>
        </is>
      </c>
      <c r="AD51" s="20" t="inlineStr">
        <is>
          <t>Large (&gt;20 ha)</t>
        </is>
      </c>
      <c r="AE51" s="20" t="inlineStr">
        <is>
          <t>Turbid (visual methods limited)</t>
        </is>
      </c>
      <c r="AF51" s="20" t="inlineStr">
        <is>
          <t>Monoculture</t>
        </is>
      </c>
      <c r="AG51" s="20" t="inlineStr">
        <is>
          <t>Water chemistry</t>
        </is>
      </c>
      <c r="AH51" s="20" t="inlineStr">
        <is>
          <t>Brown</t>
        </is>
      </c>
      <c r="AI51" s="20" t="inlineStr">
        <is>
          <t>Coastal (10–30 m)</t>
        </is>
      </c>
      <c r="AJ51" s="20" t="inlineStr">
        <is>
          <t>Sheltered</t>
        </is>
      </c>
      <c r="AK51" s="16" t="inlineStr">
        <is>
          <t>To check whether your seaweed farm changes phytoplankton levels, collect water inside the farm and in [2] control areas 500–1000 m beyond its edge, from about 0.5 m below the surface and 0.5 m above the seabed, at least [2] times while the crop is in the water and once after harvest, covering all areas within the same few hours. Filter a measured volume (about 100 mL; more in clear water) through a glass-fibre filter, taking [3] replicate filters per area, fold each into foil, keep it dark and frozen, and send it to a partner lab for chlorophyll-a extraction and reading. Compare farm and control (e.g. a non-parametric two-way test of area × depth). The direction of change depends on the site: here the kelp cleared turbid water and chl-a rose, while in nutrient-limited water farms can lower it.</t>
        </is>
      </c>
      <c r="AL51" s="17" t="inlineStr">
        <is>
          <t>High</t>
        </is>
      </c>
      <c r="AM51" s="18" t="inlineStr">
        <is>
          <t>jiang_2020_wq211</t>
        </is>
      </c>
      <c r="AN51" s="19" t="n"/>
      <c r="AO51" s="19" t="n"/>
      <c r="AP51" s="19" t="n"/>
      <c r="AQ51" s="16" t="inlineStr">
        <is>
          <t>Chlorophyll-a monitoring — Seaweed</t>
        </is>
      </c>
      <c r="AR51" s="16" t="inlineStr">
        <is>
          <t xml:space="preserve">Jiang, Zhibing; Liu, Jingjing; Li, Shanglu; Chen, Yue; Du, Ping; Zhu, Yuanli; Liao, Yibo; Chen, Quanzhen; Shou, Lu; Yan, Xiaojun; </t>
        </is>
      </c>
      <c r="AS51" s="16" t="inlineStr">
        <is>
          <t>Strong protocol with two design features worth replicating: (a) the post-harvest re-sampling that anchors causal attribution; (b) the specific finding that kelp farming reduced dinoflagellate Prorocentrum minimum dominance, suggesting phytoplankton community composition (not just biomass) is a useful indicator. Highly eutrophic-bay context — most directly applicable to coastal China, Korea, and Vietnam, but methodologically transferable.  |  Migration (one-indicator-per-row, 2026-09-04): split from jiang_2020 -&gt; {jiang_2020_wq121, jiang_2020_wq211, jiang_2020_cc211}. This row = jiang_2020_wq211 (WQ 2.1.1 — Chlorophyll-a). Candidate: AK/N/Q blanked and I/K/W/O/P provisional; per-indicator method text, tier/cost/effort and match adjudication to be finalised at generation. Combined parent I/AK/N/Q retained in v37 (pre-split).  |  [2026-10-09 Rule 15 cost re-rate, batch 3] Framework basis: SW WQ 2.1.1: farm + 2 adjacent non-farm refs; seasonal + diurnal, fixed-time reading (2 visits, kelp grow-out); 3 locations × 2 visits × 3 replicates = 18. Lab chl-a on field-filtered samples; route inferred from the same group's method in Jiang 2019 (GF/F filters, acetone extraction, fluorometer). Prior O: 'Medium — multiprobe $1–3K + partner lab for nutrients and phytoplankton enumeration'.  |  [2026-10-13 method-summary pass] Full read (open PDF). O unchanged (lab chl-a; the route inferred at the re-rate is confirmed by the citation to Jiang 2019b). R → Mixed. P → Multi-year. AG: Visual survey dropped (phytoplankton ID belongs to WQ 2.1.2). W stays 3. N, Q, AK, AL written. Prior: S: 'None'; R: 'Yes — Open Access PDF available'; P: 'Year-long study (12 months)'; AG: 'Water chemistry, Visual survey'.  |  [2026-10-16 monitoring-methods pass] AT (Monitoring Methods) set from the protocol's method summary (AK): Chlorophyll-a (water).</t>
        </is>
      </c>
      <c r="AT51" s="20" t="inlineStr">
        <is>
          <t>Chlorophyll-a (water)</t>
        </is>
      </c>
    </row>
    <row r="52" ht="240" customHeight="1">
      <c r="A52" s="20" t="inlineStr">
        <is>
          <t>Jiang, Z., et al.</t>
        </is>
      </c>
      <c r="B52" s="20" t="inlineStr">
        <is>
          <t>Kelp cultivation effectively improves water quality and regulates phytoplankton community in a turbid, highly eutrophic bay</t>
        </is>
      </c>
      <c r="C52" s="20" t="inlineStr">
        <is>
          <t>Science of the Total Environment</t>
        </is>
      </c>
      <c r="D52" s="20" t="n">
        <v>707</v>
      </c>
      <c r="E52" s="20" t="n"/>
      <c r="F52" s="20" t="n">
        <v>135561</v>
      </c>
      <c r="G52" s="20" t="n">
        <v>2020</v>
      </c>
      <c r="H52" s="20" t="inlineStr">
        <is>
          <t>Elsevier</t>
        </is>
      </c>
      <c r="I52" s="20" t="inlineStr">
        <is>
          <t>Maps to CC 2.1.1 — pH / ocean acidification. Same farm vs control design as the DO row; pH read on Niskin samples (surface and near-bottom) with an Orion 868 benchtop meter on each cruise; no alkalinity or DIC. Match: Partial — discrete daytime pH only (the Framework asks for in-situ, diurnally resolved records), and the farm effect (+0.15%, ~0.01 pH units) is near the meter's resolution.</t>
        </is>
      </c>
      <c r="J52" s="20" t="inlineStr">
        <is>
          <t>Protocol (empirical, fully specified — paired farm/control area sampling at a Saccharina japonica farm in a turbid, highly eutrophic Chinese bay)</t>
        </is>
      </c>
      <c r="K52" s="20" t="inlineStr">
        <is>
          <t>Partial (full read) — pH was slightly, sometimes significantly, higher in the farm during grow-out, with no difference after harvest; daytime ship samples on a benchtop meter cannot resolve the diurnal cycle or the carbonate system. The protocol uses OA-grade loggers plus TA + DIC checks to meet the Framework.</t>
        </is>
      </c>
      <c r="L52" s="20" t="inlineStr">
        <is>
          <t>Partial — deploying and servicing pH loggers is farmer-doable; TA + DIC check samples need a partner lab.</t>
        </is>
      </c>
      <c r="M52" s="20" t="inlineStr">
        <is>
          <t>Yes — full sampling and statistical (similarity / SIMPER) design specified.</t>
        </is>
      </c>
      <c r="N52" s="20" t="inlineStr">
        <is>
          <t>Research vessel; 5 L Niskin bottles; Orion 868 benchtop pH meter; YSI 30 temperature/salinity meter.</t>
        </is>
      </c>
      <c r="O52" s="20" t="inlineStr">
        <is>
          <t>High — ~$38K yr 1: $36.3K start-up (OA-grade pH logger ×3 $36K [est]; mooring ×3 $300 [est]) + $1.95K/yr (TA + DIC check 24 × $79 [lab fee]; calibration supplies $50 [est])</t>
        </is>
      </c>
      <c r="P52" s="20" t="inlineStr">
        <is>
          <t>Multi-year monitoring (&gt; 1 year) — 13 cruises, Dec 2008–Oct 2015: 7 during kelp grow-out (Dec–Apr) and 6 after harvest (May–Nov)</t>
        </is>
      </c>
      <c r="Q52" s="20" t="inlineStr">
        <is>
          <t>Two-way Scheirer-Ray-Hare test (area × depth layer) per cruise in R (rcompanion).</t>
        </is>
      </c>
      <c r="R52" s="20" t="inlineStr">
        <is>
          <t>Mixed — journal version paywalled at Elsevier; a free PDF is hosted at marineagronomy.org.</t>
        </is>
      </c>
      <c r="S52" s="21" t="inlineStr">
        <is>
          <t>Full PDF</t>
        </is>
      </c>
      <c r="T52" s="20" t="inlineStr">
        <is>
          <t>https://www.marineagronomy.org/sites/default/files/Kelp%20cultivation%20effectively%20improves%20water%20quality%20and%20regulates%20phytoplankton%20community%20in%20a%20turbid%2C%20highly%20eutrophic%20bay.pdf ; DOI 10.1016/j.scitotenv.2019.135561</t>
        </is>
      </c>
      <c r="U52" s="20" t="inlineStr">
        <is>
          <t>Two design features worth copying: post-harvest re-sampling to prove cause, and tracking shifts in harmful-bloom dominance (not just biomass).</t>
        </is>
      </c>
      <c r="V52" s="20" t="inlineStr">
        <is>
          <t>Original list</t>
        </is>
      </c>
      <c r="W52" s="9" t="inlineStr">
        <is>
          <t>3 — Partnership</t>
        </is>
      </c>
      <c r="X52" s="20" t="inlineStr">
        <is>
          <t>Seaweed</t>
        </is>
      </c>
      <c r="Y52" s="20" t="inlineStr">
        <is>
          <t>Climate Change</t>
        </is>
      </c>
      <c r="Z52" s="20" t="inlineStr">
        <is>
          <t>CC 2.1.1 — pH / ocean acidification</t>
        </is>
      </c>
      <c r="AA52" s="20" t="inlineStr">
        <is>
          <t>Subtropical</t>
        </is>
      </c>
      <c r="AB52" s="20" t="inlineStr">
        <is>
          <t>Saccharina (sugar kelp)</t>
        </is>
      </c>
      <c r="AC52" s="20" t="inlineStr">
        <is>
          <t>Longline (surface)</t>
        </is>
      </c>
      <c r="AD52" s="20" t="inlineStr">
        <is>
          <t>Large (&gt;20 ha)</t>
        </is>
      </c>
      <c r="AE52" s="20" t="inlineStr">
        <is>
          <t>Turbid (visual methods limited)</t>
        </is>
      </c>
      <c r="AF52" s="20" t="inlineStr">
        <is>
          <t>Monoculture</t>
        </is>
      </c>
      <c r="AG52" s="20" t="inlineStr">
        <is>
          <t>Carbonate chemistry</t>
        </is>
      </c>
      <c r="AH52" s="20" t="inlineStr">
        <is>
          <t>Brown</t>
        </is>
      </c>
      <c r="AI52" s="20" t="inlineStr">
        <is>
          <t>Coastal (10–30 m)</t>
        </is>
      </c>
      <c r="AJ52" s="20" t="inlineStr">
        <is>
          <t>Sheltered</t>
        </is>
      </c>
      <c r="AK52" s="16" t="inlineStr">
        <is>
          <t>To check whether your seaweed farm raises pH (eases acidification), moor an ocean-acidification-grade pH logger inside the farm and in [2] control areas 500–1000 m beyond its edge, at the same depth, logging at least hourly through the grow-out season so day–night swings are captured. Each season take [2] water samples per location beside the loggers for a partner lab to measure total alkalinity and dissolved inorganic carbon, to check the loggers and describe the carbonate system. Compare farm and control over the same hours (e.g. daily means and day–night ranges). The source's daytime ship readings showed differences of only about 0.01 pH units, which handheld or benchtop meters cannot reliably detect; keep the loggers in after harvest to confirm any difference was due to the kelp.</t>
        </is>
      </c>
      <c r="AL52" s="17" t="inlineStr">
        <is>
          <t>Medium</t>
        </is>
      </c>
      <c r="AM52" s="18" t="inlineStr">
        <is>
          <t>jiang_2020_cc211</t>
        </is>
      </c>
      <c r="AN52" s="19" t="n"/>
      <c r="AO52" s="19" t="n"/>
      <c r="AP52" s="19" t="n"/>
      <c r="AQ52" s="16" t="inlineStr">
        <is>
          <t>pH / ocean-acidification monitoring — Seaweed</t>
        </is>
      </c>
      <c r="AR52" s="16" t="inlineStr">
        <is>
          <t xml:space="preserve">Jiang, Zhibing; Liu, Jingjing; Li, Shanglu; Chen, Yue; Du, Ping; Zhu, Yuanli; Liao, Yibo; Chen, Quanzhen; Shou, Lu; Yan, Xiaojun; </t>
        </is>
      </c>
      <c r="AS52" s="16" t="inlineStr">
        <is>
          <t>Strong protocol with two design features worth replicating: (a) the post-harvest re-sampling that anchors causal attribution; (b) the specific finding that kelp farming reduced dinoflagellate Prorocentrum minimum dominance, suggesting phytoplankton community composition (not just biomass) is a useful indicator. Highly eutrophic-bay context — most directly applicable to coastal China, Korea, and Vietnam, but methodologically transferable.  |  Migration (one-indicator-per-row, 2026-09-04): split from jiang_2020 -&gt; {jiang_2020_wq121, jiang_2020_wq211, jiang_2020_cc211}. This row = jiang_2020_cc211 (CC 2.1.1 — pH / ocean acidification). Candidate: AK/N/Q blanked and I/K/W/O/P provisional; per-indicator method text, tier/cost/effort and match adjudication to be finalised at generation. Combined parent I/AK/N/Q retained in v37 (pre-split).  |  [2026-10-09 Rule 15 cost re-rate, batch 3] Framework basis: SW CC 2.1.1 (pH): farm + 2 adjacent non-farm refs; real-time with diurnal (continuous logging, one logger per location); 3 locations × 1 visits × 1 replicates = 3. OA-grade sensor required by the indicator, so the multiprobe pH is upgraded; TA + DIC checks 3 locations × 4 seasons × 2 = 24 (pilot convention); SeaFET price is quote-only. Prior O: 'Medium — multiprobe $1–3K + partner lab for nutrients and phytoplankton enumeration'.  |  [2026-10-13 method-summary pass] Full read (open PDF). Match: Partial — discrete daytime benchtop pH only, no TA/DIC; the protocol keeps the OA-grade logger + TA/DIC route costed at the re-rate (O unchanged). R → Mixed. P → Multi-year. AG → Carbonate chemistry. AL Medium (protocol goes well beyond the source's method). N, Q, AK, AL written. Prior: S: 'None'; R: 'Yes — Open Access PDF available'; P: 'Year-long study (12 months)'; AG: 'Water chemistry, Visual survey'.  |  [2026-10-16 monitoring-methods pass] AT (Monitoring Methods) set from the protocol's method summary (AK): pH, Carbonate system (pH / OA), Continuous moored sensors.</t>
        </is>
      </c>
      <c r="AT52" s="20" t="inlineStr">
        <is>
          <t>pH, Carbonate system (pH / OA), Continuous moored sensors</t>
        </is>
      </c>
    </row>
    <row r="53" ht="240" customHeight="1">
      <c r="A53" s="3" t="inlineStr">
        <is>
          <t>Rahadiati, A., et al.</t>
        </is>
      </c>
      <c r="B53" s="3" t="inlineStr">
        <is>
          <t>Spatial pattern and temporal variation of water quality and carrying capacity for seaweed mariculture in Takalar, Indonesia</t>
        </is>
      </c>
      <c r="C53" s="3" t="inlineStr">
        <is>
          <t>Aquaculture, Aquarium, Conservation &amp; Legislation</t>
        </is>
      </c>
      <c r="D53" s="3" t="n">
        <v>10</v>
      </c>
      <c r="E53" s="3" t="n">
        <v>4</v>
      </c>
      <c r="F53" s="3" t="inlineStr">
        <is>
          <t>894-910</t>
        </is>
      </c>
      <c r="G53" s="3" t="n">
        <v>2017</v>
      </c>
      <c r="H53" s="3" t="inlineStr">
        <is>
          <t>Bioflux SRL</t>
        </is>
      </c>
      <c r="I53" s="3" t="inlineStr">
        <is>
          <t>Seaweed Water Quality — Indicators 1.2.1 (dissolved oxygen) [WQ 2.1.1 chlorophyll-a removed in v30 reconciliation - not measured]. Primary data included salinity, pH, sea-surface temperature, dissolved oxygen, nitrate, phosphate, water substrates, currents, clarity, turbidity, and water depth. Note: WQ 1.1.1 not applicable — water-column nutrient analysis only; no biomass-bioextraction.</t>
        </is>
      </c>
      <c r="J53" s="3" t="inlineStr">
        <is>
          <t>Protocol (empirical / modelling)</t>
        </is>
      </c>
      <c r="K53" s="3" t="inlineStr">
        <is>
          <t>Likely yes — water-quality monitoring combined with carrying-capacity modelling. Specifics depend on exact paper.</t>
        </is>
      </c>
      <c r="L53" s="3" t="inlineStr">
        <is>
          <t>Partial.</t>
        </is>
      </c>
      <c r="M53" s="3" t="inlineStr">
        <is>
          <t>Yes.</t>
        </is>
      </c>
      <c r="N53" s="3" t="inlineStr">
        <is>
          <t>Multiprobe, water samplers, nutrient lab, GIS</t>
        </is>
      </c>
      <c r="O53" s="3" t="inlineStr">
        <is>
          <t>Medium — ~$5.4K yr 1: $4.62K start-up (DO logger ×3 $4.19K [list]; logger base station $130 [est]; mooring ×3 $300 [est]) + $740/yr (DO sensor cap 6 × $115 [list]; calibration supplies $50 [est])</t>
        </is>
      </c>
      <c r="P53" s="3" t="inlineStr">
        <is>
          <t>Year-long study (12 months)</t>
        </is>
      </c>
      <c r="Q53" s="3" t="inlineStr">
        <is>
          <t>Carrying-capacity model, GIS spatial analysis</t>
        </is>
      </c>
      <c r="R53" s="3" t="inlineStr">
        <is>
          <t>Unknown without exact citation</t>
        </is>
      </c>
      <c r="T53" s="3" t="inlineStr">
        <is>
          <t>https://www.researchgate.net/publication/319312466_Spatial_pattern_and_temporal_variation_of_water_quality_and_carrying_capacity_for_seaweed_mariculture_in_Takalar_Indonesia</t>
        </is>
      </c>
      <c r="U53" s="3" t="inlineStr">
        <is>
          <t>Oriented to siting and carrying capacity; it measures dissolved oxygen and physical parameters, not chlorophyll.</t>
        </is>
      </c>
      <c r="V53" s="3" t="inlineStr">
        <is>
          <t>Original list</t>
        </is>
      </c>
      <c r="W53" s="9" t="inlineStr">
        <is>
          <t>3 — Partnership</t>
        </is>
      </c>
      <c r="X53" s="3" t="inlineStr">
        <is>
          <t>Seaweed</t>
        </is>
      </c>
      <c r="Y53" s="3" t="inlineStr">
        <is>
          <t>Water Quality</t>
        </is>
      </c>
      <c r="Z53" s="3" t="inlineStr">
        <is>
          <t>WQ 1.2.1 — Dissolved oxygen</t>
        </is>
      </c>
      <c r="AA53" s="3" t="inlineStr">
        <is>
          <t>Tropical</t>
        </is>
      </c>
      <c r="AB53" s="3" t="inlineStr">
        <is>
          <t>Kappaphycus / Eucheuma</t>
        </is>
      </c>
      <c r="AC53" s="3" t="inlineStr">
        <is>
          <t>Off-bottom (monoline / pegs)</t>
        </is>
      </c>
      <c r="AD53" s="3" t="inlineStr">
        <is>
          <t>Multi-farm regional</t>
        </is>
      </c>
      <c r="AE53" s="3" t="inlineStr">
        <is>
          <t>Clear (visual methods feasible)</t>
        </is>
      </c>
      <c r="AF53" s="3" t="inlineStr">
        <is>
          <t>Monoculture</t>
        </is>
      </c>
      <c r="AG53" s="3" t="inlineStr">
        <is>
          <t>Water chemistry, Modelling</t>
        </is>
      </c>
      <c r="AH53" s="3" t="inlineStr">
        <is>
          <t>Red</t>
        </is>
      </c>
      <c r="AI53" s="3" t="inlineStr">
        <is>
          <t>Shallow nearshore (2–10 m)</t>
        </is>
      </c>
      <c r="AJ53" s="3" t="inlineStr">
        <is>
          <t>Sheltered</t>
        </is>
      </c>
      <c r="AK53" s="16" t="inlineStr">
        <is>
          <t>This protocol pairs seasonal water-quality measurement with a GIS suitability-and-carrying-capacity assessment for siting seaweed cultivation. Choose stations that represent the cultivation areas (purposive sampling) and measure across the year to capture seasonal change: water depth (portable sounder), current velocity (drift float), clarity (Secchi disk), salinity (refractometer), pH and sea-surface temperature (combined meter) and dissolved oxygen (DO meter) on site, with water samples taken to a lab for nitrate, phosphate and turbidity. Feed the physical, chemical, biological and infrastructural parameters into a GIS matching analysis that scores each area against minimum cultivation requirements, then calculate carrying capacity from the suitable area and the space one cultivation unit occupies to estimate how many units the waters can sustainably support. Use it to decide where, and at what density, cultivation can expand without degrading the coastal environment.</t>
        </is>
      </c>
      <c r="AL53" s="17" t="inlineStr">
        <is>
          <t>High</t>
        </is>
      </c>
      <c r="AM53" s="18" t="inlineStr">
        <is>
          <t>rahadiati_2017</t>
        </is>
      </c>
      <c r="AN53" s="19" t="n"/>
      <c r="AO53" s="19" t="n"/>
      <c r="AP53" s="19" t="n"/>
      <c r="AQ53" s="16" t="inlineStr">
        <is>
          <t>Water-Quality &amp; Carrying-Capacity Siting for Seaweed</t>
        </is>
      </c>
      <c r="AR53" s="16" t="inlineStr">
        <is>
          <t xml:space="preserve">Rahadiati, Ati; Soewardi, Kadarwan; Wardiatno, Yusli; </t>
        </is>
      </c>
      <c r="AS53" s="16" t="inlineStr">
        <is>
          <t>Carrying capacity framing suggests this paper is methodologically useful for any framework user scaling up cultivation. | v30 AK-vs-I reconciliation: methods (Rahadiati 2017, read) measure DO, nutrients and physical parameters plus GIS suitability/carrying-capacity - no chlorophyll-a. Removed WQ 2.1.1; retained WQ 1.2.1 (DO). | v32: matching column re-tagged - removed WQ 2.1.1 (chl-a, not measured); retained WQ 1.2.1 (DO) (user-approved).  |  [2026-10-09 Rule 15 cost re-rate, batch 3] Framework basis: SW WQ 1.2.1: farm + 2 adjacent non-farm refs; seasonal + diurnal (4 visits, tropical year-round crop; one logger per location); 3 locations × 4 visits × 1 replicates = 12. On-site DO meter readings replaced by the logger route (a DO logger per location meets the diurnal requirement); GIS carrying-capacity step runs on free software. Prior O: 'Medium — multiprobe + partner lab + GIS software'.  |  [2026-10-16 monitoring-methods pass] AT (Monitoring Methods) set from the protocol's method summary (AK): Temperature / salinity, Dissolved oxygen, pH, Water clarity / turbidity (Secchi), Dissolved nutrients (N &amp; P), GIS siting / carrying capacity.</t>
        </is>
      </c>
      <c r="AT53" s="20" t="inlineStr">
        <is>
          <t>Temperature / salinity, Dissolved oxygen, pH, Water clarity / turbidity (Secchi), Dissolved nutrients (N &amp; P), GIS siting / carrying capacity</t>
        </is>
      </c>
    </row>
    <row r="54" ht="240" customHeight="1">
      <c r="A54" s="3" t="inlineStr">
        <is>
          <t>Troell, M., et al.</t>
        </is>
      </c>
      <c r="B54" s="3" t="inlineStr">
        <is>
          <t>Ecological engineering in aquaculture: use of seaweeds for removing nutrients from intensive mariculture</t>
        </is>
      </c>
      <c r="C54" s="3" t="inlineStr">
        <is>
          <t>Journal of applied Phycology</t>
        </is>
      </c>
      <c r="D54" s="3" t="n">
        <v>11</v>
      </c>
      <c r="E54" s="3" t="n">
        <v>1</v>
      </c>
      <c r="F54" s="3" t="inlineStr">
        <is>
          <t>89-97</t>
        </is>
      </c>
      <c r="G54" s="3" t="n">
        <v>1999</v>
      </c>
      <c r="H54" s="3" t="inlineStr">
        <is>
          <t>Springer</t>
        </is>
      </c>
      <c r="I54" s="3" t="inlineStr">
        <is>
          <t>Seaweed Water Quality — Indicator 1.1.1 (N and P bioextraction in IMTA / land-based systems).</t>
        </is>
      </c>
      <c r="J54" s="3" t="inlineStr">
        <is>
          <t>Reference</t>
        </is>
      </c>
      <c r="K54" s="3" t="inlineStr">
        <is>
          <t>Foundational conceptual reference for the seaweed-as-biofilter framing in IMTA contexts. No explicit measurement protocols — superseded methodologically by later quantitative work (Xiao 2017, Wang 2014, Hwang 2008).</t>
        </is>
      </c>
      <c r="L54" s="3" t="inlineStr">
        <is>
          <t>No — conceptual reference, not an executable protocol</t>
        </is>
      </c>
      <c r="M54" s="3" t="inlineStr">
        <is>
          <t>Useful as foundational background reading; researchers should reference primary methodology papers (Wang 2014, Xiao 2017) for actual quantification methods.</t>
        </is>
      </c>
      <c r="N54" s="3" t="inlineStr">
        <is>
          <t>N/A — conceptual / hybrid review with pilot-scale references</t>
        </is>
      </c>
      <c r="O54" s="3" t="inlineStr">
        <is>
          <t>N/A</t>
        </is>
      </c>
      <c r="P54" s="3" t="inlineStr">
        <is>
          <t>One-time (no sampling — desk-based)</t>
        </is>
      </c>
      <c r="Q54" s="3" t="inlineStr">
        <is>
          <t>Conceptual synthesis</t>
        </is>
      </c>
      <c r="R54" s="3" t="inlineStr">
        <is>
          <t>Unknown — older paper, likely paywalled.</t>
        </is>
      </c>
      <c r="T54" s="3" t="inlineStr">
        <is>
          <t>https://doi.org/10.1023/A:1008070400208</t>
        </is>
      </c>
      <c r="U54" s="3" t="inlineStr"/>
      <c r="V54" s="3" t="inlineStr">
        <is>
          <t>Original list</t>
        </is>
      </c>
      <c r="W54" s="8" t="inlineStr">
        <is>
          <t>1 — Reference</t>
        </is>
      </c>
      <c r="X54" s="3" t="inlineStr">
        <is>
          <t>Multi-trophic (IMTA)</t>
        </is>
      </c>
      <c r="Y54" s="3" t="inlineStr">
        <is>
          <t>Water Quality, Cross-cutting / Framework</t>
        </is>
      </c>
      <c r="Z54" s="3" t="inlineStr">
        <is>
          <t>WQ 1.1.1 — N and P bioextraction</t>
        </is>
      </c>
      <c r="AA54" s="3" t="inlineStr">
        <is>
          <t>Cross-zone / global</t>
        </is>
      </c>
      <c r="AB54" s="3" t="inlineStr">
        <is>
          <t>Not species-specific</t>
        </is>
      </c>
      <c r="AC54" s="3" t="inlineStr">
        <is>
          <t>Not gear-specific</t>
        </is>
      </c>
      <c r="AD54" s="3" t="inlineStr">
        <is>
          <t>Not scale-specific</t>
        </is>
      </c>
      <c r="AE54" s="3" t="inlineStr">
        <is>
          <t>Not site-specific</t>
        </is>
      </c>
      <c r="AF54" s="3" t="inlineStr">
        <is>
          <t>Seaweed + finfish</t>
        </is>
      </c>
      <c r="AG54" s="3" t="inlineStr">
        <is>
          <t>Mixed methods</t>
        </is>
      </c>
      <c r="AH54" s="3" t="inlineStr">
        <is>
          <t>Not algae-specific</t>
        </is>
      </c>
      <c r="AI54" s="3" t="inlineStr">
        <is>
          <t>Not depth-specific</t>
        </is>
      </c>
      <c r="AJ54" s="3" t="inlineStr">
        <is>
          <t>Not exposure-specific</t>
        </is>
      </c>
      <c r="AK54" s="16" t="inlineStr">
        <is>
          <t>This is a foundational conceptual reference for using seaweed as a biofilter in IMTA and land-based systems; it establishes the framing rather than a measurement procedure and contains no explicit sampling protocol. It has been superseded methodologically by later quantitative work. Use it for context on the bioextraction concept, then go to the primary quantitative papers for the actual tissue-content x biomass measurement.</t>
        </is>
      </c>
      <c r="AL54" s="17" t="inlineStr">
        <is>
          <t>Ref</t>
        </is>
      </c>
      <c r="AM54" s="18" t="inlineStr">
        <is>
          <t>troell_1999</t>
        </is>
      </c>
      <c r="AN54" s="19" t="n"/>
      <c r="AO54" s="19" t="n"/>
      <c r="AP54" s="19" t="n"/>
      <c r="AQ54" s="16" t="inlineStr">
        <is>
          <t>Seaweed as a Nutrient Biofilter in IMTA (Concept Reference)</t>
        </is>
      </c>
      <c r="AR54" s="16" t="inlineStr">
        <is>
          <t xml:space="preserve">Troell, Max; Rönnbäck, Patrik; Halling, Christina; Kautsky, Nils; Buschmann, A; </t>
        </is>
      </c>
      <c r="AS54" s="16" t="inlineStr">
        <is>
          <t>Foundational ecological-engineering / seaweed-bioremediation concept paper. Establishes the framing that later quantitative work operationalises. Useful for context but not for protocol selection.</t>
        </is>
      </c>
      <c r="AT54" s="20" t="n"/>
    </row>
    <row r="55" ht="240" customHeight="1">
      <c r="A55" s="3" t="inlineStr">
        <is>
          <t>Rose, D. J. &amp; Hemery, L. G.</t>
        </is>
      </c>
      <c r="B55" s="3" t="inlineStr">
        <is>
          <t>Methods for measuring carbon dioxide uptake and permanence: Review and implications for macroalgae aquaculture</t>
        </is>
      </c>
      <c r="C55" s="3" t="inlineStr">
        <is>
          <t>Journal of Marine Science and Engineering</t>
        </is>
      </c>
      <c r="D55" s="3" t="n">
        <v>11</v>
      </c>
      <c r="E55" s="3" t="n">
        <v>1</v>
      </c>
      <c r="F55" s="3" t="n">
        <v>175</v>
      </c>
      <c r="G55" s="3" t="n">
        <v>2023</v>
      </c>
      <c r="H55" s="3" t="inlineStr">
        <is>
          <t>MDPI</t>
        </is>
      </c>
      <c r="I55" s="3" t="inlineStr">
        <is>
          <t>Seaweed Climate Change Goal 1 — Objectives 1.1 (biomass C content / displacement of emissions-intensive products) and 1.2 (POC/DOC release, full GHG accounting); Indicators 1.1.1 (cradle-to-grave GHG) and 1.2.1 (carbon cycling).</t>
        </is>
      </c>
      <c r="J55" s="3" t="inlineStr">
        <is>
          <t>Reference (methods review of 382 papers)</t>
        </is>
      </c>
      <c r="K55" s="3" t="inlineStr">
        <is>
          <t>Adequate for indicator scoping; not adequate as a standalone protocol. Categorises uptake methods (mostly mature — tissue %C × biomass, eddy covariance, isotope tracing) and permanence methods (immature, no consensus) and maps capabilities, but defers procedure details to the primary papers it reviews.</t>
        </is>
      </c>
      <c r="L55" s="3" t="inlineStr">
        <is>
          <t>Partial — the simplest uptake route (harvest weight × published %C value) is fully accessible to a farmer using values from this review; everything else is research-grade.</t>
        </is>
      </c>
      <c r="M55" s="3" t="inlineStr">
        <is>
          <t>Yes — written for researchers needing to scope monitoring/reporting/verification (MRV) approaches across the seaweed lifecycle.</t>
        </is>
      </c>
      <c r="N55" s="3" t="inlineStr">
        <is>
          <t>N/A — methods review (LCA software relevant: SimaPro, GREET, openLCA)</t>
        </is>
      </c>
      <c r="O55" s="3" t="inlineStr">
        <is>
          <t>N/A (software licenses can be free with openLCA)</t>
        </is>
      </c>
      <c r="P55" s="3" t="inlineStr">
        <is>
          <t>One-time (no sampling — desk-based)</t>
        </is>
      </c>
      <c r="Q55" s="3" t="inlineStr">
        <is>
          <t>Life-cycle assessment (LCA) methodology comparison</t>
        </is>
      </c>
      <c r="R55" s="3" t="inlineStr">
        <is>
          <t>Yes — Open Access (CC BY, MDPI)</t>
        </is>
      </c>
      <c r="T55" s="3" t="inlineStr">
        <is>
          <t>https://www.mdpi.com/2077-1312/11/1/175 ; also OSTI: https://www.osti.gov/pages/biblio/1908888</t>
        </is>
      </c>
      <c r="U55" s="3" t="inlineStr"/>
      <c r="V55" s="3" t="inlineStr">
        <is>
          <t>Original list</t>
        </is>
      </c>
      <c r="W55" s="7" t="inlineStr">
        <is>
          <t>2 — Researcher</t>
        </is>
      </c>
      <c r="X55" s="3" t="inlineStr">
        <is>
          <t>Seaweed</t>
        </is>
      </c>
      <c r="Y55" s="3" t="inlineStr">
        <is>
          <t>Climate Change</t>
        </is>
      </c>
      <c r="Z55" s="3" t="inlineStr">
        <is>
          <t>CC 1.1.1 — Biomass replacement of emissions-intensive products, CC 1.2.1 — Cradle-to-grave GHG emissions</t>
        </is>
      </c>
      <c r="AA55" s="3" t="inlineStr">
        <is>
          <t>Cross-zone / global</t>
        </is>
      </c>
      <c r="AB55" s="3" t="inlineStr">
        <is>
          <t>Not species-specific</t>
        </is>
      </c>
      <c r="AC55" s="3" t="inlineStr">
        <is>
          <t>Not gear-specific</t>
        </is>
      </c>
      <c r="AD55" s="3" t="inlineStr">
        <is>
          <t>Not scale-specific</t>
        </is>
      </c>
      <c r="AE55" s="3" t="inlineStr">
        <is>
          <t>Not site-specific</t>
        </is>
      </c>
      <c r="AF55" s="3" t="inlineStr">
        <is>
          <t>Not specific</t>
        </is>
      </c>
      <c r="AG55" s="3" t="inlineStr">
        <is>
          <t>Modelling</t>
        </is>
      </c>
      <c r="AH55" s="3" t="inlineStr">
        <is>
          <t>Not algae-specific</t>
        </is>
      </c>
      <c r="AI55" s="3" t="inlineStr">
        <is>
          <t>Not depth-specific</t>
        </is>
      </c>
      <c r="AJ55" s="3" t="inlineStr">
        <is>
          <t>Not exposure-specific</t>
        </is>
      </c>
      <c r="AK55" s="16" t="inlineStr">
        <is>
          <t>This is a methods review (several hundred papers), not a standalone protocol. It classifies carbon-uptake methods - tissue carbon content x biomass, eddy covariance, isotope tracing, all relatively mature - and carbon-permanence methods (still immature, no consensus), and maps which method suits which monitoring need, but defers procedural detail to the primary papers it reviews. Use it as the entry point for matching a carbon method to your Climate Change indicator, then jump to a primary protocol for execution.</t>
        </is>
      </c>
      <c r="AL55" s="17" t="inlineStr">
        <is>
          <t>Ref</t>
        </is>
      </c>
      <c r="AM55" s="18" t="inlineStr">
        <is>
          <t>rose_2023</t>
        </is>
      </c>
      <c r="AN55" s="19" t="n"/>
      <c r="AO55" s="19" t="n"/>
      <c r="AP55" s="19" t="n"/>
      <c r="AQ55" s="16" t="inlineStr">
        <is>
          <t>Methods for Measuring Carbon Uptake &amp; Permanence (Review)</t>
        </is>
      </c>
      <c r="AR55" s="16" t="inlineStr">
        <is>
          <t xml:space="preserve">Rose, Deborah J; Hemery, Lenaïg G; </t>
        </is>
      </c>
      <c r="AS55" s="16" t="inlineStr">
        <is>
          <t>Cited in MEL Tools &amp; Resources for Climate Change (p. 41). Best read as the entry-point for matching a C method to a monitoring need, then jumping to a primary protocol paper for execution. | v1.4 refinement: CC indicator labels corrected — old v1.3 assigned cradle-to-grave to CC 1.1.1 and "Carbon cycling" to CC 1.2.1; v1.4 Seaweed framework reverses this (CC 1.1.1 = biomass replacement of emissions-intensive products, CC 1.2.1 = cradle-to-grave GHG emissions). "Carbon cycling" is not a v1.4 indicator.</t>
        </is>
      </c>
      <c r="AT55" s="20" t="n"/>
    </row>
    <row r="56" ht="240" customHeight="1">
      <c r="A56" s="3" t="inlineStr">
        <is>
          <t>Xiong, Y., et al.</t>
        </is>
      </c>
      <c r="B56" s="3" t="inlineStr">
        <is>
          <t>The contribution of fish and seaweed mariculture to the coastal fluxes of biogenic elements in two important aquaculture areas, China</t>
        </is>
      </c>
      <c r="C56" s="3" t="inlineStr">
        <is>
          <t>Science of the Total Environment</t>
        </is>
      </c>
      <c r="D56" s="3" t="n">
        <v>856</v>
      </c>
      <c r="E56" s="3" t="n"/>
      <c r="F56" s="3" t="n">
        <v>159056</v>
      </c>
      <c r="G56" s="3" t="n">
        <v>2023</v>
      </c>
      <c r="H56" s="3" t="inlineStr">
        <is>
          <t>Elsevier</t>
        </is>
      </c>
      <c r="I56" s="3" t="inlineStr">
        <is>
          <t>Seaweed Water Quality + Climate Change — Indicators 1.1.1 (WQ — N and P bioextraction), 1.1.1 (CC — cradle-to-grave carbon), 1.2.1 (WQ — O₂ generation). Province-scale CNPO (carbon, nitrogen, phosphorus, oxygen) flux accounting.</t>
        </is>
      </c>
      <c r="J56" s="3" t="inlineStr">
        <is>
          <t>Reference / synthesis — quantitative accounting paper integrating published literature with new data</t>
        </is>
      </c>
      <c r="K56" s="3" t="inlineStr">
        <is>
          <t>Adequate as a scaling-up accounting framework, not a primary protocol. Produces province-scale annual fluxes: in Fujian 2020 the seaweed sector removed 555.74 Gg C, 58.44 Gg N, 7.80 Gg P, and released 1481.97 Gg O₂; Guangdong fluxes are ~10–20× lower. Quantifies that Fujian seaweed N and P fluxes are 69% and 240% of the Min River, respectively — a useful magnitude check for any regional MEL implementation.</t>
        </is>
      </c>
      <c r="L56" s="3" t="inlineStr">
        <is>
          <t>No — desk-based accounting using government statistics + tissue-content multipliers. Not executable at farm level but provides the scaling logic for farm-level data to roll up.</t>
        </is>
      </c>
      <c r="M56" s="3" t="inlineStr">
        <is>
          <t>Yes — for ecosystem accountants and regional aquaculture managers.</t>
        </is>
      </c>
      <c r="N56" s="3" t="inlineStr">
        <is>
          <t>N/A — synthesis from government statistics + published tissue-content multipliers</t>
        </is>
      </c>
      <c r="O56" s="3" t="inlineStr">
        <is>
          <t>N/A</t>
        </is>
      </c>
      <c r="P56" s="3" t="inlineStr">
        <is>
          <t>One-time (no sampling — desk-based)</t>
        </is>
      </c>
      <c r="Q56" s="3" t="inlineStr">
        <is>
          <t>Mass-balance flux accounting; comparison to riverine N/P loads</t>
        </is>
      </c>
      <c r="R56" s="3" t="inlineStr">
        <is>
          <t>No — Paywalled at Elsevier (Sci Total Environ)</t>
        </is>
      </c>
      <c r="T56" s="3" t="inlineStr">
        <is>
          <t>Paywall: https://www.sciencedirect.com/science/article/abs/pii/S0048969722061551 ; PubMed: https://pubmed.ncbi.nlm.nih.gov/36170919/ ; DOI 10.1016/j.scitotenv.2022.159056</t>
        </is>
      </c>
      <c r="U56" s="3" t="inlineStr"/>
      <c r="V56" s="3" t="inlineStr">
        <is>
          <t>Original list</t>
        </is>
      </c>
      <c r="W56" s="8" t="inlineStr">
        <is>
          <t>1 — Reference</t>
        </is>
      </c>
      <c r="X56" s="3" t="inlineStr">
        <is>
          <t>Multi-trophic (IMTA)</t>
        </is>
      </c>
      <c r="Y56" s="3" t="inlineStr">
        <is>
          <t>Water Quality, Climate Change</t>
        </is>
      </c>
      <c r="Z56" s="3" t="inlineStr">
        <is>
          <t>WQ 1.1.1 — N and P bioextraction, WQ 1.2.1 — Dissolved oxygen, CC 1.2.1 — Cradle-to-grave GHG emissions</t>
        </is>
      </c>
      <c r="AA56" s="3" t="inlineStr">
        <is>
          <t>Subtropical</t>
        </is>
      </c>
      <c r="AB56" s="3" t="inlineStr">
        <is>
          <t>Multi-species / mixed</t>
        </is>
      </c>
      <c r="AC56" s="3" t="inlineStr">
        <is>
          <t>Mixed</t>
        </is>
      </c>
      <c r="AD56" s="3" t="inlineStr">
        <is>
          <t>Multi-farm regional</t>
        </is>
      </c>
      <c r="AE56" s="3" t="inlineStr">
        <is>
          <t>Not site-specific</t>
        </is>
      </c>
      <c r="AF56" s="3" t="inlineStr">
        <is>
          <t>Seaweed + finfish</t>
        </is>
      </c>
      <c r="AG56" s="3" t="inlineStr">
        <is>
          <t>Modelling</t>
        </is>
      </c>
      <c r="AH56" s="3" t="inlineStr">
        <is>
          <t>Multi-type</t>
        </is>
      </c>
      <c r="AI56" s="3" t="inlineStr">
        <is>
          <t>Not depth-specific</t>
        </is>
      </c>
      <c r="AJ56" s="3" t="inlineStr">
        <is>
          <t>Not exposure-specific</t>
        </is>
      </c>
      <c r="AK56" s="16" t="inlineStr">
        <is>
          <t>This is a scaling-up accounting synthesis, not a primary protocol. It combines production statistics with published tissue-content multipliers to produce region-scale annual carbon, nitrogen, phosphorus and oxygen fluxes for the seaweed sector, and benchmarks them against riverine nutrient loads. Use it to bridge farm-level MEL measurements to the regional and national aggregate figures that policymakers use, applying the same tissue-content x biomass logic at larger scale.</t>
        </is>
      </c>
      <c r="AL56" s="17" t="inlineStr">
        <is>
          <t>Ref</t>
        </is>
      </c>
      <c r="AM56" s="18" t="inlineStr">
        <is>
          <t>xiong_2023</t>
        </is>
      </c>
      <c r="AN56" s="19" t="n"/>
      <c r="AO56" s="19" t="n"/>
      <c r="AP56" s="19" t="n"/>
      <c r="AQ56" s="16" t="inlineStr">
        <is>
          <t>Scaling Seaweed &amp; Fish Nutrient/Carbon Fluxes to Region (Synthesis)</t>
        </is>
      </c>
      <c r="AR56" s="16" t="inlineStr">
        <is>
          <t xml:space="preserve">Xiong, Yonglong; Gao, Lin; Qu, Liyin; Xu, Juntian; Ma, Zengling; Gao, Guang; </t>
        </is>
      </c>
      <c r="AS56" s="16" t="inlineStr">
        <is>
          <t>Direct methodological successor to Xiao et al. 2017, scaling up the same tissue-content × biomass logic to province-by-year statistics. Provides the bridge between farm-level MEL measurements (which the framework targets) and the regional / national aggregate metrics that policymakers care about. | v1.4 refinement: CC indicator labels corrected — old v1.3 assigned cradle-to-grave to CC 1.1.1 and "Carbon cycling" to CC 1.2.1; v1.4 Seaweed framework reverses this (CC 1.1.1 = biomass replacement of emissions-intensive products, CC 1.2.1 = cradle-to-grave GHG emissions). "Carbon cycling" is not a v1.4 indicator. Province-scale CNPO flux accounting → CC 1.2.1 (cradle-to-grave). Biomass-replacement framing not central — collapsed to CC 1.2.1 only.</t>
        </is>
      </c>
      <c r="AT56" s="20" t="n"/>
    </row>
    <row r="57" ht="240" customHeight="1">
      <c r="A57" s="3" t="inlineStr">
        <is>
          <t>Wu, Z., et al.</t>
        </is>
      </c>
      <c r="B57" s="3" t="inlineStr">
        <is>
          <t>Macroalgae Farming Increases DO and pH, Reduces pCO2 and Nutrients, and Enhances Blue Carbon Potential</t>
        </is>
      </c>
      <c r="C57" s="3" t="inlineStr">
        <is>
          <t>Earth Systems and Environment</t>
        </is>
      </c>
      <c r="D57" s="3" t="n">
        <v>10</v>
      </c>
      <c r="E57" s="3" t="n"/>
      <c r="F57" s="3" t="inlineStr">
        <is>
          <t>4329-4343</t>
        </is>
      </c>
      <c r="G57" s="3" t="n">
        <v>2025</v>
      </c>
      <c r="H57" s="3" t="inlineStr">
        <is>
          <t>Springer</t>
        </is>
      </c>
      <c r="I57" s="3" t="inlineStr">
        <is>
          <t>Maps to WQ 1.2.1 — Dissolved oxygen. Yueqing Bay, Zhejiang, China (semi-enclosed, ~10 m, macrotidal), one survey 30 Nov–3 Dec 2024 at slack neap tide: 51 stations grouped by distance from mature Porphyra haitanensis (nori) farms (inside &lt;100 m, near 100–3,500 m, far &gt;3,500 m) and seedling-stage Hizikia fusiformis farms (inside &lt;100 m, near &gt;100 m); YSI EXO2 sonde at 0.5 m recorded DO (with temperature, salinity, pH, chlorophyll) at each station. DO was ~2.7% higher near the nori farms and ~1.7% higher inside the Hizikia farms than at reference stations. Match: Partial — one survey of spot readings; no seasonal or diurnal series.</t>
        </is>
      </c>
      <c r="J57" s="3" t="inlineStr">
        <is>
          <t>Protocol (empirical, fully specified — high-resolution 52-station field survey with geostatistical modelling)</t>
        </is>
      </c>
      <c r="K57" s="3" t="inlineStr">
        <is>
          <t>Confirmed standalone (full read). Spot DO readings at farm, near and far stations show a small farm-associated rise — usable for WQ 1.2.1 with repeated readings (Partial).</t>
        </is>
      </c>
      <c r="L57" s="3" t="inlineStr">
        <is>
          <t>Yes — handheld DO meter readings at fixed points are farmer-doable; the source's sonde is optional.</t>
        </is>
      </c>
      <c r="M57" s="3" t="inlineStr">
        <is>
          <t>Yes — full sampling design, station layout, and kriging methodology described.</t>
        </is>
      </c>
      <c r="N57" s="3" t="inlineStr">
        <is>
          <t>YSI EXO2 sonde at 0.5 m (temperature, salinity, pH, chlorophyll fluorescence, DO; 1 min at 1 Hz, calibrated); 0.45 µm filtration with HgCl₂ preservation; CleverChem 380 Plus nutrient analyser; Shimadzu TOC-L for DIC and DOC; CO2SYS for pCO₂; Sentinel-2 mapping of farm extent.</t>
        </is>
      </c>
      <c r="O57" s="3" t="inlineStr">
        <is>
          <t>Low — ~$670 yr 1: $620 start-up (handheld DO meter $620 [est]) + $50/yr (DO membrane caps + electrolyte $50 [est])</t>
        </is>
      </c>
      <c r="P57" s="3" t="inlineStr">
        <is>
          <t>Short campaign (days to 2 weeks) — one survey of 51 stations, 30 Nov–3 Dec 2024</t>
        </is>
      </c>
      <c r="Q57" s="3" t="inlineStr">
        <is>
          <t>Comparisons between distance groups (inside, near, far) with significance tests; spherical semivariograms and Empirical Bayesian Kriging to map influence zones; pCO₂ calculated in CO2SYS.</t>
        </is>
      </c>
      <c r="R57" s="3" t="inlineStr">
        <is>
          <t>No — Paywalled at Springer (Earth Systems and Environment)</t>
        </is>
      </c>
      <c r="S57" t="inlineStr">
        <is>
          <t>Full PDF</t>
        </is>
      </c>
      <c r="T57" s="3" t="inlineStr">
        <is>
          <t>https://doi.org/10.1007/s41748-025-00867-w</t>
        </is>
      </c>
      <c r="U57" s="3" t="inlineStr">
        <is>
          <t>One early-winter survey: mature nori in the north vs Hizikia at seedling stage in the south, so species is confounded with growth stage; pCO₂ is calculated, not measured. The paper's "blue carbon potential" framing goes beyond what water chemistry shows (the MEL framework does not credit seaweed as a carbon sink).</t>
        </is>
      </c>
      <c r="V57" s="3" t="inlineStr">
        <is>
          <t>Original list</t>
        </is>
      </c>
      <c r="W57" s="10" t="inlineStr">
        <is>
          <t>4 — Practitioner</t>
        </is>
      </c>
      <c r="X57" s="3" t="inlineStr">
        <is>
          <t>Seaweed</t>
        </is>
      </c>
      <c r="Y57" s="3" t="inlineStr">
        <is>
          <t>Water Quality</t>
        </is>
      </c>
      <c r="Z57" s="3" t="inlineStr">
        <is>
          <t>WQ 1.2.1 — Dissolved oxygen</t>
        </is>
      </c>
      <c r="AA57" s="3" t="inlineStr">
        <is>
          <t>Subtropical</t>
        </is>
      </c>
      <c r="AB57" s="3" t="inlineStr">
        <is>
          <t>Porphyra / Pyropia (nori/laver), Hizikia / Sargassum</t>
        </is>
      </c>
      <c r="AC57" s="3" t="inlineStr">
        <is>
          <t>Mixed</t>
        </is>
      </c>
      <c r="AD57" s="3" t="inlineStr">
        <is>
          <t>Multi-farm regional</t>
        </is>
      </c>
      <c r="AE57" s="3" t="inlineStr">
        <is>
          <t>Variable / seasonal</t>
        </is>
      </c>
      <c r="AF57" s="3" t="inlineStr">
        <is>
          <t>Monoculture</t>
        </is>
      </c>
      <c r="AG57" s="3" t="inlineStr">
        <is>
          <t>Water chemistry</t>
        </is>
      </c>
      <c r="AH57" s="3" t="inlineStr">
        <is>
          <t>Red, Brown</t>
        </is>
      </c>
      <c r="AI57" s="3" t="inlineStr">
        <is>
          <t>Coastal (10–30 m)</t>
        </is>
      </c>
      <c r="AJ57" s="3" t="inlineStr">
        <is>
          <t>Semi-exposed</t>
        </is>
      </c>
      <c r="AK57" s="16" t="inlineStr">
        <is>
          <t>To check whether your seaweed farm raises dissolved oxygen in the water around it, take readings with a calibrated handheld DO meter at 0.5 m at [3] points inside the farm (within 100 m of the cultivation), [3] points nearby and [3] reference points [several km] away in the same water body, once per season including near peak crop biomass, at slack water and a similar time of day; hold the probe still for a minute and record the mean. Where you can, repeat at dawn and mid-afternoon on the same day to capture the daily swing. Compare DO (mg/L and % saturation) between inside, near and reference points. The source surveyed 51 stations once and found DO 2–3% higher in and near the farms; rivers and tides can mask the farm effect, so record tide stage and recent rainfall.</t>
        </is>
      </c>
      <c r="AL57" s="17" t="inlineStr">
        <is>
          <t>High</t>
        </is>
      </c>
      <c r="AM57" s="18" t="inlineStr">
        <is>
          <t>wu_2025_wq121</t>
        </is>
      </c>
      <c r="AN57" s="19" t="n"/>
      <c r="AO57" s="19" t="n"/>
      <c r="AP57" s="19" t="n"/>
      <c r="AQ57" s="16" t="inlineStr">
        <is>
          <t>Dissolved-oxygen monitoring — Seaweed</t>
        </is>
      </c>
      <c r="AR57" s="16" t="inlineStr">
        <is>
          <t>Wu, Zhenyu; Cai, Chunzhi; Ye, Zhanjiang; Wang, Nan; Zhu, Yaojia; Jin, Runjie; Christakos, George; Chen, Shuangshuang; Wang, Dongyu; Zhu, Junjie; He, Junyu; Agusti, Susana; Duarte, Carlos M.; Wu, Jiaping</t>
        </is>
      </c>
      <c r="AS57" s="16" t="inlineStr">
        <is>
          <t>Direct successor to Xiao et al. 2021 with two important advances: (a) much finer spatial resolution (52 stations vs. Xiao's coarser grid), and (b) species-resolved comparison showing that influence-zone size is species-dependent (Porphyra kilometre-scale vs. Hizikia localised). For a MEL implementation, this implies that effect-detection sampling design must be tuned to the cultivated species. Sampling effort detail: water-sampling campaign was 2 days; geostatistical/satellite-imagery analysis component extends the effective effort. Water depth at sites averages 10 m with maximum to 41 m (Coastal classification reflects the average).  |  Migration (one-indicator-per-row, 2026-09-04): split from wu_2025 -&gt; {wu_2025_wq121, wu_2025_wq211, wu_2025_cc211}. This row = wu_2025_wq121 (WQ 1.2.1 — Dissolved oxygen). Candidate: AK/N/Q blanked and I/K/W/O/P provisional; per-indicator method text, tier/cost/effort and match adjudication to be finalised at generation. Combined parent I/AK/N/Q retained in v37 (pre-split).  |  [2026-10-13 Rule 15 cost re-rate, batch 9] Framework basis: SW WQ 1.2.1: farm + 2 adjacent non-farm refs; seasonal + diurnal (one logger per location); 3 locations. Standard DO logger route in place of the cruise multiprobe casts; the other parameters are outside the indicator and the 52-station grid is above the Framework minimum. Prior O: 'High — pCO₂ analyser $20K+ or alkalinity titrator (similar); multiprobe and nutrient kit Medium'.  |  [2026-10-16 method-summary pass] Full read (Peter's PDF). Citation: F held a corrupted date (2026-01-15) → pages 4329-4343; D → 10 (Earth Systems and Environment 10, 2026 issue; published online Oct 2025); AR → full 14 authors (He, Agusti, Duarte, Wu J. added); T → DOI; S: blank → 'Full PDF'. I, K: candidate-split text replaced; Match Partial (single survey; no seasonal or diurnal series). L → Yes. W: '2 — Researcher' → '4 — Practitioner' (discrete-station DO → handheld meter route, standing call); fill → T4 lime. AG → 'Water chemistry'. N, Q, U filled; P detail. O: logger route 'Medium — ~$5.4K' → 'Low — ~$670' (handheld meter). AK written; AL Med → High.  |  [2026-10-16 method-summary pass] Peter's call (2026-10-16): Partial kept.  |  [2026-10-16 monitoring-methods pass] AT (Monitoring Methods) set from the protocol's method summary (AK): Dissolved oxygen.</t>
        </is>
      </c>
      <c r="AT57" s="20" t="inlineStr">
        <is>
          <t>Dissolved oxygen</t>
        </is>
      </c>
    </row>
    <row r="58" ht="240" customHeight="1">
      <c r="A58" s="20" t="inlineStr">
        <is>
          <t>Wu, Z., et al.</t>
        </is>
      </c>
      <c r="B58" s="20" t="inlineStr">
        <is>
          <t>Macroalgae Farming Increases DO and pH, Reduces pCO2 and Nutrients, and Enhances Blue Carbon Potential</t>
        </is>
      </c>
      <c r="C58" s="20" t="inlineStr">
        <is>
          <t>Earth Systems and Environment</t>
        </is>
      </c>
      <c r="D58" s="20" t="n">
        <v>10</v>
      </c>
      <c r="E58" s="20" t="n"/>
      <c r="F58" s="20" t="inlineStr">
        <is>
          <t>4329-4343</t>
        </is>
      </c>
      <c r="G58" s="20" t="n">
        <v>2025</v>
      </c>
      <c r="H58" s="20" t="inlineStr">
        <is>
          <t>Springer</t>
        </is>
      </c>
      <c r="I58" s="20" t="inlineStr">
        <is>
          <t>Maps to WQ 2.1.1 — Chlorophyll-a. Yueqing Bay, Zhejiang, China (semi-enclosed, ~10 m, macrotidal), one survey 30 Nov–3 Dec 2024 at slack neap tide: 51 stations grouped by distance from mature Porphyra haitanensis (nori) farms (inside &lt;100 m, near 100–3,500 m, far &gt;3,500 m) and seedling-stage Hizikia fusiformis farms (inside &lt;100 m, near &gt;100 m); YSI EXO2 sonde at 0.5 m read chlorophyll-a by in vivo fluorescence at each station; chl-a was 0.72 µg L⁻¹ higher inside the young Hizikia farms than nearby. Match: Partial — one survey of spot sensor readings; no seasonal or diurnal series.</t>
        </is>
      </c>
      <c r="J58" s="20" t="inlineStr">
        <is>
          <t>Protocol (empirical, fully specified — high-resolution 52-station field survey with geostatistical modelling)</t>
        </is>
      </c>
      <c r="K58" s="20" t="inlineStr">
        <is>
          <t>Confirmed standalone (full read). Spot chlorophyll readings at farm, near and far stations — usable for WQ 2.1.1 with repeated sampling (Partial).</t>
        </is>
      </c>
      <c r="L58" s="20" t="inlineStr">
        <is>
          <t>Partial — surface sampling and filtering are farmer-doable; chlorophyll-a extraction needs a partner lab (a calibrated chlorophyll sensor is the Framework's alternative).</t>
        </is>
      </c>
      <c r="M58" s="20" t="inlineStr">
        <is>
          <t>Yes — full sampling design, station layout, and kriging methodology described.</t>
        </is>
      </c>
      <c r="N58" s="20" t="inlineStr">
        <is>
          <t>YSI EXO2 sonde at 0.5 m (temperature, salinity, pH, chlorophyll fluorescence, DO; 1 min at 1 Hz, calibrated); 0.45 µm filtration with HgCl₂ preservation; CleverChem 380 Plus nutrient analyser; Shimadzu TOC-L for DIC and DOC; CO2SYS for pCO₂; Sentinel-2 mapping of farm extent.</t>
        </is>
      </c>
      <c r="O58" s="20" t="inlineStr">
        <is>
          <t>Low — ~$800 yr 1: $250 start-up (filtration kit $250 [est]) + $553/yr (chl-a analysis 18 × $25.18 [lab fee]; filters + foil $100 [est])</t>
        </is>
      </c>
      <c r="P58" s="20" t="inlineStr">
        <is>
          <t>Short campaign (days to 2 weeks) — one survey of 51 stations, 30 Nov–3 Dec 2024</t>
        </is>
      </c>
      <c r="Q58" s="20" t="inlineStr">
        <is>
          <t>Comparisons between distance groups (inside, near, far) with significance tests; spherical semivariograms and Empirical Bayesian Kriging to map influence zones; pCO₂ calculated in CO2SYS.</t>
        </is>
      </c>
      <c r="R58" s="20" t="inlineStr">
        <is>
          <t>No — Paywalled at Springer (Earth Systems and Environment)</t>
        </is>
      </c>
      <c r="S58" s="21" t="inlineStr">
        <is>
          <t>Full PDF</t>
        </is>
      </c>
      <c r="T58" s="20" t="inlineStr">
        <is>
          <t>https://doi.org/10.1007/s41748-025-00867-w</t>
        </is>
      </c>
      <c r="U58" s="20" t="inlineStr">
        <is>
          <t>One early-winter survey: mature nori in the north vs Hizikia at seedling stage in the south, so species is confounded with growth stage; pCO₂ is calculated, not measured. The paper's "blue carbon potential" framing goes beyond what water chemistry shows (the MEL framework does not credit seaweed as a carbon sink).</t>
        </is>
      </c>
      <c r="V58" s="20" t="inlineStr">
        <is>
          <t>Original list</t>
        </is>
      </c>
      <c r="W58" s="9" t="inlineStr">
        <is>
          <t>3 — Partnership</t>
        </is>
      </c>
      <c r="X58" s="20" t="inlineStr">
        <is>
          <t>Seaweed</t>
        </is>
      </c>
      <c r="Y58" s="20" t="inlineStr">
        <is>
          <t>Water Quality</t>
        </is>
      </c>
      <c r="Z58" s="20" t="inlineStr">
        <is>
          <t>WQ 2.1.1 — Chlorophyll-a</t>
        </is>
      </c>
      <c r="AA58" s="20" t="inlineStr">
        <is>
          <t>Subtropical</t>
        </is>
      </c>
      <c r="AB58" s="20" t="inlineStr">
        <is>
          <t>Porphyra / Pyropia (nori/laver), Hizikia / Sargassum</t>
        </is>
      </c>
      <c r="AC58" s="20" t="inlineStr">
        <is>
          <t>Mixed</t>
        </is>
      </c>
      <c r="AD58" s="20" t="inlineStr">
        <is>
          <t>Multi-farm regional</t>
        </is>
      </c>
      <c r="AE58" s="20" t="inlineStr">
        <is>
          <t>Variable / seasonal</t>
        </is>
      </c>
      <c r="AF58" s="20" t="inlineStr">
        <is>
          <t>Monoculture</t>
        </is>
      </c>
      <c r="AG58" s="20" t="inlineStr">
        <is>
          <t>Water chemistry</t>
        </is>
      </c>
      <c r="AH58" s="20" t="inlineStr">
        <is>
          <t>Red, Brown</t>
        </is>
      </c>
      <c r="AI58" s="20" t="inlineStr">
        <is>
          <t>Coastal (10–30 m)</t>
        </is>
      </c>
      <c r="AJ58" s="20" t="inlineStr">
        <is>
          <t>Semi-exposed</t>
        </is>
      </c>
      <c r="AK58" s="16" t="inlineStr">
        <is>
          <t>To check the farm's effect on chlorophyll-a, collect surface water (about 0.5 m) at [3] points inside the farm, [3] points nearby and [3] reference points [several km] away in the same water body, once per season at slack water and a similar time of day. Filter a measured volume of each sample through glass-fibre filters, keep the filters dark and frozen, and send them to a partner lab for chlorophyll-a; a calibrated chlorophyll sensor read at the same points is the alternative. Compare inside, near and reference. The source read chlorophyll with a sonde's fluorescence sensor in a single survey and found a small rise next to young Hizikia farms, so repeated sampling across the growing season is added here.</t>
        </is>
      </c>
      <c r="AL58" s="17" t="inlineStr">
        <is>
          <t>High</t>
        </is>
      </c>
      <c r="AM58" s="18" t="inlineStr">
        <is>
          <t>wu_2025_wq211</t>
        </is>
      </c>
      <c r="AN58" s="19" t="n"/>
      <c r="AO58" s="19" t="n"/>
      <c r="AP58" s="19" t="n"/>
      <c r="AQ58" s="16" t="inlineStr">
        <is>
          <t>Chlorophyll-a monitoring — Seaweed</t>
        </is>
      </c>
      <c r="AR58" s="16" t="inlineStr">
        <is>
          <t>Wu, Zhenyu; Cai, Chunzhi; Ye, Zhanjiang; Wang, Nan; Zhu, Yaojia; Jin, Runjie; Christakos, George; Chen, Shuangshuang; Wang, Dongyu; Zhu, Junjie; He, Junyu; Agusti, Susana; Duarte, Carlos M.; Wu, Jiaping</t>
        </is>
      </c>
      <c r="AS58" s="16" t="inlineStr">
        <is>
          <t>Direct successor to Xiao et al. 2021 with two important advances: (a) much finer spatial resolution (52 stations vs. Xiao's coarser grid), and (b) species-resolved comparison showing that influence-zone size is species-dependent (Porphyra kilometre-scale vs. Hizikia localised). For a MEL implementation, this implies that effect-detection sampling design must be tuned to the cultivated species. Sampling effort detail: water-sampling campaign was 2 days; geostatistical/satellite-imagery analysis component extends the effective effort. Water depth at sites averages 10 m with maximum to 41 m (Coastal classification reflects the average).  |  Migration (one-indicator-per-row, 2026-09-04): split from wu_2025 -&gt; {wu_2025_wq121, wu_2025_wq211, wu_2025_cc211}. This row = wu_2025_wq211 (WQ 2.1.1 — Chlorophyll-a). Candidate: AK/N/Q blanked and I/K/W/O/P provisional; per-indicator method text, tier/cost/effort and match adjudication to be finalised at generation. Combined parent I/AK/N/Q retained in v37 (pre-split).  |  [2026-10-13 Rule 15 cost re-rate, batch 9] Framework basis: SW WQ 2.1.1: farm + 2 adjacent non-farm refs; seasonal + diurnal, fixed-time reading (2 visits, single subtropical grow-out); 3 locations × 2 visits × 3 replicates = 18. Lab chl-a on field-filtered samples (route inferred from the cruise water sampling; not stated in the note); the 52-station grid is above the Framework minimum. Prior O: 'High — pCO₂ analyser $20K+ or alkalinity titrator (similar); multiprobe and nutrient kit Medium'.  |  [2026-10-16 method-summary pass] Full read (Peter's PDF). Citation: F held a corrupted date (2026-01-15) → pages 4329-4343; D → 10 (Earth Systems and Environment 10, 2026 issue; published online Oct 2025); AR → full 14 authors (He, Agusti, Duarte, Wu J. added); T → DOI; S: blank → 'Full PDF'. I, K: candidate-split text replaced; Match Partial (single survey; no seasonal or diurnal series). L → Partial. W: '2 — Researcher' → '3 — Partnership' (partner-lab chl-a); fill → T3 pale green. AG → 'Water chemistry'. N, Q, U filled; P detail. O: 'Medium — ~$1.9K' → 'Low — ~$800' (surface samples need no water sampler — standing call; basis unchanged, 18 samples). AK written; AL Med → High.  |  [2026-10-16 method-summary pass] Peter's call (2026-10-16): Partial kept.  |  [2026-10-16 monitoring-methods pass] AT (Monitoring Methods) set from the protocol's method summary (AK): Chlorophyll-a (water).</t>
        </is>
      </c>
      <c r="AT58" s="20" t="inlineStr">
        <is>
          <t>Chlorophyll-a (water)</t>
        </is>
      </c>
    </row>
    <row r="59" ht="240" customHeight="1">
      <c r="A59" s="20" t="inlineStr">
        <is>
          <t>Wu, Z., et al.</t>
        </is>
      </c>
      <c r="B59" s="20" t="inlineStr">
        <is>
          <t>Macroalgae Farming Increases DO and pH, Reduces pCO2 and Nutrients, and Enhances Blue Carbon Potential</t>
        </is>
      </c>
      <c r="C59" s="20" t="inlineStr">
        <is>
          <t>Earth Systems and Environment</t>
        </is>
      </c>
      <c r="D59" s="20" t="n">
        <v>10</v>
      </c>
      <c r="E59" s="20" t="n"/>
      <c r="F59" s="20" t="inlineStr">
        <is>
          <t>4329-4343</t>
        </is>
      </c>
      <c r="G59" s="20" t="n">
        <v>2025</v>
      </c>
      <c r="H59" s="20" t="inlineStr">
        <is>
          <t>Springer</t>
        </is>
      </c>
      <c r="I59" s="20" t="inlineStr">
        <is>
          <t>Maps to CC 2.1.1 — pH at farm site. Yueqing Bay, Zhejiang, China (semi-enclosed, ~10 m, macrotidal), one survey 30 Nov–3 Dec 2024 at slack neap tide: 51 stations grouped by distance from mature Porphyra haitanensis (nori) farms (inside &lt;100 m, near 100–3,500 m, far &gt;3,500 m) and seedling-stage Hizikia fusiformis farms (inside &lt;100 m, near &gt;100 m); YSI EXO2 sonde at 0.5 m measured pH, with DIC by TOC analyser and pCO₂ calculated in CO2SYS. pH was up to 0.09 units higher and pCO₂ up to 118 µatm lower near mature nori farms; near Hizikia farms DIC fell 1.84 mg L⁻¹ and pCO₂ 82.6 µatm. Match: Partial — one survey of spot readings; no time series.</t>
        </is>
      </c>
      <c r="J59" s="20" t="inlineStr">
        <is>
          <t>Protocol (empirical, fully specified — high-resolution 52-station field survey with geostatistical modelling)</t>
        </is>
      </c>
      <c r="K59" s="20" t="inlineStr">
        <is>
          <t>Confirmed standalone (full read). Spot pH, DIC and calculated pCO₂ at farm, near and far stations show local shifts in carbonate chemistry — usable for CC 2.1.1 with loggers or repeated sampling added (Partial).</t>
        </is>
      </c>
      <c r="L59" s="20" t="inlineStr">
        <is>
          <t>Partial — deploying and servicing pH loggers is farmer-doable; TA and DIC checks need a partner lab.</t>
        </is>
      </c>
      <c r="M59" s="20" t="inlineStr">
        <is>
          <t>Yes — full sampling design, station layout, and kriging methodology described.</t>
        </is>
      </c>
      <c r="N59" s="20" t="inlineStr">
        <is>
          <t>YSI EXO2 sonde at 0.5 m (temperature, salinity, pH, chlorophyll fluorescence, DO; 1 min at 1 Hz, calibrated); 0.45 µm filtration with HgCl₂ preservation; CleverChem 380 Plus nutrient analyser; Shimadzu TOC-L for DIC and DOC; CO2SYS for pCO₂; Sentinel-2 mapping of farm extent.</t>
        </is>
      </c>
      <c r="O59" s="20" t="inlineStr">
        <is>
          <t>High — ~$38K yr 1: $36.3K start-up (OA-grade pH logger ×3 $36K [est]; mooring ×3 $300 [est]) + $1.95K/yr (TA + DIC check 24 × $79 [lab fee]; calibration supplies $50 [est])</t>
        </is>
      </c>
      <c r="P59" s="20" t="inlineStr">
        <is>
          <t>Short campaign (days to 2 weeks) — one survey of 51 stations, 30 Nov–3 Dec 2024</t>
        </is>
      </c>
      <c r="Q59" s="20" t="inlineStr">
        <is>
          <t>Comparisons between distance groups (inside, near, far) with significance tests; spherical semivariograms and Empirical Bayesian Kriging to map influence zones; pCO₂ calculated in CO2SYS.</t>
        </is>
      </c>
      <c r="R59" s="20" t="inlineStr">
        <is>
          <t>No — Paywalled at Springer (Earth Systems and Environment)</t>
        </is>
      </c>
      <c r="S59" s="21" t="inlineStr">
        <is>
          <t>Full PDF</t>
        </is>
      </c>
      <c r="T59" s="20" t="inlineStr">
        <is>
          <t>https://doi.org/10.1007/s41748-025-00867-w</t>
        </is>
      </c>
      <c r="U59" s="20" t="inlineStr">
        <is>
          <t>One early-winter survey: mature nori in the north vs Hizikia at seedling stage in the south, so species is confounded with growth stage; pCO₂ is calculated, not measured. The paper's "blue carbon potential" framing goes beyond what water chemistry shows (the MEL framework does not credit seaweed as a carbon sink).</t>
        </is>
      </c>
      <c r="V59" s="20" t="inlineStr">
        <is>
          <t>Original list</t>
        </is>
      </c>
      <c r="W59" s="9" t="inlineStr">
        <is>
          <t>3 — Partnership</t>
        </is>
      </c>
      <c r="X59" s="20" t="inlineStr">
        <is>
          <t>Seaweed</t>
        </is>
      </c>
      <c r="Y59" s="20" t="inlineStr">
        <is>
          <t>Climate Change</t>
        </is>
      </c>
      <c r="Z59" s="20" t="inlineStr">
        <is>
          <t>CC 2.1.1 — pH / ocean acidification</t>
        </is>
      </c>
      <c r="AA59" s="20" t="inlineStr">
        <is>
          <t>Subtropical</t>
        </is>
      </c>
      <c r="AB59" s="20" t="inlineStr">
        <is>
          <t>Porphyra / Pyropia (nori/laver), Hizikia / Sargassum</t>
        </is>
      </c>
      <c r="AC59" s="20" t="inlineStr">
        <is>
          <t>Mixed</t>
        </is>
      </c>
      <c r="AD59" s="20" t="inlineStr">
        <is>
          <t>Multi-farm regional</t>
        </is>
      </c>
      <c r="AE59" s="20" t="inlineStr">
        <is>
          <t>Variable / seasonal</t>
        </is>
      </c>
      <c r="AF59" s="20" t="inlineStr">
        <is>
          <t>Monoculture</t>
        </is>
      </c>
      <c r="AG59" s="20" t="inlineStr">
        <is>
          <t>Carbonate chemistry</t>
        </is>
      </c>
      <c r="AH59" s="20" t="inlineStr">
        <is>
          <t>Red, Brown</t>
        </is>
      </c>
      <c r="AI59" s="20" t="inlineStr">
        <is>
          <t>Coastal (10–30 m)</t>
        </is>
      </c>
      <c r="AJ59" s="20" t="inlineStr">
        <is>
          <t>Semi-exposed</t>
        </is>
      </c>
      <c r="AK59" s="16" t="inlineStr">
        <is>
          <t>To track how your seaweed farm changes local seawater carbonate chemistry, deploy calibrated pH loggers at [1] point inside the farm and at [2] reference points in the same water body outside its influence, at the same depth (about [0.5–1 m]), logging through the growing season, and take water samples alongside for total alkalinity and DIC at a partner lab to check the loggers and calculate pCO₂. Compare pH and pCO₂ between farm and reference, including the day–night swing. The source's single survey of 51 stations found higher pH and lower pCO₂ near mature nori farms; these are local, seasonal changes in water chemistry and do not by themselves show carbon stored.</t>
        </is>
      </c>
      <c r="AL59" s="17" t="inlineStr">
        <is>
          <t>High</t>
        </is>
      </c>
      <c r="AM59" s="18" t="inlineStr">
        <is>
          <t>wu_2025_cc211</t>
        </is>
      </c>
      <c r="AN59" s="19" t="n"/>
      <c r="AO59" s="19" t="n"/>
      <c r="AP59" s="19" t="n"/>
      <c r="AQ59" s="16" t="inlineStr">
        <is>
          <t>pH / ocean-acidification monitoring — Seaweed</t>
        </is>
      </c>
      <c r="AR59" s="16" t="inlineStr">
        <is>
          <t>Wu, Zhenyu; Cai, Chunzhi; Ye, Zhanjiang; Wang, Nan; Zhu, Yaojia; Jin, Runjie; Christakos, George; Chen, Shuangshuang; Wang, Dongyu; Zhu, Junjie; He, Junyu; Agusti, Susana; Duarte, Carlos M.; Wu, Jiaping</t>
        </is>
      </c>
      <c r="AS59" s="16" t="inlineStr">
        <is>
          <t>Direct successor to Xiao et al. 2021 with two important advances: (a) much finer spatial resolution (52 stations vs. Xiao's coarser grid), and (b) species-resolved comparison showing that influence-zone size is species-dependent (Porphyra kilometre-scale vs. Hizikia localised). For a MEL implementation, this implies that effect-detection sampling design must be tuned to the cultivated species. Sampling effort detail: water-sampling campaign was 2 days; geostatistical/satellite-imagery analysis component extends the effective effort. Water depth at sites averages 10 m with maximum to 41 m (Coastal classification reflects the average).  |  Migration (one-indicator-per-row, 2026-09-04): split from wu_2025 -&gt; {wu_2025_wq121, wu_2025_wq211, wu_2025_cc211}. This row = wu_2025_cc211 (CC 2.1.1 — pH / ocean acidification). Candidate: AK/N/Q blanked and I/K/W/O/P provisional; per-indicator method text, tier/cost/effort and match adjudication to be finalised at generation. Combined parent I/AK/N/Q retained in v37 (pre-split).  |  [2026-10-13 Rule 15 cost re-rate, batch 9] Framework basis: SW CC 2.1.1: within farm + adjacent non-farm; real-time/weekly with diurnal (one logger per location); 3 locations; TA + DIC checks 3 locations × 4 seasons × 2 = 24 (xiao_2021 pilot convention). Standard OA-grade logger route; the cruise pCO2/DIC survey is replaced by moored pH with discrete checks. Prior O: 'High — pCO₂ analyser $20K+ or alkalinity titrator (similar); multiprobe and nutrient kit Medium'.  |  [2026-10-16 method-summary pass] Full read (Peter's PDF). Citation: F held a corrupted date (2026-01-15) → pages 4329-4343; D → 10 (Earth Systems and Environment 10, 2026 issue; published online Oct 2025); AR → full 14 authors (He, Agusti, Duarte, Wu J. added); T → DOI; S: blank → 'Full PDF'. I, K: candidate-split text replaced; Match Partial (single survey; no seasonal or diurnal series). L → Partial. W: '2 — Researcher' → '3 — Partnership' (standard seaweed pH logger route, as goaon_2024); fill → T3 pale green. AG → 'Carbonate chemistry'. N, Q, U filled (blue-carbon framing caveat); P detail. O unchanged (logger route). AK written; AL Med → High.  |  [2026-10-16 method-summary pass] Peter's call (2026-10-16): Partial kept.  |  [2026-10-16 monitoring-methods pass] AT (Monitoring Methods) set from the protocol's method summary (AK): pH, Carbonate system (pH / OA), Continuous moored sensors.</t>
        </is>
      </c>
      <c r="AT59" s="20" t="inlineStr">
        <is>
          <t>pH, Carbonate system (pH / OA), Continuous moored sensors</t>
        </is>
      </c>
    </row>
    <row r="60" ht="240" customHeight="1">
      <c r="A60" s="3" t="inlineStr">
        <is>
          <t>Xiao, X., et al.</t>
        </is>
      </c>
      <c r="B60" s="3" t="inlineStr">
        <is>
          <t>Nutrient removal from Chinese coastal waters by large-scale seaweed aquaculture</t>
        </is>
      </c>
      <c r="C60" s="3" t="inlineStr">
        <is>
          <t>Scientific reports</t>
        </is>
      </c>
      <c r="D60" s="3" t="n">
        <v>7</v>
      </c>
      <c r="E60" s="3" t="n">
        <v>1</v>
      </c>
      <c r="F60" s="3" t="n">
        <v>46613</v>
      </c>
      <c r="G60" s="3" t="n">
        <v>2017</v>
      </c>
      <c r="H60" s="3" t="inlineStr">
        <is>
          <t>Nature Publishing Group UK London</t>
        </is>
      </c>
      <c r="I60" s="3" t="inlineStr">
        <is>
          <t>Seaweed Water Quality Goal 1 — Indicator 1.1.1 (N and P assimilated and extracted with harvested biomass). Executes the framework's "suggested method" of species %N and %P × biomass harvested.</t>
        </is>
      </c>
      <c r="J60" s="3" t="inlineStr">
        <is>
          <t>Protocol (simple back-of-envelope calculation chain) + Reference (provides species-specific %N and %P values usable by others)</t>
        </is>
      </c>
      <c r="K60" s="3" t="inlineStr">
        <is>
          <t>Adequate as a regional / sector-scale ACCOUNTING framework, not as a primary measurement protocol. The paper presents a tissue-content × biomass × area calculation chain using PUBLISHED %N and %P tissue values for major cultivated species (which it sources from prior literature). For practitioner use, pair with Wang 2014 (Row 42) which provides the primary tissue-measurement protocol (CHN analysis + δ¹⁵N) needed to generate site-specific tissue values.</t>
        </is>
      </c>
      <c r="L60" s="3" t="inlineStr">
        <is>
          <t>No for primary data collection — the framework relies on tissue values from published literature. A practitioner could not produce defensible site-specific estimates without partnering with a lab to measure their own tissue %N and %P (see Wang 2014 for that protocol).</t>
        </is>
      </c>
      <c r="M60" s="3" t="inlineStr">
        <is>
          <t>Yes — a researcher can readily extend the approach by generating site-specific tissue elemental data via CHN analyser instead of relying on published means.</t>
        </is>
      </c>
      <c r="N60" s="3" t="inlineStr">
        <is>
          <t>Biomass scales, tissue CHN elemental analyser (partner lab)</t>
        </is>
      </c>
      <c r="O60" s="3" t="inlineStr">
        <is>
          <t>Low — ~$80 yr 1: no start-up cost + $80/yr (tissue N + P 3 × $20 [lab fee]; sample bags $20 [est])</t>
        </is>
      </c>
      <c r="P60" s="3" t="inlineStr">
        <is>
          <t>One-time (no sampling — desk-based)</t>
        </is>
      </c>
      <c r="Q60" s="3" t="inlineStr">
        <is>
          <t>Tissue %N × biomass × area; back-of-envelope mass balance</t>
        </is>
      </c>
      <c r="R60" s="3" t="inlineStr">
        <is>
          <t>Yes — Open Access (CC BY 4.0, Scientific Reports / Nature)</t>
        </is>
      </c>
      <c r="T60" s="3" t="inlineStr">
        <is>
          <t>https://www.nature.com/articles/srep46613 ; PMC: https://pmc.ncbi.nlm.nih.gov/articles/PMC5399451/</t>
        </is>
      </c>
      <c r="U60" s="3" t="inlineStr">
        <is>
          <t>Pair it with a primary tissue-measurement protocol; on its own it supplies the calculation chain and reference %N/%P values.</t>
        </is>
      </c>
      <c r="V60" s="3" t="inlineStr">
        <is>
          <t>Original list</t>
        </is>
      </c>
      <c r="W60" s="7" t="inlineStr">
        <is>
          <t>2 — Researcher</t>
        </is>
      </c>
      <c r="X60" s="3" t="inlineStr">
        <is>
          <t>Seaweed</t>
        </is>
      </c>
      <c r="Y60" s="3" t="inlineStr">
        <is>
          <t>Water Quality</t>
        </is>
      </c>
      <c r="Z60" s="3" t="inlineStr">
        <is>
          <t>WQ 1.1.1 — N and P bioextraction</t>
        </is>
      </c>
      <c r="AA60" s="3" t="inlineStr">
        <is>
          <t>Cross-zone / global</t>
        </is>
      </c>
      <c r="AB60" s="3" t="inlineStr">
        <is>
          <t>Not species-specific</t>
        </is>
      </c>
      <c r="AC60" s="3" t="inlineStr">
        <is>
          <t>Not gear-specific</t>
        </is>
      </c>
      <c r="AD60" s="3" t="inlineStr">
        <is>
          <t>Not scale-specific</t>
        </is>
      </c>
      <c r="AE60" s="3" t="inlineStr">
        <is>
          <t>Not site-specific</t>
        </is>
      </c>
      <c r="AF60" s="3" t="inlineStr">
        <is>
          <t>Not specific</t>
        </is>
      </c>
      <c r="AG60" s="3" t="inlineStr">
        <is>
          <t>Tissue analysis, Modelling</t>
        </is>
      </c>
      <c r="AH60" s="3" t="inlineStr">
        <is>
          <t>Multi-type</t>
        </is>
      </c>
      <c r="AI60" s="3" t="inlineStr">
        <is>
          <t>Not depth-specific</t>
        </is>
      </c>
      <c r="AJ60" s="3" t="inlineStr">
        <is>
          <t>Not exposure-specific</t>
        </is>
      </c>
      <c r="AK60" s="16" t="inlineStr">
        <is>
          <t>To quantify the nitrogen and phosphorus your crop removes from the water (bioextraction), measure the tissue nitrogen and phosphorus content of harvested seaweed and multiply by the biomass harvested and the cultivated area. Collect representative tissue samples at harvest, dry them, and have a partner lab run elemental (CHN) analysis for %N and %P; combine these with recorded harvest weight and farm footprint to get total N and P extracted. The paper also supplies published %N/%P values for major cultivated species, so it can serve as a reference source if you cannot measure tissue directly, though site-measured values are more defensible. Pair with a primary tissue-measurement protocol for the CHN and isotope side.</t>
        </is>
      </c>
      <c r="AL60" s="17" t="inlineStr">
        <is>
          <t>Med</t>
        </is>
      </c>
      <c r="AM60" s="18" t="inlineStr">
        <is>
          <t>xiao_2017</t>
        </is>
      </c>
      <c r="AN60" s="19" t="n"/>
      <c r="AO60" s="19" t="n"/>
      <c r="AP60" s="19" t="n"/>
      <c r="AQ60" s="16" t="inlineStr">
        <is>
          <t>Nitrogen &amp; Phosphorus Bioextraction Accounting for Seaweed</t>
        </is>
      </c>
      <c r="AR60" s="16" t="inlineStr">
        <is>
          <t xml:space="preserve">Xiao, Xi; Agusti, Susana; Lin, Fang; Li, Ke; Pan, Yaoru; Yu, Yan; Zheng, Yuhan; Wu, Jiaping; Duarte, Carlos M; </t>
        </is>
      </c>
      <c r="AS60" s="16" t="inlineStr">
        <is>
          <t>Not a primary monitoring protocol — its value is (a) establishing the calculation chain and (b) providing reference %N and %P values for major species. PAIR WITH WANG 2014 (Row 42) for the primary tissue-measurement protocol (CHN analyser + δ¹⁵N) that produces defensible site-specific tissue values. Used together, these two papers cover the WQ 1.1.1 bioextraction indicator from primary measurement through to scaled accounting.  |  [2026-10-13 Rule 15 cost re-rate, batch 9] Framework basis: SW WQ 1.1.1: farmed biomass at harvest; farm only, no reference site; 1 locations × 1 visits × 3 replicates = 3. Tissue N + P at a partner lab × harvest weight; harvest scale farm-owned. Matches the v1.8 pilot (prices now from Cost_Reference). Prior O: 'Low — scales &lt;$200; tissue CHN ~$20–40/sample through partner lab'.  |  [2026-10-16 monitoring-methods pass] AT (Monitoring Methods) set from the protocol's method summary (AK): Tissue elemental (CHN) analysis, Stable isotopes (d13C / d15N).</t>
        </is>
      </c>
      <c r="AT60" s="20" t="inlineStr">
        <is>
          <t>Tissue elemental (CHN) analysis, Stable isotopes (d13C / d15N)</t>
        </is>
      </c>
    </row>
    <row r="61" ht="240" customHeight="1">
      <c r="A61" s="3" t="inlineStr">
        <is>
          <t>Bell, T. W., et al.</t>
        </is>
      </c>
      <c r="B61" s="3" t="inlineStr">
        <is>
          <t>The utility of satellites and autonomous remote sensing platforms for monitoring offshore aquaculture farms: a case study for canopy forming kelps</t>
        </is>
      </c>
      <c r="C61" s="3" t="inlineStr">
        <is>
          <t>Frontiers in Marine Science</t>
        </is>
      </c>
      <c r="D61" s="3" t="n">
        <v>7</v>
      </c>
      <c r="E61" s="3" t="n"/>
      <c r="F61" s="3" t="n">
        <v>520223</v>
      </c>
      <c r="G61" s="3" t="n">
        <v>2020</v>
      </c>
      <c r="H61" s="3" t="inlineStr">
        <is>
          <t>Frontiers Media SA</t>
        </is>
      </c>
      <c r="I61" s="3" t="inlineStr">
        <is>
          <t>Seaweed Water Quality + Habitat &amp; Biodiversity — peripheral / supporting Indicators 2.1.1 (chlorophyll-a from satellite), 2.1.2 (microorganism / phytoplankton blooms).</t>
        </is>
      </c>
      <c r="J61" s="3" t="inlineStr">
        <is>
          <t>Reference (technology review)</t>
        </is>
      </c>
      <c r="K61" s="3" t="inlineStr">
        <is>
          <t>Adequate as a review of satellite, AUV and other autonomous-platform options; not a protocol.</t>
        </is>
      </c>
      <c r="L61" s="3" t="inlineStr">
        <is>
          <t>No.</t>
        </is>
      </c>
      <c r="M61" s="3" t="inlineStr">
        <is>
          <t>Yes — for choosing a sensing platform.</t>
        </is>
      </c>
      <c r="N61" s="3" t="inlineStr">
        <is>
          <t>N/A — methods/technology review of satellite + autonomous platforms</t>
        </is>
      </c>
      <c r="O61" s="3" t="inlineStr">
        <is>
          <t>N/A</t>
        </is>
      </c>
      <c r="P61" s="3" t="inlineStr">
        <is>
          <t>Continuous (sensor / autonomous)</t>
        </is>
      </c>
      <c r="Q61" s="3" t="inlineStr">
        <is>
          <t>Technology review / case-study analysis</t>
        </is>
      </c>
      <c r="R61" s="3" t="inlineStr">
        <is>
          <t>Yes — Open Access at Frontiers in Marine Science</t>
        </is>
      </c>
      <c r="T61" s="3" t="inlineStr">
        <is>
          <t>https://doi.org/10.3389/fmars.2020.520223</t>
        </is>
      </c>
      <c r="U61" s="3" t="inlineStr"/>
      <c r="V61" s="3" t="inlineStr">
        <is>
          <t>Original list</t>
        </is>
      </c>
      <c r="W61" s="8" t="inlineStr">
        <is>
          <t>1 — Reference</t>
        </is>
      </c>
      <c r="X61" s="3" t="inlineStr">
        <is>
          <t>Seaweed</t>
        </is>
      </c>
      <c r="Y61" s="3" t="inlineStr">
        <is>
          <t>Habitat &amp; Biodiversity, Water Quality</t>
        </is>
      </c>
      <c r="Z61" s="3" t="inlineStr">
        <is>
          <t>H&amp;B 2.1.1 — Community composition, WQ 2.1.1 — Chlorophyll-a</t>
        </is>
      </c>
      <c r="AA61" s="3" t="inlineStr">
        <is>
          <t>Cross-zone / global</t>
        </is>
      </c>
      <c r="AB61" s="3" t="inlineStr">
        <is>
          <t>Macrocystis</t>
        </is>
      </c>
      <c r="AC61" s="3" t="inlineStr">
        <is>
          <t>Not gear-specific</t>
        </is>
      </c>
      <c r="AD61" s="3" t="inlineStr">
        <is>
          <t>Multi-farm regional</t>
        </is>
      </c>
      <c r="AE61" s="3" t="inlineStr">
        <is>
          <t>Not site-specific</t>
        </is>
      </c>
      <c r="AF61" s="3" t="inlineStr">
        <is>
          <t>Not specific</t>
        </is>
      </c>
      <c r="AG61" s="3" t="inlineStr">
        <is>
          <t>Remote sensing</t>
        </is>
      </c>
      <c r="AH61" s="3" t="inlineStr">
        <is>
          <t>Brown</t>
        </is>
      </c>
      <c r="AI61" s="3" t="inlineStr">
        <is>
          <t>Not depth-specific</t>
        </is>
      </c>
      <c r="AJ61" s="3" t="inlineStr">
        <is>
          <t>Not exposure-specific</t>
        </is>
      </c>
      <c r="AK61" s="16" t="inlineStr">
        <is>
          <t>This is a technology review, not a protocol: it surveys satellite, autonomous underwater vehicle and other autonomous-platform options for observing chlorophyll-a and phytoplankton blooms. Use it to decide which remote-sensing or autonomous approach fits your monitoring need and budget, then follow the primary source for that platform's procedure.</t>
        </is>
      </c>
      <c r="AL61" s="17" t="inlineStr">
        <is>
          <t>Ref</t>
        </is>
      </c>
      <c r="AM61" s="18" t="inlineStr">
        <is>
          <t>bell_2020</t>
        </is>
      </c>
      <c r="AN61" s="19" t="n"/>
      <c r="AO61" s="19" t="n"/>
      <c r="AP61" s="19" t="n"/>
      <c r="AQ61" s="16" t="inlineStr">
        <is>
          <t>Satellite &amp; Autonomous Platforms for Chlorophyll/Bloom Monitoring (Review)</t>
        </is>
      </c>
      <c r="AR61" s="16" t="inlineStr">
        <is>
          <t xml:space="preserve">Bell, Tom W; Nidzieko, Nick J; Siegel, David A; Miller, Robert J; Cavanaugh, Kyle C; Nelson, Norman B; Reed, Daniel C; Fedorov, Dmitry; Moran, Christopher; Snyder, Jordan N; </t>
        </is>
      </c>
      <c r="AS61" s="16" t="inlineStr">
        <is>
          <t>Complements Xing 2019 and Bennion 2019 in the remote-sensing methods cluster.</t>
        </is>
      </c>
      <c r="AT61" s="20" t="n"/>
    </row>
    <row r="62" ht="240" customHeight="1">
      <c r="A62" s="3" t="inlineStr">
        <is>
          <t>Wang, X., et al.</t>
        </is>
      </c>
      <c r="B62" s="3" t="inlineStr">
        <is>
          <t>Assimilation of inorganic nutrients from salmon (Salmo salar) farming by the macroalgae (Saccharina latissima) in an exposed coastal environment: implications for integrated multi-trophic aquaculture</t>
        </is>
      </c>
      <c r="C62" s="3" t="inlineStr">
        <is>
          <t>Journal of Applied Phycology</t>
        </is>
      </c>
      <c r="D62" s="3" t="n">
        <v>26</v>
      </c>
      <c r="E62" s="3" t="n">
        <v>4</v>
      </c>
      <c r="F62" s="3" t="inlineStr">
        <is>
          <t>1869-1878</t>
        </is>
      </c>
      <c r="G62" s="3" t="n">
        <v>2014</v>
      </c>
      <c r="H62" s="3" t="inlineStr">
        <is>
          <t>Springer</t>
        </is>
      </c>
      <c r="I62" s="3" t="inlineStr">
        <is>
          <t>Seaweed Water Quality — Indicator 1.1.1 (N bioextraction in IMTA context, with δ¹⁵N source attribution). Directly cited in the MEL framework Tools &amp; Resources for Water Quality.</t>
        </is>
      </c>
      <c r="J62" s="3" t="inlineStr">
        <is>
          <t>Protocol (empirical bioassay + tissue + isotope quantification of DIN assimilation)</t>
        </is>
      </c>
      <c r="K62" s="3" t="inlineStr">
        <is>
          <t>Yes. Year-long bioassays on Saccharina latissima plants from three stations near a salmon farm + reference station at Tristein, central Norway (63°52'N, 9°37'E). Measured: growth (length increase), C and N tissue content, δ¹⁵N isotope ratios, plus seawater DIN. Salmon-farm-stations grew 50% longer than reference; N content correlated with DIN (p &lt; 0.05); δ¹⁵N from April–June pointed to salmon-derived N (signature shifted toward urinary δ¹⁵N). Bottom-line estimate: 1 ha of S. latissima absorbs 0.8–1.2 t N per growth season.</t>
        </is>
      </c>
      <c r="L62" s="3" t="inlineStr">
        <is>
          <t>Partial — basic biomass and length measurements are practitioner-accessible; C and N tissue analysis and δ¹⁵N isotope work require lab partnership. Water-column DIN sampling via Niskin bottle is straightforward; analysis is lab-based.</t>
        </is>
      </c>
      <c r="M62" s="3" t="inlineStr">
        <is>
          <t>Yes — fully specified including seawater nutrient methods (Hansen &amp; Koroleff / Kerouel &amp; Aminot fluorometric ammonia), the bioassay design (Garcia-Sanz et al. 2010 lineage), and isotope methods (IFE Norway).</t>
        </is>
      </c>
      <c r="N62" s="3" t="inlineStr">
        <is>
          <t>Niskin bottle, nutrient analyser (Hansen &amp; Koroleff / Kerouel &amp; Aminot ammonia), CHN analyser + IRMS for δ¹⁵N, biomass scales</t>
        </is>
      </c>
      <c r="O62" s="3" t="inlineStr">
        <is>
          <t>Low — ~$80 yr 1: no start-up cost + $80/yr (tissue N + P 3 × $20 [lab fee]; sample bags $20 [est])</t>
        </is>
      </c>
      <c r="P62" s="3" t="inlineStr">
        <is>
          <t>Year-long study (12 months)</t>
        </is>
      </c>
      <c r="Q62" s="3" t="inlineStr">
        <is>
          <t>Tissue %N × biomass; δ¹⁵N source attribution (salmon-derived N); ANOVA; correlation N-content vs. DIN</t>
        </is>
      </c>
      <c r="R62" s="3" t="inlineStr">
        <is>
          <t>No — Paywalled at Springer (Journal of Applied Phycology)</t>
        </is>
      </c>
      <c r="T62" s="3" t="inlineStr">
        <is>
          <t>Paywall: https://link.springer.com/article/10.1007/s10811-013-0230-1 ; DOI 10.1007/s10811-013-0230-1</t>
        </is>
      </c>
      <c r="U62" s="3" t="inlineStr">
        <is>
          <t>The isotope step needs a lab that runs isotope-ratio mass spectrometry; as a benchmark, a hectare of kelp removed ~0.8-1.2 t nitrogen per season here.</t>
        </is>
      </c>
      <c r="V62" s="3" t="inlineStr">
        <is>
          <t>Original list</t>
        </is>
      </c>
      <c r="W62" s="9" t="inlineStr">
        <is>
          <t>3 — Partnership</t>
        </is>
      </c>
      <c r="X62" s="3" t="inlineStr">
        <is>
          <t>Multi-trophic (IMTA)</t>
        </is>
      </c>
      <c r="Y62" s="3" t="inlineStr">
        <is>
          <t>Water Quality</t>
        </is>
      </c>
      <c r="Z62" s="3" t="inlineStr">
        <is>
          <t>WQ 1.1.1 — N and P bioextraction</t>
        </is>
      </c>
      <c r="AA62" s="3" t="inlineStr">
        <is>
          <t>Boreal / Arctic</t>
        </is>
      </c>
      <c r="AB62" s="3" t="inlineStr">
        <is>
          <t>Saccharina (sugar kelp)</t>
        </is>
      </c>
      <c r="AC62" s="3" t="inlineStr">
        <is>
          <t>IMTA infrastructure</t>
        </is>
      </c>
      <c r="AD62" s="3" t="inlineStr">
        <is>
          <t>Medium (1–20 ha)</t>
        </is>
      </c>
      <c r="AE62" s="3" t="inlineStr">
        <is>
          <t>Clear (visual methods feasible)</t>
        </is>
      </c>
      <c r="AF62" s="3" t="inlineStr">
        <is>
          <t>Seaweed + finfish</t>
        </is>
      </c>
      <c r="AG62" s="3" t="inlineStr">
        <is>
          <t>Tissue analysis, Water chemistry</t>
        </is>
      </c>
      <c r="AH62" s="3" t="inlineStr">
        <is>
          <t>Brown</t>
        </is>
      </c>
      <c r="AI62" s="3" t="inlineStr">
        <is>
          <t>Coastal (10–30 m)</t>
        </is>
      </c>
      <c r="AJ62" s="3" t="inlineStr">
        <is>
          <t>Sheltered</t>
        </is>
      </c>
      <c r="AK62" s="16" t="inlineStr">
        <is>
          <t>To quantify how much nitrogen your kelp removes from the water near a fed farm - and to show the nitrogen actually came from that farm - deploy juvenile Saccharina latissima sporophytes on ropes at a farm-side station and at a reference station some kilometres away, hanging replicate 1 m ropes at several depths (for example 2, 5 and 8 m). Each month measure blade length to get growth rate, and sample the meristem (new-growth) tissue: dry it, grind it, and run it through an elemental analyser for carbon and nitrogen content and through an isotope-ratio mass spectrometer for delta-15-N. In parallel, collect integrated water samples with a tube sampler for dissolved inorganic nitrogen (ammonium, nitrate plus nitrite) and chlorophyll-a on an autoanalyser and fluorometer, and estimate the farm's nitrogen release with a simple mass-balance model. A raised tissue %N together with a delta-15-N shifted toward the farm's feed/waste signature (relative to the reference plants) confirms farm-derived uptake; multiply tissue %N by harvested biomass to convert to nitrogen extracted per unit area, and regress growth and N-content against ambient dissolved inorganic nitrogen.</t>
        </is>
      </c>
      <c r="AL62" s="17" t="inlineStr">
        <is>
          <t>High</t>
        </is>
      </c>
      <c r="AM62" s="18" t="inlineStr">
        <is>
          <t>wang_2014</t>
        </is>
      </c>
      <c r="AN62" s="19" t="n"/>
      <c r="AO62" s="19" t="n"/>
      <c r="AP62" s="19" t="n"/>
      <c r="AQ62" s="16" t="inlineStr">
        <is>
          <t>Kelp Nitrogen Bioextraction Beside a Fed Farm (Isotope Source-Tracking)</t>
        </is>
      </c>
      <c r="AR62" s="16" t="inlineStr">
        <is>
          <t xml:space="preserve">Wang, Xinxin; Broch, Ole Jacob; Forbord, Silje; Handå, Aleksander; Skjermo, Jorunn; Reitan, Kjell Inge; Vadstein, Olav; Olsen, Yngvar; </t>
        </is>
      </c>
      <c r="AS62" s="16" t="inlineStr">
        <is>
          <t>Already cited in MEL framework as a Water Quality 1.1.1 tool. Three things make this protocol particularly strong: (a) the δ¹⁵N source-attribution component lets the analyst say "the N in this kelp came from the salmon", not just "the kelp took up N"; (b) the 1 ha → 0.8-1.2 t N per season conversion is a directly useable benchmark; (c) the year-long monitoring with monthly resampling captures both seasonal kelp physiology and salmon-feed-pulse dynamics. Replication template for any IMTA design.  |  [2026-10-09 Rule 15 cost re-rate, batch 3] Framework basis: SW WQ 1.1.1 (IMTA; kelp is the extractive crop): farmed biomass, at harvest (1 visit); 1 locations × 1 visits × 3 replicates = 3. Tissue N + P per sample; the delta-15-N source attribution and water-column DIN are supplementary to the metric and excluded (adding the isotopes keeps it Low, about $140); harvest scale is farm-owned. Prior O: 'Medium–High — CHN + IRMS partner lab $30–60/sample; nutrient autoanalyser $5K+ or partner lab'.  |  [2026-10-16 monitoring-methods pass] AT (Monitoring Methods) set from the protocol's method summary (AK): Dissolved nutrients (N &amp; P), Chlorophyll-a (water), Tissue elemental (CHN) analysis, Stable isotopes (d13C / d15N), Satellite ocean colour (chl-a), Nutrient mass-balance / budget.</t>
        </is>
      </c>
      <c r="AT62" s="20" t="inlineStr">
        <is>
          <t>Dissolved nutrients (N &amp; P), Chlorophyll-a (water), Tissue elemental (CHN) analysis, Stable isotopes (d13C / d15N), Satellite ocean colour (chl-a), Nutrient mass-balance / budget</t>
        </is>
      </c>
    </row>
    <row r="63" ht="240" customHeight="1">
      <c r="A63" s="3" t="inlineStr">
        <is>
          <t>Sarà, G., et al.</t>
        </is>
      </c>
      <c r="B63" s="3" t="inlineStr">
        <is>
          <t>Impacts of marine aquaculture at large spatial scales: evidences from N and P catchment loading and phytoplankton biomass</t>
        </is>
      </c>
      <c r="C63" s="3" t="inlineStr">
        <is>
          <t>Marine Environmental Research</t>
        </is>
      </c>
      <c r="D63" s="3" t="n">
        <v>71</v>
      </c>
      <c r="E63" s="3" t="n">
        <v>5</v>
      </c>
      <c r="F63" s="3" t="inlineStr">
        <is>
          <t>317-324</t>
        </is>
      </c>
      <c r="G63" s="3" t="n">
        <v>2011</v>
      </c>
      <c r="H63" s="3" t="inlineStr">
        <is>
          <t>Elsevier</t>
        </is>
      </c>
      <c r="I63" s="3" t="inlineStr">
        <is>
          <t>Seaweed Water Quality — Indicator 1.1.1 (N and P balance from aquaculture).</t>
        </is>
      </c>
      <c r="J63" s="3" t="inlineStr">
        <is>
          <t>Reference / synthesis</t>
        </is>
      </c>
      <c r="K63" s="3" t="inlineStr">
        <is>
          <t>Adequate as a regional N and P accounting paper; not a primary protocol.</t>
        </is>
      </c>
      <c r="L63" s="3" t="inlineStr">
        <is>
          <t>No.</t>
        </is>
      </c>
      <c r="M63" s="3" t="inlineStr">
        <is>
          <t>Yes — for regional N and P bookkeeping.</t>
        </is>
      </c>
      <c r="N63" s="3" t="inlineStr">
        <is>
          <t>N/A — N/P catchment-loading model</t>
        </is>
      </c>
      <c r="O63" s="3" t="inlineStr">
        <is>
          <t>N/A</t>
        </is>
      </c>
      <c r="P63" s="3" t="inlineStr">
        <is>
          <t>One-time (no sampling — desk-based)</t>
        </is>
      </c>
      <c r="Q63" s="3" t="inlineStr">
        <is>
          <t>Catchment loading model + phytoplankton biomass synthesis</t>
        </is>
      </c>
      <c r="R63" s="3" t="inlineStr">
        <is>
          <t>Unknown</t>
        </is>
      </c>
      <c r="T63" s="3" t="inlineStr">
        <is>
          <t>https://doi.org/10.1016/j.marenvres.2011.02.007</t>
        </is>
      </c>
      <c r="U63" s="3" t="inlineStr">
        <is>
          <t>Superseded methodologically by later bioextraction accounting - use only for background.</t>
        </is>
      </c>
      <c r="V63" s="3" t="inlineStr">
        <is>
          <t>Original list</t>
        </is>
      </c>
      <c r="W63" s="8" t="inlineStr">
        <is>
          <t>1 — Reference</t>
        </is>
      </c>
      <c r="X63" s="3" t="inlineStr">
        <is>
          <t>Not specific</t>
        </is>
      </c>
      <c r="Y63" s="3" t="inlineStr">
        <is>
          <t>Water Quality</t>
        </is>
      </c>
      <c r="Z63" s="3" t="inlineStr">
        <is>
          <t>WQ 1.1.1 — N and P bioextraction, WQ 2.1.1 — Chlorophyll-a</t>
        </is>
      </c>
      <c r="AA63" s="3" t="inlineStr">
        <is>
          <t>Cross-zone / global</t>
        </is>
      </c>
      <c r="AB63" s="3" t="inlineStr">
        <is>
          <t>Not species-specific</t>
        </is>
      </c>
      <c r="AC63" s="3" t="inlineStr">
        <is>
          <t>Not gear-specific</t>
        </is>
      </c>
      <c r="AD63" s="3" t="inlineStr">
        <is>
          <t>Multi-farm regional</t>
        </is>
      </c>
      <c r="AE63" s="3" t="inlineStr">
        <is>
          <t>Not site-specific</t>
        </is>
      </c>
      <c r="AF63" s="3" t="inlineStr">
        <is>
          <t>Not specific</t>
        </is>
      </c>
      <c r="AG63" s="3" t="inlineStr">
        <is>
          <t>Modelling</t>
        </is>
      </c>
      <c r="AH63" s="3" t="inlineStr">
        <is>
          <t>Not algae-specific</t>
        </is>
      </c>
      <c r="AI63" s="3" t="inlineStr">
        <is>
          <t>Not depth-specific</t>
        </is>
      </c>
      <c r="AJ63" s="3" t="inlineStr">
        <is>
          <t>Not exposure-specific</t>
        </is>
      </c>
      <c r="AK63" s="16" t="inlineStr">
        <is>
          <t>This is a regional nitrogen and phosphorus accounting paper, not a primary protocol; it combines a catchment-loading model with a phytoplankton-biomass synthesis. It has been superseded methodologically by later bioextraction accounting work. Use it only for background on regional N and P balance around aquaculture.</t>
        </is>
      </c>
      <c r="AL63" s="17" t="inlineStr">
        <is>
          <t>Ref</t>
        </is>
      </c>
      <c r="AM63" s="18" t="inlineStr">
        <is>
          <t>sara_2011</t>
        </is>
      </c>
      <c r="AN63" s="19" t="n"/>
      <c r="AO63" s="19" t="n"/>
      <c r="AP63" s="19" t="n"/>
      <c r="AQ63" s="16" t="inlineStr">
        <is>
          <t>Regional Nitrogen &amp; Phosphorus Accounting for Aquaculture (Reference)</t>
        </is>
      </c>
      <c r="AR63" s="16" t="inlineStr">
        <is>
          <t xml:space="preserve">Sarà, G; Martire, M Lo; Sanfilippo, Marilena; Pulicanò, G; Cortese, Giuseppa; Mazzola, A; Manganaro, Antonio; Pusceddu, A; </t>
        </is>
      </c>
      <c r="AS63" s="16" t="inlineStr">
        <is>
          <t>Older N/P accounting paper; superseded methodologically by Xiao 2017.</t>
        </is>
      </c>
      <c r="AT63" s="20" t="n"/>
    </row>
    <row r="64">
      <c r="A64" s="3" t="inlineStr">
        <is>
          <t>Walker, C., et al.</t>
        </is>
      </c>
      <c r="B64" s="3" t="inlineStr">
        <is>
          <t>Field assessment of the potential for small scale co-cultivation of seaweed and shellfish to regulate nutrients and plankton dynamics</t>
        </is>
      </c>
      <c r="C64" s="3" t="inlineStr">
        <is>
          <t>Aquaculture Reports</t>
        </is>
      </c>
      <c r="D64" s="3" t="n">
        <v>33</v>
      </c>
      <c r="E64" s="3" t="n"/>
      <c r="F64" s="3" t="n">
        <v>101789</v>
      </c>
      <c r="G64" s="3" t="n">
        <v>2023</v>
      </c>
      <c r="H64" s="3" t="inlineStr">
        <is>
          <t>Elsevier</t>
        </is>
      </c>
      <c r="I64" s="3" t="inlineStr">
        <is>
          <t>Seaweed Water Quality — Indicators 2.1.1 (phyto- and zooplankton abundance, biomass, community composition), supporting hydrographic context (T, S, clarity). Note: WQ 1.1.1 not applicable per MEL framework — paper measures water-column nutrients (NO3, NO2, NH4, PO4, SiO4) but does not quantify biomass-bioextraction. The notable finding is that no significant downstream nutrient reductions were detected at this scale, which is itself a useful negative result.</t>
        </is>
      </c>
      <c r="J64" s="3" t="inlineStr">
        <is>
          <t>Protocol (empirical, fully specified — 2-year weekly / bi-weekly profiling at a 16-ha kelp + mussel co-culture farm)</t>
        </is>
      </c>
      <c r="K64" s="3" t="inlineStr">
        <is>
          <t>Yes. Weekly/bi-weekly inorganic-nutrient profiling (5 species: NO3, NO2, NH4, PO4, SiO4) over 2019–2020 at three sampling stations across a 16 ha kelp + mussel co-culture farm in Porthallow Bay, Cornwall, UK; paired with T, S, clarity, plankton abundance / biomass / community composition, and river-discharge contextual data. Found no significant downstream nutrient reductions — a negative-result paper that clarifies WHEN seaweed-mussel co-cultivation does NOT regulate water-column nutrients (small scale + open hydrodynamics + dominant external inputs).</t>
        </is>
      </c>
      <c r="L64" s="3" t="inlineStr">
        <is>
          <t>Partial — multiprobe T/S/clarity sampling is practitioner-feasible; weekly nutrient + plankton sampling at three stations needs lab partnership for the analytical work, but field sample collection is within reach for a regular boat-based visit.</t>
        </is>
      </c>
      <c r="M64" s="3" t="inlineStr">
        <is>
          <t>Yes — full sampling protocol and station design described.</t>
        </is>
      </c>
      <c r="N64" s="3" t="inlineStr">
        <is>
          <t>Boat, Niskin bottles, multiprobe, nutrient lab partner, plankton net + microscope</t>
        </is>
      </c>
      <c r="O64" s="3" t="inlineStr">
        <is>
          <t>Medium — multiprobe $1–3K + lab partner for nutrients and plankton enumeration</t>
        </is>
      </c>
      <c r="P64" s="3" t="inlineStr">
        <is>
          <t>Multi-year monitoring (&gt; 1 year)</t>
        </is>
      </c>
      <c r="Q64" s="3" t="inlineStr">
        <is>
          <t>Time-series analysis, ANOVA, descriptive; river-discharge contextual analysis</t>
        </is>
      </c>
      <c r="R64" s="3" t="inlineStr">
        <is>
          <t>Yes — Open Access (Aquaculture Reports is a fully open-access Elsevier journal)</t>
        </is>
      </c>
      <c r="T64" s="3" t="inlineStr">
        <is>
          <t>https://www.sciencedirect.com/science/article/pii/S2352513423003289 ; DOI 10.1016/j.aqrep.2023.101789</t>
        </is>
      </c>
      <c r="U64" s="3" t="inlineStr">
        <is>
          <t>A valuable 'negative result' counterweight - no clear farm effect - useful for setting realistic expectations.</t>
        </is>
      </c>
      <c r="V64" s="3" t="inlineStr">
        <is>
          <t>Original list</t>
        </is>
      </c>
      <c r="W64" s="9" t="inlineStr">
        <is>
          <t>3 — Partnership</t>
        </is>
      </c>
      <c r="X64" s="3" t="inlineStr">
        <is>
          <t>Multi-trophic (IMTA)</t>
        </is>
      </c>
      <c r="Y64" s="3" t="inlineStr">
        <is>
          <t>Water Quality</t>
        </is>
      </c>
      <c r="Z64" s="3" t="inlineStr">
        <is>
          <t>WQ 2.1.1 — Chlorophyll-a</t>
        </is>
      </c>
      <c r="AA64" s="3" t="inlineStr">
        <is>
          <t>Temperate Atlantic</t>
        </is>
      </c>
      <c r="AB64" s="3" t="inlineStr">
        <is>
          <t>Saccharina (sugar kelp)</t>
        </is>
      </c>
      <c r="AC64" s="3" t="inlineStr">
        <is>
          <t>Longline (surface)</t>
        </is>
      </c>
      <c r="AD64" s="3" t="inlineStr">
        <is>
          <t>Medium (1–20 ha)</t>
        </is>
      </c>
      <c r="AE64" s="3" t="inlineStr">
        <is>
          <t>Variable / seasonal</t>
        </is>
      </c>
      <c r="AF64" s="3" t="inlineStr">
        <is>
          <t>Seaweed + shellfish</t>
        </is>
      </c>
      <c r="AG64" s="3" t="inlineStr">
        <is>
          <t>Water chemistry, Visual survey</t>
        </is>
      </c>
      <c r="AH64" s="3" t="inlineStr">
        <is>
          <t>Brown</t>
        </is>
      </c>
      <c r="AI64" s="3" t="inlineStr">
        <is>
          <t>Shallow nearshore (2–10 m)</t>
        </is>
      </c>
      <c r="AJ64" s="3" t="inlineStr">
        <is>
          <t>Semi-exposed</t>
        </is>
      </c>
      <c r="AK64" s="16" t="inlineStr">
        <is>
          <t>To characterise plankton and background water quality around an integrated seaweed-and-shellfish farm, sample at three stations - one upstream of the prevailing current (a reference unaffected by the farm), one midstream and one downstream - timing visits to the same tidal phase, weekly in the productive spring and summer and fortnightly in autumn and winter. Collect water with a Niskin bottle at two depths (near-surface and below the seasonal thermocline) for dissolved nutrients (nitrate, nitrite, ammonium, phosphate, silicate by segmented-flow colourimetry), profile temperature, salinity and clarity with a CTD and Secchi disk, and take a preserved (Lugol's iodine) sample for phytoplankton. Count phytoplankton by the Utermohl settling method under an inverted microscope, convert cell counts to biovolume and then carbon biomass grouped into functional groups; for zooplankton, haul a 200 um ring net from near the seabed to the surface, preserve, and count under a microscope. Average by month and test differences among stations, depths and months with PERMANOVA (Euclidean for nutrients, Bray-Curtis on fourth-root-transformed abundance and biomass for communities), visualising with PCA and metric MDS ordination.</t>
        </is>
      </c>
      <c r="AL64" s="17" t="inlineStr">
        <is>
          <t>High</t>
        </is>
      </c>
      <c r="AM64" s="18" t="inlineStr">
        <is>
          <t>walker_2023</t>
        </is>
      </c>
      <c r="AN64" s="19" t="n"/>
      <c r="AO64" s="19" t="n"/>
      <c r="AP64" s="19" t="n"/>
      <c r="AQ64" s="16" t="inlineStr">
        <is>
          <t>Plankton &amp; Water-Quality Survey at a Seaweed-Shellfish Farm</t>
        </is>
      </c>
      <c r="AR64" s="16" t="inlineStr">
        <is>
          <t xml:space="preserve">Walker, Cameron; Corrigan, Sophie; Daniels, Carly; Wilding, Catherine; Woodward, E Malcolm S; Widdicombe, Claire E; Smale, Dan A; Ashton, Ian GC; Brown, A Ross; </t>
        </is>
      </c>
      <c r="AS64" s="16" t="inlineStr">
        <is>
          <t>Important "negative result" paper that the framework should use as a counterweight to Xiao 2017 / Wang 2014. Co-authored by Sophie Corrigan (Corrigan 2022 review + Corrigan 2023 epibionts + Corrigan 2025 benthic), this completes a Corrigan-group trilogy on UK / English Channel kelp aquaculture. Key takeaway for MEL: at 16 ha and typical UK hydrodynamics, small-scale IMTA does not measurably regulate nutrients — practitioners should expect to need either much larger farms or much more enclosed sites before WQ 1.1.1 effects become detectable.  |  [2026-10-16 monitoring-methods pass] AT (Monitoring Methods) set from the protocol's method summary (AK): Temperature / salinity, Water clarity / turbidity (Secchi), Dissolved nutrients (N &amp; P), Phytoplankton community (microscopy), Zooplankton net haul.</t>
        </is>
      </c>
      <c r="AT64" s="20" t="inlineStr">
        <is>
          <t>Temperature / salinity, Water clarity / turbidity (Secchi), Dissolved nutrients (N &amp; P), Phytoplankton community (microscopy), Zooplankton net haul</t>
        </is>
      </c>
    </row>
    <row r="65">
      <c r="A65" s="3" t="inlineStr">
        <is>
          <t>Jiang, Z., et al.</t>
        </is>
      </c>
      <c r="B65" s="3" t="inlineStr">
        <is>
          <t>Phytoplankton community distribution in relation to environmental parameters in three aquaculture systems in a Chinese subtropical eutrophic bay</t>
        </is>
      </c>
      <c r="C65" s="3" t="inlineStr">
        <is>
          <t>Marine Ecology Progress Series</t>
        </is>
      </c>
      <c r="D65" s="3" t="n">
        <v>446</v>
      </c>
      <c r="E65" s="3" t="n"/>
      <c r="F65" s="3" t="inlineStr">
        <is>
          <t>73-89</t>
        </is>
      </c>
      <c r="G65" s="3" t="n">
        <v>2012</v>
      </c>
      <c r="H65" s="3" t="inlineStr">
        <is>
          <t>Inter-Research</t>
        </is>
      </c>
      <c r="I65" s="3" t="inlineStr">
        <is>
          <t>Maps to WQ 2.1.1 — Chlorophyll-a. Surface (0.5 m) and near-bottom water at the centre and edge of an oyster (920 ha), kelp (20 ha) and fish-cage (18.7 ha) farm and 100 m and 1000 m beyond each, filtered on GF/F and chlorophyll-a read on a Turner 10-AU fluorometer, on three cruises (Feb 2009, Jan and Apr 2010). Match: Exact.</t>
        </is>
      </c>
      <c r="J65" s="3" t="inlineStr">
        <is>
          <t>Protocol (empirical phytoplankton + environmental sampling)</t>
        </is>
      </c>
      <c r="K65" s="3" t="inlineStr">
        <is>
          <t>Confirmed standalone (full read). Inside-to-outside station line at each farm, three seasons, surface and bottom, compared by three-way ANOVA — robust for WQ 2.1.1 (Exact; daytime samples, one station per position). Chl-a was lower inside the oyster farm than 1000 m outside, higher inside the kelp farm and unchanged at the fish farm; a power-plant thermal outfall near the oyster farm drove winter blooms.</t>
        </is>
      </c>
      <c r="L65" s="3" t="inlineStr">
        <is>
          <t>Partial — water collection and filtering are farmer-doable; fluorometric chlorophyll-a needs a partner lab.</t>
        </is>
      </c>
      <c r="M65" s="3" t="inlineStr">
        <is>
          <t>Yes.</t>
        </is>
      </c>
      <c r="N65" s="3" t="inlineStr">
        <is>
          <t>Boat; 10 L plastic sampler (0.5 m below the surface and 0.5 m above the seabed); pre-combusted Whatman GF/F filters; dark, frozen storage; partner-lab fluorometer (Turner Designs 10-AU); YSI 30 meter and Secchi disc for context.</t>
        </is>
      </c>
      <c r="O65" s="3" t="inlineStr">
        <is>
          <t>Medium — ~$2.3K yr 1: $1.34K start-up (water sampler $986 [list]; messenger + line $100 [est]; chl-a filtration kit $250 [est]) + $1.01K/yr (chl-a analysis 36 × $25.18 [lab fee]; filters + foil $100 [est])</t>
        </is>
      </c>
      <c r="P65" s="3" t="inlineStr">
        <is>
          <t>Multi-year monitoring (&gt; 1 year) — three cruises: Feb 2009 (winter–spring), Jan 2010 (winter), Apr 2010 (spring)</t>
        </is>
      </c>
      <c r="Q65" s="3" t="inlineStr">
        <is>
          <t>Three-way ANOVA (culture type × station × water layer) after Kolmogorov-Smirnov and Levene tests, log-transformed where needed, SNK post hoc; Kruskal-Wallis with Nemenyi comparisons where assumptions failed (SPSS 13).</t>
        </is>
      </c>
      <c r="R65" s="3" t="inlineStr">
        <is>
          <t>Yes — Free access (Inter-Research MEPS archive)</t>
        </is>
      </c>
      <c r="S65" t="inlineStr">
        <is>
          <t>Full PDF</t>
        </is>
      </c>
      <c r="T65" s="3" t="inlineStr">
        <is>
          <t>https://doi.org/10.3354/meps09499</t>
        </is>
      </c>
      <c r="U65" s="3" t="inlineStr">
        <is>
          <t>The centre–edge–100 m–1000 m station line is a cheap way to see where a farm's effect fades; results at the oyster farm are confounded by a nearby power-plant thermal outfall.</t>
        </is>
      </c>
      <c r="V65" s="3" t="inlineStr">
        <is>
          <t>Original list</t>
        </is>
      </c>
      <c r="W65" s="9" t="inlineStr">
        <is>
          <t>3 — Partnership</t>
        </is>
      </c>
      <c r="X65" s="3" t="inlineStr">
        <is>
          <t>Mollusk, Seaweed, Finfish</t>
        </is>
      </c>
      <c r="Y65" s="3" t="inlineStr">
        <is>
          <t>Water Quality</t>
        </is>
      </c>
      <c r="Z65" s="3" t="inlineStr">
        <is>
          <t>WQ 2.1.1 — Chlorophyll-a</t>
        </is>
      </c>
      <c r="AA65" s="3" t="inlineStr">
        <is>
          <t>Subtropical</t>
        </is>
      </c>
      <c r="AB65" s="3" t="inlineStr">
        <is>
          <t>Saccharina (sugar kelp), Other</t>
        </is>
      </c>
      <c r="AC65" s="3" t="inlineStr">
        <is>
          <t>Mixed</t>
        </is>
      </c>
      <c r="AD65" s="3" t="inlineStr">
        <is>
          <t>Multi-farm regional</t>
        </is>
      </c>
      <c r="AE65" s="3" t="inlineStr">
        <is>
          <t>Variable / seasonal</t>
        </is>
      </c>
      <c r="AF65" s="3" t="inlineStr">
        <is>
          <t>Monoculture</t>
        </is>
      </c>
      <c r="AG65" s="3" t="inlineStr">
        <is>
          <t>Water chemistry</t>
        </is>
      </c>
      <c r="AH65" s="3" t="inlineStr">
        <is>
          <t>Brown</t>
        </is>
      </c>
      <c r="AI65" s="3" t="inlineStr">
        <is>
          <t>Shallow nearshore (2–10 m)</t>
        </is>
      </c>
      <c r="AJ65" s="3" t="inlineStr">
        <is>
          <t>Sheltered</t>
        </is>
      </c>
      <c r="AK65" s="16" t="inlineStr">
        <is>
          <t>To check whether your farm changes phytoplankton levels, sample a line of stations running out from the farm — centre, edge, and [100 m] and [1000 m] beyond the edge, the two outer stations serving as non-farm references — taking water about 0.5 m below the surface and 0.5 m above the seabed with a water sampler, and covering all stations within a few hours around midday. Do this at least once per season while the crop is in the water. Filter a measured volume through glass-fibre filters, [3] replicates per station, keep them dark and frozen, and have a partner lab read chlorophyll-a by fluorometry. Compare stations and depths (e.g. two-way ANOVA). The direction depends on the crop — here chl-a fell inside the oyster farm, rose inside the kelp farm and was unchanged at the fish farm — and nearby discharges can swamp it (a power-plant outfall drove winter blooms in the source), so note them.</t>
        </is>
      </c>
      <c r="AL65" s="17" t="inlineStr">
        <is>
          <t>High</t>
        </is>
      </c>
      <c r="AM65" s="18" t="inlineStr">
        <is>
          <t>jiang_2012_wq211</t>
        </is>
      </c>
      <c r="AN65" s="19" t="n"/>
      <c r="AO65" s="19" t="n"/>
      <c r="AP65" s="19" t="n"/>
      <c r="AQ65" s="16" t="inlineStr">
        <is>
          <t>Chlorophyll-a monitoring — Mollusk, Seaweed, Finfish</t>
        </is>
      </c>
      <c r="AR65" s="16" t="inlineStr">
        <is>
          <t xml:space="preserve">Jiang, Zhi-Bing; Chen, Quan-Zhen; Zeng, Jiang-Ning; Liao, Yi-Bo; Shou, Lu; Liu, Jingjing; </t>
        </is>
      </c>
      <c r="AS65" s="16" t="inlineStr">
        <is>
          <t>Standard phytoplankton-environmental gradient analysis. | v15 Rule 12 cross-database refinement (bivalve CSV #37): Confirmed identical paper (DOI 10.3354/meps09499). No semantic changes required — X = Not specific retained because original paper covers three aquaculture systems (fish + shellfish + IMTA) within a Chinese subtropical bay; Z = WQ 2.1.1 + 2.1.2 already correct.  |  Migration (one-indicator-per-row, 2026-09-04): split from jiang_2012 -&gt; {jiang_2012_wq211, jiang_2012_wq212}. This row = jiang_2012_wq211 (WQ 2.1.1 — Chlorophyll-a). Candidate: AK/N/Q blanked and I/K/W/O/P provisional; per-indicator method text, tier/cost/effort and match adjudication to be finalised at generation. Combined parent I/AK/N/Q retained in v37 (pre-split).  |  [2026-10-14 method-summary pass] Full read (PDF from Peter). I, K: candidate-split text replaced. S: 'Abstract + DOI metadata' → 'Full PDF'. R: 'Unknown' → free access (Inter-Research). H: blank → Inter-Research. X: 'Not specific' → 'Mollusk, Seaweed, Finfish' (oyster Ostrea plicatula 920 ha, kelp Laminaria japonica 20 ha, seaperch cages 18.7 ha); AB: 'Multi-species / mixed' → 'Saccharina (sugar kelp), Other' (as jiang_2020); AF: 'Three-trophic IMTA' → 'Monoculture' (three separate farms, not IMTA); AH: 'Multi-type' → 'Brown'; AJ: 'Not exposure-specific' → 'Sheltered' (semi-enclosed bay, as jiang_2019/2020); AG: Visual survey dropped (phytoplankton ID is WQ 2.1.2); AQ suffix follows X. P: 'Seasonal (1–3 months)' → Multi-year (Feb 2009–Apr 2010). L tightened to chl-a. O: 'Medium — multiprobe + lab partner' → Medium ~$2.3K; Rule 15 basis: Mol WQ 2.1.1 (most demanding of the three) farm + 2 refs × 4 seasonal visits × 3 = 36 lab chl-a; near-bottom samples, so a water sampler (as jiang_2019_wq211); held-back re-price resolved. N, Q, U: blank → filled. AK written; AL High.  |  [2026-10-16 monitoring-methods pass] AT (Monitoring Methods) set from the protocol's method summary (AK): Chlorophyll-a (water).</t>
        </is>
      </c>
      <c r="AT65" s="20" t="inlineStr">
        <is>
          <t>Chlorophyll-a (water)</t>
        </is>
      </c>
    </row>
    <row r="66">
      <c r="A66" s="20" t="inlineStr">
        <is>
          <t>Jiang, Z., et al.</t>
        </is>
      </c>
      <c r="B66" s="20" t="inlineStr">
        <is>
          <t>Phytoplankton community distribution in relation to environmental parameters in three aquaculture systems in a Chinese subtropical eutrophic bay</t>
        </is>
      </c>
      <c r="C66" s="20" t="inlineStr">
        <is>
          <t>Marine Ecology Progress Series</t>
        </is>
      </c>
      <c r="D66" s="20" t="n">
        <v>446</v>
      </c>
      <c r="E66" s="20" t="n"/>
      <c r="F66" s="20" t="inlineStr">
        <is>
          <t>73-89</t>
        </is>
      </c>
      <c r="G66" s="20" t="n">
        <v>2012</v>
      </c>
      <c r="H66" s="20" t="inlineStr">
        <is>
          <t>Inter-Research</t>
        </is>
      </c>
      <c r="I66" s="20" t="inlineStr">
        <is>
          <t>Maps to WQ 2.1.2 — Microorganisms. Phytoplankton from 400–500 mL surface and near-bottom samples (three per station) on the same farm-to-1000 m station lines, fixed in 4% formalin, settled ≥48 h and counted to species on a 0.1 mL slide under a light microscope (≥300 units): abundance, species richness and dominant species. Match: Exact.</t>
        </is>
      </c>
      <c r="J66" s="20" t="inlineStr">
        <is>
          <t>Protocol (empirical phytoplankton + environmental sampling)</t>
        </is>
      </c>
      <c r="K66" s="20" t="inlineStr">
        <is>
          <t>Confirmed standalone (full read). Three seasons at three farm types, with three-way ANOVA, NMDS/ANOSIM and CCA against environmental variables — robust for WQ 2.1.2 (Exact; daytime samples). Cell numbers fell and species richness rose inside the oyster farm; richness rose inside the kelp farm (attached epiphytic taxa); the fish farm was dominated by the toxic dinoflagellate Prorocentrum minimum in winter.</t>
        </is>
      </c>
      <c r="L66" s="20" t="inlineStr">
        <is>
          <t>Partial — water sampling and preservation are farmer-doable; species identification and counts need a partner lab or trained taxonomist.</t>
        </is>
      </c>
      <c r="M66" s="20" t="inlineStr">
        <is>
          <t>Yes.</t>
        </is>
      </c>
      <c r="N66" s="20" t="inlineStr">
        <is>
          <t>Boat; 10 L plastic sampler (surface and 0.5 m above the seabed); 500 mL bottles with 4% formalin; partner-lab sedimentation (≥48 h), 0.1 mL counting slide and light microscope (source: Leica DM2500, 200–400×); YSI 30, Secchi disc and nutrient analyses for the environmental (CCA) variables.</t>
        </is>
      </c>
      <c r="O66" s="20" t="inlineStr">
        <is>
          <t>Medium — ~$7.2K yr 1: $1.09K start-up (water sampler $986 [list]; messenger + line $100 [est]) + $6.09K/yr (phytoplankton count 36 × $165 [lab fee]; bottles + Lugol's $150 [est])</t>
        </is>
      </c>
      <c r="P66" s="20" t="inlineStr">
        <is>
          <t>Multi-year monitoring (&gt; 1 year) — three cruises: Feb 2009 (winter–spring), Jan 2010 (winter), Apr 2010 (spring)</t>
        </is>
      </c>
      <c r="Q66" s="20" t="inlineStr">
        <is>
          <t>Three-way ANOVA (culture type × station × water layer) with SNK post hoc, Kruskal-Wallis with Nemenyi where needed (SPSS 13); dominance index; NMDS and one-way ANOSIM on fourth-root Bray-Curtis similarities (PRIMER 5); CCA with Monte Carlo tests (CANOCO 4.5).</t>
        </is>
      </c>
      <c r="R66" s="20" t="inlineStr">
        <is>
          <t>Yes — Free access (Inter-Research MEPS archive)</t>
        </is>
      </c>
      <c r="S66" s="21" t="inlineStr">
        <is>
          <t>Full PDF</t>
        </is>
      </c>
      <c r="T66" s="20" t="inlineStr">
        <is>
          <t>https://doi.org/10.3354/meps09499</t>
        </is>
      </c>
      <c r="U66" s="20" t="inlineStr">
        <is>
          <t>The centre–edge–100 m–1000 m station line is a cheap way to see where a farm's effect fades; results at the oyster farm are confounded by a nearby power-plant thermal outfall.</t>
        </is>
      </c>
      <c r="V66" s="20" t="inlineStr">
        <is>
          <t>Original list</t>
        </is>
      </c>
      <c r="W66" s="9" t="inlineStr">
        <is>
          <t>3 — Partnership</t>
        </is>
      </c>
      <c r="X66" s="20" t="inlineStr">
        <is>
          <t>Mollusk, Seaweed, Finfish</t>
        </is>
      </c>
      <c r="Y66" s="20" t="inlineStr">
        <is>
          <t>Water Quality</t>
        </is>
      </c>
      <c r="Z66" s="20" t="inlineStr">
        <is>
          <t>WQ 2.1.2 — Microorganisms</t>
        </is>
      </c>
      <c r="AA66" s="20" t="inlineStr">
        <is>
          <t>Subtropical</t>
        </is>
      </c>
      <c r="AB66" s="20" t="inlineStr">
        <is>
          <t>Saccharina (sugar kelp), Other</t>
        </is>
      </c>
      <c r="AC66" s="20" t="inlineStr">
        <is>
          <t>Mixed</t>
        </is>
      </c>
      <c r="AD66" s="20" t="inlineStr">
        <is>
          <t>Multi-farm regional</t>
        </is>
      </c>
      <c r="AE66" s="20" t="inlineStr">
        <is>
          <t>Variable / seasonal</t>
        </is>
      </c>
      <c r="AF66" s="20" t="inlineStr">
        <is>
          <t>Monoculture</t>
        </is>
      </c>
      <c r="AG66" s="20" t="inlineStr">
        <is>
          <t>Water chemistry, Plankton sampling</t>
        </is>
      </c>
      <c r="AH66" s="20" t="inlineStr">
        <is>
          <t>Brown</t>
        </is>
      </c>
      <c r="AI66" s="20" t="inlineStr">
        <is>
          <t>Shallow nearshore (2–10 m)</t>
        </is>
      </c>
      <c r="AJ66" s="20" t="inlineStr">
        <is>
          <t>Sheltered</t>
        </is>
      </c>
      <c r="AK66" s="16" t="inlineStr">
        <is>
          <t>To check whether your farm changes the phytoplankton community, sample a line of stations — farm centre, edge, and [100 m] and [1000 m] beyond the edge as non-farm references — collecting [400–500 mL] of water about 0.5 m below the surface (and 0.5 m above the seabed in deeper or stratified water), [3] samples per station, preserved at once in Lugol's iodine or 4% formalin. Sample at least once per season while the crop is in the water, at the same time of day. A partner lab settles each sample and counts at least 300 cells or colonies to species, giving cells per litre, species richness and dominant species, and flags harmful taxa. Compare stations (ANOVA or a non-parametric test) and community make-up (NMDS with ANOSIM). The response differs by crop: oysters lowered cell numbers, kelp added attached species, and fish cages favoured a harmful dinoflagellate.</t>
        </is>
      </c>
      <c r="AL66" s="17" t="inlineStr">
        <is>
          <t>High</t>
        </is>
      </c>
      <c r="AM66" s="18" t="inlineStr">
        <is>
          <t>jiang_2012_wq212</t>
        </is>
      </c>
      <c r="AN66" s="19" t="n"/>
      <c r="AO66" s="19" t="n"/>
      <c r="AP66" s="19" t="n"/>
      <c r="AQ66" s="16" t="inlineStr">
        <is>
          <t>Plankton / microorganism monitoring — Mollusk, Seaweed, Finfish</t>
        </is>
      </c>
      <c r="AR66" s="16" t="inlineStr">
        <is>
          <t xml:space="preserve">Jiang, Zhi-Bing; Chen, Quan-Zhen; Zeng, Jiang-Ning; Liao, Yi-Bo; Shou, Lu; Liu, Jingjing; </t>
        </is>
      </c>
      <c r="AS66" s="16" t="inlineStr">
        <is>
          <t>Standard phytoplankton-environmental gradient analysis. | v15 Rule 12 cross-database refinement (bivalve CSV #37): Confirmed identical paper (DOI 10.3354/meps09499). No semantic changes required — X = Not specific retained because original paper covers three aquaculture systems (fish + shellfish + IMTA) within a Chinese subtropical bay; Z = WQ 2.1.1 + 2.1.2 already correct.  |  Migration (one-indicator-per-row, 2026-09-04): split from jiang_2012 -&gt; {jiang_2012_wq211, jiang_2012_wq212}. This row = jiang_2012_wq212 (WQ 2.1.2 — Microorganisms). Candidate: AK/N/Q blanked and I/K/W/O/P provisional; per-indicator method text, tier/cost/effort and match adjudication to be finalised at generation. Combined parent I/AK/N/Q retained in v37 (pre-split).  |  [2026-10-14 method-summary pass] Full read (PDF from Peter). I, K: candidate-split text replaced. S, R, H, X, AB, AF, AH, AJ, AQ, P: as jiang_2012_wq211. AG: 'Water chemistry, Visual survey' → 'Water chemistry, Plankton sampling' (as jiang_2019_wq212). L: '…phytoplankton ID needs taxonomic skill' → names the partner-lab steps. O: 'Medium — multiprobe + lab partner' → Medium ~$7.2K; Rule 15 basis: Mol WQ 2.1.2 farm + 2 refs × 4 visits × 3 = 36 microscope counts; near-bottom samples, so a water sampler (as jiang_2019_wq212); held-back re-price resolved. N, Q, U: blank → filled. AK written; AL High.  |  [2026-10-16 monitoring-methods pass] AT (Monitoring Methods) set from the protocol's method summary (AK): Phytoplankton community (microscopy).</t>
        </is>
      </c>
      <c r="AT66" s="20" t="inlineStr">
        <is>
          <t>Phytoplankton community (microscopy)</t>
        </is>
      </c>
    </row>
    <row r="67">
      <c r="A67" s="3" t="inlineStr">
        <is>
          <t>Visch, W., et al.</t>
        </is>
      </c>
      <c r="B67" s="3" t="inlineStr">
        <is>
          <t>Environmental impact of kelp (Saccharina latissima) aquaculture</t>
        </is>
      </c>
      <c r="C67" s="3" t="inlineStr">
        <is>
          <t>Marine Pollution Bulletin</t>
        </is>
      </c>
      <c r="D67" s="3" t="n">
        <v>155</v>
      </c>
      <c r="E67" s="3" t="n"/>
      <c r="F67" s="3" t="n">
        <v>110962</v>
      </c>
      <c r="G67" s="3" t="n">
        <v>2020</v>
      </c>
      <c r="H67" s="3" t="inlineStr">
        <is>
          <t>Elsevier</t>
        </is>
      </c>
      <c r="I67" s="3" t="inlineStr">
        <is>
          <t>Maps to H&amp;B 1.1.1 — Epibiota. Fifty-centimetre lengths of kelp cultivation line wrapped in 200 µm net bags just before harvest; attached animals rinsed off, identified, counted and sized, and epiphytes recorded. Match: Exact.</t>
        </is>
      </c>
      <c r="J67" s="3" t="inlineStr">
        <is>
          <t>Protocol (empirical, BACI design)</t>
        </is>
      </c>
      <c r="K67" s="3" t="inlineStr">
        <is>
          <t>Confirmed standalone (full read). Five random line samples within the farm (blade, stipe and holdfast) gave species, abundance and size of the associated fauna per 50 cm of line — robust for H&amp;B 1.1.1 (Exact; one pre-harvest sampling, no edge or reference samples).</t>
        </is>
      </c>
      <c r="L67" s="3" t="inlineStr">
        <is>
          <t>Partial — bagging and cutting line segments is farmer-doable; identifying, counting and sizing the associated fauna needs a partner lab.</t>
        </is>
      </c>
      <c r="M67" s="3" t="inlineStr">
        <is>
          <t>Yes — full BACI design specified.</t>
        </is>
      </c>
      <c r="N67" s="3" t="inlineStr">
        <is>
          <t>Net bags (200 µm mesh); knife; fresh water for rinsing; 99% ethanol and jars; partner-lab stereo microscope.</t>
        </is>
      </c>
      <c r="O67" s="3" t="inlineStr">
        <is>
          <t>Medium — ~$8.4K yr 1: no start-up cost + $8.39K/yr (epibiota sorting + ID 20 × $414 [est]; bags + preservative $100 [est])</t>
        </is>
      </c>
      <c r="P67" s="3" t="inlineStr">
        <is>
          <t>Single deployment (hours to 1 day) — one pre-harvest sampling, May 2017</t>
        </is>
      </c>
      <c r="Q67" s="3" t="inlineStr">
        <is>
          <t>Species number, abundance and size per 50 cm of line; epiphytes as presence/absence; scaled to farm line length.</t>
        </is>
      </c>
      <c r="R67" s="3" t="inlineStr">
        <is>
          <t>Yes — Free Article (Elsevier, via PubMed)</t>
        </is>
      </c>
      <c r="S67" t="inlineStr">
        <is>
          <t>Full PDF</t>
        </is>
      </c>
      <c r="T67" s="3" t="inlineStr">
        <is>
          <t>https://pubmed.ncbi.nlm.nih.gov/32469791/</t>
        </is>
      </c>
      <c r="U67" s="3" t="inlineStr">
        <is>
          <t>Thorough but resource-intensive - best for a farm that can commit to before-and-after sampling over two years, and the oxygen-flux part needs a benthic lander.</t>
        </is>
      </c>
      <c r="V67" s="3" t="inlineStr">
        <is>
          <t>Original list</t>
        </is>
      </c>
      <c r="W67" s="9" t="inlineStr">
        <is>
          <t>3 — Partnership</t>
        </is>
      </c>
      <c r="X67" s="3" t="inlineStr">
        <is>
          <t>Seaweed</t>
        </is>
      </c>
      <c r="Y67" s="3" t="inlineStr">
        <is>
          <t>Habitat &amp; Biodiversity</t>
        </is>
      </c>
      <c r="Z67" s="3" t="inlineStr">
        <is>
          <t>H&amp;B 1.1.1 — Epibiota</t>
        </is>
      </c>
      <c r="AA67" s="3" t="inlineStr">
        <is>
          <t>Temperate Atlantic</t>
        </is>
      </c>
      <c r="AB67" s="3" t="inlineStr">
        <is>
          <t>Saccharina (sugar kelp)</t>
        </is>
      </c>
      <c r="AC67" s="3" t="inlineStr">
        <is>
          <t>Longline (surface)</t>
        </is>
      </c>
      <c r="AD67" s="3" t="inlineStr">
        <is>
          <t>Medium (1–20 ha)</t>
        </is>
      </c>
      <c r="AE67" s="3" t="inlineStr">
        <is>
          <t>Clear (visual methods feasible)</t>
        </is>
      </c>
      <c r="AF67" s="3" t="inlineStr">
        <is>
          <t>Monoculture</t>
        </is>
      </c>
      <c r="AG67" s="3" t="inlineStr">
        <is>
          <t>Sediment sampling, Water chemistry, Visual survey</t>
        </is>
      </c>
      <c r="AH67" s="3" t="inlineStr">
        <is>
          <t>Brown</t>
        </is>
      </c>
      <c r="AI67" s="3" t="inlineStr">
        <is>
          <t>Coastal (10–30 m)</t>
        </is>
      </c>
      <c r="AJ67" s="3" t="inlineStr">
        <is>
          <t>Sheltered</t>
        </is>
      </c>
      <c r="AK67" s="16" t="inlineStr">
        <is>
          <t>To measure the animals living on your farmed kelp, wrap a fine-mesh bag (about 200 µm) around a [50 cm] length of cultivation line and cut it free so blades, stipes and holdfasts stay inside; take [5] such samples at random within the farm and [5] at its edge, once mid-season and once just before harvest. Rinse the seaweed in fresh water over the bag to release attached animals, preserve them in ethanol, and have a partner lab identify, count and size them, noting any epiphytic algae. Report taxa and numbers per 50 cm of line, which can be scaled up by the farm's total line length. Abundance peaks just before harvest, so keep sampling dates tied to the crop stage when comparing years.</t>
        </is>
      </c>
      <c r="AL67" s="17" t="inlineStr">
        <is>
          <t>High</t>
        </is>
      </c>
      <c r="AM67" s="18" t="inlineStr">
        <is>
          <t>visch_2020_hb111</t>
        </is>
      </c>
      <c r="AN67" s="19" t="n"/>
      <c r="AO67" s="19" t="n"/>
      <c r="AP67" s="19" t="n"/>
      <c r="AQ67" s="16" t="inlineStr">
        <is>
          <t>Epibiota / fouling survey — Seaweed</t>
        </is>
      </c>
      <c r="AR67" s="16" t="inlineStr">
        <is>
          <t xml:space="preserve">Visch, Wouter; Kononets, Mikhail; Hall, Per OJ; Nylund, Göran M; Pavia, Henrik; </t>
        </is>
      </c>
      <c r="AS67" s="16" t="inlineStr">
        <is>
          <t>Cited directly in MEL framework. Particularly strong as a temperate empirical BACI template parallel to Corrigan 2025 (UK) and Visch 2020 (Sweden).  |  Migration (one-indicator-per-row, 2026-09-04): split from visch_2020 -&gt; {visch_2020_hb111, visch_2020_hb121, visch_2020_hb131, visch_2020_hb141, visch_2020_wq111, visch_2020_wq121}. This row = visch_2020_hb111 (H&amp;B 1.1.1 — Epibiota). Candidate: AK/N/Q blanked and I/K/W/O/P provisional; per-indicator method text, tier/cost/effort and match adjudication to be finalised at generation. Combined parent I/AK/N/Q retained in v37 (pre-split).  |  [2026-10-13 method-summary pass] I, K: candidate-split text replaced after full read (prior: 'Maps to H&amp;B 1.1.1 — Epibiota. Candidate split…' / 'Standalone-candidate…'). S: blank → 'Full PDF'. L: 'Partial — benthic infauna sampling and basic mobile-fauna survey are feasible; benthic O₂ flux chambers and full nutrient chemistry need research support.' → row-specific. N, Q: blank → filled. P: 'Year-long study (12 months)' → single pre-harvest sampling (this indicator). O: 'Medium–High — benthic chambers + O₂ optodes $5K+; …' → Medium ~$8.4K; Rule 15 basis: SW H&amp;B 1.1.1 within + edge; once per season, temperate kelp grow-out = 2 visits; 2 × 2 × 5 (source n) = 20 lab-sorted samples. AK written; AL High.  |  [2026-10-13 method-summary pass] Sibling rows visch_2020_wq111 and visch_2020_wq121 deleted (Peter, 2026-10-13): the full read finds no tissue or biomass N/P (WQ 1.1.1) and no water-column DO (oxygen measured only inside benthic chambers, used for H&amp;B 1.4.1).  |  [2026-10-16 monitoring-methods pass] AT (Monitoring Methods) set from the protocol's method summary (AK): Epibiota on lines / structures, Epifauna on crop / rope.</t>
        </is>
      </c>
      <c r="AT67" s="20" t="inlineStr">
        <is>
          <t>Epibiota on lines / structures, Epifauna on crop / rope</t>
        </is>
      </c>
    </row>
    <row r="68">
      <c r="A68" s="20" t="inlineStr">
        <is>
          <t>Visch, W., et al.</t>
        </is>
      </c>
      <c r="B68" s="20" t="inlineStr">
        <is>
          <t>Environmental impact of kelp (Saccharina latissima) aquaculture</t>
        </is>
      </c>
      <c r="C68" s="20" t="inlineStr">
        <is>
          <t>Marine Pollution Bulletin</t>
        </is>
      </c>
      <c r="D68" s="20" t="n">
        <v>155</v>
      </c>
      <c r="E68" s="20" t="n"/>
      <c r="F68" s="20" t="n">
        <v>110962</v>
      </c>
      <c r="G68" s="20" t="n">
        <v>2020</v>
      </c>
      <c r="H68" s="20" t="inlineStr">
        <is>
          <t>Elsevier</t>
        </is>
      </c>
      <c r="I68" s="20" t="inlineStr">
        <is>
          <t>Maps to H&amp;B 1.2.1 — Mobile fauna. Baited cod cages set on the seabed (about 10 m) at the kelp farm and four control locations, catch identified and counted on two soaks per campaign. Match: Exact.</t>
        </is>
      </c>
      <c r="J68" s="20" t="inlineStr">
        <is>
          <t>Protocol (empirical, BACI design)</t>
        </is>
      </c>
      <c r="K68" s="20" t="inlineStr">
        <is>
          <t>Confirmed standalone (full read). Four cages per location baited with ~300 g herring, checked after 3–6 days and re-baited, accumulated catch compared farm vs controls by PERMANOVA — robust for H&amp;B 1.2.1 (Exact; trap-selective).</t>
        </is>
      </c>
      <c r="L68" s="20" t="inlineStr">
        <is>
          <t>Yes — baited cages from a farm boat, with the catch identified and counted on deck using a field guide; no lab step.</t>
        </is>
      </c>
      <c r="M68" s="20" t="inlineStr">
        <is>
          <t>Yes — full BACI design specified.</t>
        </is>
      </c>
      <c r="N68" s="20" t="inlineStr">
        <is>
          <t>Baited cages (source: Carapax cod cages; a collapsible fish trap is an adequate stand-in) with rope and buoy; frozen herring bait (~300 g per cage); field ID guide.</t>
        </is>
      </c>
      <c r="O68" s="20" t="inlineStr">
        <is>
          <t>Medium — ~$1.2K yr 1: $1.1K start-up (fish trap ×8 $594 [list]; rope + float ×8 $400 [est]; field ID kit $80 [est]; fish ID guide $30 [est]) + $96/yr (bait 32 × $3 [est])</t>
        </is>
      </c>
      <c r="P68" s="20" t="inlineStr">
        <is>
          <t>Multi-year monitoring (&gt; 1 year) — four campaigns, Feb and May 2016–2017</t>
        </is>
      </c>
      <c r="Q68" s="20" t="inlineStr">
        <is>
          <t>Accumulated catch per cage; PERMANOVA (9,999 permutations) and PCO on species composition, farm vs controls (PRIMER).</t>
        </is>
      </c>
      <c r="R68" s="20" t="inlineStr">
        <is>
          <t>Yes — Free Article (Elsevier, via PubMed)</t>
        </is>
      </c>
      <c r="S68" s="21" t="inlineStr">
        <is>
          <t>Full PDF</t>
        </is>
      </c>
      <c r="T68" s="20" t="inlineStr">
        <is>
          <t>https://pubmed.ncbi.nlm.nih.gov/32469791/</t>
        </is>
      </c>
      <c r="U68" s="20" t="inlineStr">
        <is>
          <t>Thorough but resource-intensive - best for a farm that can commit to before-and-after sampling over two years, and the oxygen-flux part needs a benthic lander.</t>
        </is>
      </c>
      <c r="V68" s="20" t="inlineStr">
        <is>
          <t>Original list</t>
        </is>
      </c>
      <c r="W68" s="10" t="inlineStr">
        <is>
          <t>4 — Practitioner</t>
        </is>
      </c>
      <c r="X68" s="20" t="inlineStr">
        <is>
          <t>Seaweed</t>
        </is>
      </c>
      <c r="Y68" s="20" t="inlineStr">
        <is>
          <t>Habitat &amp; Biodiversity</t>
        </is>
      </c>
      <c r="Z68" s="20" t="inlineStr">
        <is>
          <t>H&amp;B 1.2.1 — Mobile fauna</t>
        </is>
      </c>
      <c r="AA68" s="20" t="inlineStr">
        <is>
          <t>Temperate Atlantic</t>
        </is>
      </c>
      <c r="AB68" s="20" t="inlineStr">
        <is>
          <t>Saccharina (sugar kelp)</t>
        </is>
      </c>
      <c r="AC68" s="20" t="inlineStr">
        <is>
          <t>Longline (surface)</t>
        </is>
      </c>
      <c r="AD68" s="20" t="inlineStr">
        <is>
          <t>Medium (1–20 ha)</t>
        </is>
      </c>
      <c r="AE68" s="20" t="inlineStr">
        <is>
          <t>Clear (visual methods feasible)</t>
        </is>
      </c>
      <c r="AF68" s="20" t="inlineStr">
        <is>
          <t>Monoculture</t>
        </is>
      </c>
      <c r="AG68" s="20" t="inlineStr">
        <is>
          <t>Sediment sampling, Water chemistry, Visual survey</t>
        </is>
      </c>
      <c r="AH68" s="20" t="inlineStr">
        <is>
          <t>Brown</t>
        </is>
      </c>
      <c r="AI68" s="20" t="inlineStr">
        <is>
          <t>Coastal (10–30 m)</t>
        </is>
      </c>
      <c r="AJ68" s="20" t="inlineStr">
        <is>
          <t>Sheltered</t>
        </is>
      </c>
      <c r="AK68" s="16" t="inlineStr">
        <is>
          <t>To measure the mobile animals (crabs, fish, starfish, snails) using the seabed under your farm, set [4] baited cages or traps on the bottom within the farm and [4] at its edge, each with the same amount of oily fish bait (e.g. about 300 g of herring) and marked with a rope and buoy. Check them after [3–6] days, identify and count the catch on deck with a field guide, release it, then re-bait for a second soak. Sum the catch per cage over both soaks and compare species and numbers between locations, once per season. Catches depend on bait, soak time and how readily each species enters, so keep gear, bait and soak identical and treat counts as relative abundance.</t>
        </is>
      </c>
      <c r="AL68" s="17" t="inlineStr">
        <is>
          <t>High</t>
        </is>
      </c>
      <c r="AM68" s="18" t="inlineStr">
        <is>
          <t>visch_2020_hb121</t>
        </is>
      </c>
      <c r="AN68" s="19" t="n"/>
      <c r="AO68" s="19" t="n"/>
      <c r="AP68" s="19" t="n"/>
      <c r="AQ68" s="16" t="inlineStr">
        <is>
          <t>Mobile-fauna monitoring — Seaweed</t>
        </is>
      </c>
      <c r="AR68" s="16" t="inlineStr">
        <is>
          <t xml:space="preserve">Visch, Wouter; Kononets, Mikhail; Hall, Per OJ; Nylund, Göran M; Pavia, Henrik; </t>
        </is>
      </c>
      <c r="AS68" s="16" t="inlineStr">
        <is>
          <t>Cited directly in MEL framework. Particularly strong as a temperate empirical BACI template parallel to Corrigan 2025 (UK) and Visch 2020 (Sweden).  |  Migration (one-indicator-per-row, 2026-09-04): split from visch_2020 -&gt; {visch_2020_hb111, visch_2020_hb121, visch_2020_hb131, visch_2020_hb141, visch_2020_wq111, visch_2020_wq121}. This row = visch_2020_hb121 (H&amp;B 1.2.1 — Mobile fauna). Candidate: AK/N/Q blanked and I/K/W/O/P provisional; per-indicator method text, tier/cost/effort and match adjudication to be finalised at generation. Combined parent I/AK/N/Q retained in v37 (pre-split).  |  [2026-10-13 method-summary pass] I, K: candidate-split text replaced after full read (prior: 'Maps to H&amp;B 1.2.1 — Mobile fauna. Candidate split…' / 'Standalone-candidate…'). S: blank → 'Full PDF'. L: 'Partial — benthic infauna sampling and basic mobile-fauna survey are feasible; benthic O₂ flux chambers and full nutrient chemistry need research support.' → row-specific. N, Q: blank → filled. W: '3 — Partnership' → '4 — Practitioner' (Rule 14; catch identified in the field, no lab step — same policy as the approved v60 promotions). P: controlled phrase + detail. O: 'Medium–High — benthic chambers …' → Medium ~$1.2K; Rule 15 basis: SW H&amp;B 1.2.1 within + edge; 2 visits (temperate kelp); 4 cages per location (source n), two baitings per visit; field ID (lab-fee waiver). AK written; AL High.  |  [2026-10-16 monitoring-methods pass] AT (Monitoring Methods) set from the protocol's method summary (AK): Nets &amp; baited traps.</t>
        </is>
      </c>
      <c r="AT68" s="20" t="inlineStr">
        <is>
          <t>Nets &amp; baited traps</t>
        </is>
      </c>
    </row>
    <row r="69">
      <c r="A69" s="20" t="inlineStr">
        <is>
          <t>Visch, W., et al.</t>
        </is>
      </c>
      <c r="B69" s="20" t="inlineStr">
        <is>
          <t>Environmental impact of kelp (Saccharina latissima) aquaculture</t>
        </is>
      </c>
      <c r="C69" s="20" t="inlineStr">
        <is>
          <t>Marine Pollution Bulletin</t>
        </is>
      </c>
      <c r="D69" s="20" t="n">
        <v>155</v>
      </c>
      <c r="E69" s="20" t="n"/>
      <c r="F69" s="20" t="n">
        <v>110962</v>
      </c>
      <c r="G69" s="20" t="n">
        <v>2020</v>
      </c>
      <c r="H69" s="20" t="inlineStr">
        <is>
          <t>Elsevier</t>
        </is>
      </c>
      <c r="I69" s="20" t="inlineStr">
        <is>
          <t>Maps to H&amp;B 1.3.1 — Benthic infauna. Van Veen grabs (0.1 m²) at the kelp farm and four controls 1.8–2.7 km away, sieved at 1 mm, infauna identified; rarefaction, effective species number and the Benthic Quality Index (BQI). Match: Exact.</t>
        </is>
      </c>
      <c r="J69" s="20" t="inlineStr">
        <is>
          <t>Protocol (empirical, BACI design)</t>
        </is>
      </c>
      <c r="K69" s="20" t="inlineStr">
        <is>
          <t>Confirmed standalone (full read). Three grabs per location in each of four campaigns (Feb and May, 2016–2017), with WFD-class BQI — robust for H&amp;B 1.3.1 (Exact).</t>
        </is>
      </c>
      <c r="L69" s="20" t="inlineStr">
        <is>
          <t>Partial — grab sampling and 1 mm sieving are farmer-doable; identification and BQI calculation need a partner lab.</t>
        </is>
      </c>
      <c r="M69" s="20" t="inlineStr">
        <is>
          <t>Yes — full BACI design specified.</t>
        </is>
      </c>
      <c r="N69" s="20" t="inlineStr">
        <is>
          <t>Van Veen grab (0.1 m²); 1 mm sieve; 70% ethanol and jars; partner-lab identification.</t>
        </is>
      </c>
      <c r="O69" s="20" t="inlineStr">
        <is>
          <t>Medium — ~$6.9K yr 1: $1.77K start-up (Petite Ponar grab $1.57K [list]; grab line $50 [est]; 1 mm sieve $150 [est]) + $5.12K/yr (infauna sort + ID 12 × $414 [lab fee]; preservative + jars $150 [est])</t>
        </is>
      </c>
      <c r="P69" s="20" t="inlineStr">
        <is>
          <t>Multi-year monitoring (&gt; 1 year) — four campaigns, Feb and May 2016–2017</t>
        </is>
      </c>
      <c r="Q69" s="20" t="inlineStr">
        <is>
          <t>Rarefaction and effective number of species (exp Shannon, vegan in R); BQI with WFD class borders; PERMANOVA and PCO, farm vs controls (PRIMER).</t>
        </is>
      </c>
      <c r="R69" s="20" t="inlineStr">
        <is>
          <t>Yes — Free Article (Elsevier, via PubMed)</t>
        </is>
      </c>
      <c r="S69" s="21" t="inlineStr">
        <is>
          <t>Full PDF</t>
        </is>
      </c>
      <c r="T69" s="20" t="inlineStr">
        <is>
          <t>https://pubmed.ncbi.nlm.nih.gov/32469791/</t>
        </is>
      </c>
      <c r="U69" s="20" t="inlineStr">
        <is>
          <t>Thorough but resource-intensive - best for a farm that can commit to before-and-after sampling over two years, and the oxygen-flux part needs a benthic lander.</t>
        </is>
      </c>
      <c r="V69" s="20" t="inlineStr">
        <is>
          <t>Original list</t>
        </is>
      </c>
      <c r="W69" s="9" t="inlineStr">
        <is>
          <t>3 — Partnership</t>
        </is>
      </c>
      <c r="X69" s="20" t="inlineStr">
        <is>
          <t>Seaweed</t>
        </is>
      </c>
      <c r="Y69" s="20" t="inlineStr">
        <is>
          <t>Habitat &amp; Biodiversity</t>
        </is>
      </c>
      <c r="Z69" s="20" t="inlineStr">
        <is>
          <t>H&amp;B 1.3.1 — Benthic infauna</t>
        </is>
      </c>
      <c r="AA69" s="20" t="inlineStr">
        <is>
          <t>Temperate Atlantic</t>
        </is>
      </c>
      <c r="AB69" s="20" t="inlineStr">
        <is>
          <t>Saccharina (sugar kelp)</t>
        </is>
      </c>
      <c r="AC69" s="20" t="inlineStr">
        <is>
          <t>Longline (surface)</t>
        </is>
      </c>
      <c r="AD69" s="20" t="inlineStr">
        <is>
          <t>Medium (1–20 ha)</t>
        </is>
      </c>
      <c r="AE69" s="20" t="inlineStr">
        <is>
          <t>Clear (visual methods feasible)</t>
        </is>
      </c>
      <c r="AF69" s="20" t="inlineStr">
        <is>
          <t>Monoculture</t>
        </is>
      </c>
      <c r="AG69" s="20" t="inlineStr">
        <is>
          <t>Sediment sampling, Water chemistry, Visual survey</t>
        </is>
      </c>
      <c r="AH69" s="20" t="inlineStr">
        <is>
          <t>Brown</t>
        </is>
      </c>
      <c r="AI69" s="20" t="inlineStr">
        <is>
          <t>Coastal (10–30 m)</t>
        </is>
      </c>
      <c r="AJ69" s="20" t="inlineStr">
        <is>
          <t>Sheltered</t>
        </is>
      </c>
      <c r="AK69" s="16" t="inlineStr">
        <is>
          <t>To check the bottom-living animals under your farm, take [3] grabs (about 0.1 m²) at random within the farm and [3] at its edge, once per season, sieve them on a 1 mm mesh and preserve what remains in 70% ethanol for a partner lab to identify and count. Report species number, abundance, effective number of species (from Shannon diversity) and a regional benthic quality index (e.g. BQI) so results can be read against water-quality status classes. Natural differences between places are large, so add [2] reference stations of similar depth and sediment 1–2 km away if you need to attribute a change to the farm.</t>
        </is>
      </c>
      <c r="AL69" s="17" t="inlineStr">
        <is>
          <t>High</t>
        </is>
      </c>
      <c r="AM69" s="18" t="inlineStr">
        <is>
          <t>visch_2020_hb131</t>
        </is>
      </c>
      <c r="AN69" s="19" t="n"/>
      <c r="AO69" s="19" t="n"/>
      <c r="AP69" s="19" t="n"/>
      <c r="AQ69" s="16" t="inlineStr">
        <is>
          <t>Benthic-infauna sampling — Seaweed</t>
        </is>
      </c>
      <c r="AR69" s="16" t="inlineStr">
        <is>
          <t xml:space="preserve">Visch, Wouter; Kononets, Mikhail; Hall, Per OJ; Nylund, Göran M; Pavia, Henrik; </t>
        </is>
      </c>
      <c r="AS69" s="16" t="inlineStr">
        <is>
          <t>Cited directly in MEL framework. Particularly strong as a temperate empirical BACI template parallel to Corrigan 2025 (UK) and Visch 2020 (Sweden).  |  Migration (one-indicator-per-row, 2026-09-04): split from visch_2020 -&gt; {visch_2020_hb111, visch_2020_hb121, visch_2020_hb131, visch_2020_hb141, visch_2020_wq111, visch_2020_wq121}. This row = visch_2020_hb131 (H&amp;B 1.3.1 — Benthic infauna). Candidate: AK/N/Q blanked and I/K/W/O/P provisional; per-indicator method text, tier/cost/effort and match adjudication to be finalised at generation. Combined parent I/AK/N/Q retained in v37 (pre-split).  |  [2026-10-09 Rule 15 cost re-rate, batch 4] Framework basis: SW H&amp;B 1.3.1: under/within farm + edge; once per season (2 visits); 2 locations × 2 visits × 3 replicates = 12. Grab from the farm boat, partner-lab sort + ID; BACI before-period and extra control sites excluded (above Framework minimum); gear inferred from old cost note. Prior O: 'Medium–High — benthic chambers + O₂ optodes $5K+; sediment grab $1–3K; nutrient autoanalyser $5K+'.  |  [2026-10-13 method-summary pass] I, K: candidate-split text replaced after full read (prior: 'Maps to H&amp;B 1.3.1 — Benthic infauna. Candidate split…' / 'Standalone-candidate…'). S: blank → 'Full PDF'. L: 'Partial — benthic infauna sampling and basic mobile-fauna survey are feasible; benthic O₂ flux chambers and full nutrient chemistry need research support.' → row-specific. N, Q: blank → filled. P: controlled phrase + detail. O: sieve corrected 500 µm → 1 mm (source; same price), total unchanged. AK written; AL High.  |  [2026-10-16 monitoring-methods pass] AT (Monitoring Methods) set from the protocol's method summary (AK): Benthic infauna community.</t>
        </is>
      </c>
      <c r="AT69" s="20" t="inlineStr">
        <is>
          <t>Benthic infauna community</t>
        </is>
      </c>
    </row>
    <row r="70">
      <c r="A70" s="20" t="inlineStr">
        <is>
          <t>Visch, W., et al.</t>
        </is>
      </c>
      <c r="B70" s="20" t="inlineStr">
        <is>
          <t>Environmental impact of kelp (Saccharina latissima) aquaculture</t>
        </is>
      </c>
      <c r="C70" s="20" t="inlineStr">
        <is>
          <t>Marine Pollution Bulletin</t>
        </is>
      </c>
      <c r="D70" s="20" t="n">
        <v>155</v>
      </c>
      <c r="E70" s="20" t="n"/>
      <c r="F70" s="20" t="n">
        <v>110962</v>
      </c>
      <c r="G70" s="20" t="n">
        <v>2020</v>
      </c>
      <c r="H70" s="20" t="inlineStr">
        <is>
          <t>Elsevier</t>
        </is>
      </c>
      <c r="I70" s="20" t="inlineStr">
        <is>
          <t>Maps to H&amp;B 1.4.1 — Sediment. In situ benthic oxygen flux measured with chamber landers (400 cm² chambers, stirred, oxygen sensors logging each minute) at the kelp farm and three controls, day and night. Match: Partial — sediment oxygen demand only; no organic content, sulfide or redox.</t>
        </is>
      </c>
      <c r="J70" s="20" t="inlineStr">
        <is>
          <t>Protocol (empirical, BACI design)</t>
        </is>
      </c>
      <c r="K70" s="20" t="inlineStr">
        <is>
          <t>Confirmed standalone (full read). Landers lowered slowly from a boat, ventilated 2–3 h, then incubated 0.1–6 h with chamber water height from salinity change after a freshwater injection — robust as a sediment-oxygen indicator (Partial; specialist equipment).</t>
        </is>
      </c>
      <c r="L70" s="20" t="inlineStr">
        <is>
          <t>No — benthic chamber incubations with oxygen sensors and flux calculation need research equipment and skills.</t>
        </is>
      </c>
      <c r="M70" s="20" t="inlineStr">
        <is>
          <t>Yes — full BACI design specified.</t>
        </is>
      </c>
      <c r="N70" s="20" t="inlineStr">
        <is>
          <t>Benthic chamber landers (source: Göteborg small and big landers, 2–4 chambers of 400 cm² each, stirrers, 10 sampling syringes, O₂/salinity/turbidity sensors); boat with winch; DIY alternative: open-bottomed chambers with optical DO loggers.</t>
        </is>
      </c>
      <c r="O70" s="20" t="inlineStr">
        <is>
          <t>Medium — ~$3.9K yr 1: $3.62K start-up (optical DO logger ×2 $2.79K [list]; logger base station $130 [est]; benthic chamber ×2 $600 [est]; rope + float ×2 $100 [est]) + $230/yr (DO sensor cap 2 × $115 [list])</t>
        </is>
      </c>
      <c r="P70" s="20" t="inlineStr">
        <is>
          <t>Multi-year monitoring (&gt; 1 year) — four campaigns, Feb and May 2016–2017</t>
        </is>
      </c>
      <c r="Q70" s="20" t="inlineStr">
        <is>
          <t>Oxygen flux (mmol m⁻² d⁻¹) from chamber O₂ decline and water height; linear models with AIC selection (R), farm vs controls.</t>
        </is>
      </c>
      <c r="R70" s="20" t="inlineStr">
        <is>
          <t>Yes — Free Article (Elsevier, via PubMed)</t>
        </is>
      </c>
      <c r="S70" s="21" t="inlineStr">
        <is>
          <t>Full PDF</t>
        </is>
      </c>
      <c r="T70" s="20" t="inlineStr">
        <is>
          <t>https://pubmed.ncbi.nlm.nih.gov/32469791/</t>
        </is>
      </c>
      <c r="U70" s="20" t="inlineStr">
        <is>
          <t>Thorough but resource-intensive - best for a farm that can commit to before-and-after sampling over two years, and the oxygen-flux part needs a benthic lander.</t>
        </is>
      </c>
      <c r="V70" s="20" t="inlineStr">
        <is>
          <t>Original list</t>
        </is>
      </c>
      <c r="W70" s="7" t="inlineStr">
        <is>
          <t>2 — Researcher</t>
        </is>
      </c>
      <c r="X70" s="20" t="inlineStr">
        <is>
          <t>Seaweed</t>
        </is>
      </c>
      <c r="Y70" s="20" t="inlineStr">
        <is>
          <t>Habitat &amp; Biodiversity</t>
        </is>
      </c>
      <c r="Z70" s="20" t="inlineStr">
        <is>
          <t>H&amp;B 1.4.1 — Sediment</t>
        </is>
      </c>
      <c r="AA70" s="20" t="inlineStr">
        <is>
          <t>Temperate Atlantic</t>
        </is>
      </c>
      <c r="AB70" s="20" t="inlineStr">
        <is>
          <t>Saccharina (sugar kelp)</t>
        </is>
      </c>
      <c r="AC70" s="20" t="inlineStr">
        <is>
          <t>Longline (surface)</t>
        </is>
      </c>
      <c r="AD70" s="20" t="inlineStr">
        <is>
          <t>Medium (1–20 ha)</t>
        </is>
      </c>
      <c r="AE70" s="20" t="inlineStr">
        <is>
          <t>Clear (visual methods feasible)</t>
        </is>
      </c>
      <c r="AF70" s="20" t="inlineStr">
        <is>
          <t>Monoculture</t>
        </is>
      </c>
      <c r="AG70" s="20" t="inlineStr">
        <is>
          <t>Sediment sampling, Water chemistry, Visual survey</t>
        </is>
      </c>
      <c r="AH70" s="20" t="inlineStr">
        <is>
          <t>Brown</t>
        </is>
      </c>
      <c r="AI70" s="20" t="inlineStr">
        <is>
          <t>Coastal (10–30 m)</t>
        </is>
      </c>
      <c r="AJ70" s="20" t="inlineStr">
        <is>
          <t>Sheltered</t>
        </is>
      </c>
      <c r="AK70" s="16" t="inlineStr">
        <is>
          <t>To measure how much oxygen the seabed under your farm consumes, a sign of organic loading, lower open-bottomed benthic chambers fitted with oxygen loggers and a stirrer gently onto the sediment within the farm, at its edge and at [2] reference sites of similar depth and sediment, twice a year. Leave the chamber lids open for [2–3] hours so trapped surface water is replaced by bottom water, then close them and log oxygen every minute for several hours. Calculate the flux from the rate of oxygen decline and the height of water in the chamber (measured, or from the salinity drop after injecting a known volume of fresh water). Setting chambers down without stirring up the sediment is the hard part, and fluxes differ between day and night, so run both where you can.</t>
        </is>
      </c>
      <c r="AL70" s="17" t="inlineStr">
        <is>
          <t>High</t>
        </is>
      </c>
      <c r="AM70" s="18" t="inlineStr">
        <is>
          <t>visch_2020_hb141</t>
        </is>
      </c>
      <c r="AN70" s="19" t="n"/>
      <c r="AO70" s="19" t="n"/>
      <c r="AP70" s="19" t="n"/>
      <c r="AQ70" s="16" t="inlineStr">
        <is>
          <t>Sediment-condition monitoring — Seaweed</t>
        </is>
      </c>
      <c r="AR70" s="16" t="inlineStr">
        <is>
          <t xml:space="preserve">Visch, Wouter; Kononets, Mikhail; Hall, Per OJ; Nylund, Göran M; Pavia, Henrik; </t>
        </is>
      </c>
      <c r="AS70" s="16" t="inlineStr">
        <is>
          <t>Cited directly in MEL framework. Particularly strong as a temperate empirical BACI template parallel to Corrigan 2025 (UK) and Visch 2020 (Sweden).  |  Migration (one-indicator-per-row, 2026-09-04): split from visch_2020 -&gt; {visch_2020_hb111, visch_2020_hb121, visch_2020_hb131, visch_2020_hb141, visch_2020_wq111, visch_2020_wq121}. This row = visch_2020_hb141 (H&amp;B 1.4.1 — Sediment). Candidate: AK/N/Q blanked and I/K/W/O/P provisional; per-indicator method text, tier/cost/effort and match adjudication to be finalised at generation. Combined parent I/AK/N/Q retained in v37 (pre-split).  |  [2026-10-13 method-summary pass] I, K: candidate-split text replaced after full read (prior: 'Maps to H&amp;B 1.4.1 — Sediment. Candidate split…' / 'Standalone-candidate…'). S: blank → 'Full PDF'. L: 'Partial — benthic infauna sampling and basic mobile-fauna survey are feasible; benthic O₂ flux chambers and full nutrient chemistry need research support.' → row-specific. N, Q: blank → filled. W: '3 — Partnership' → '2 — Researcher' (Rule 14; benthic landers are research equipment; demotion safe). P: controlled phrase + detail. O: 'Medium–High — benthic chambers + O₂ optodes $5K+; …' → Medium ~$3.9K; Rule 15 basis: SW H&amp;B 1.4.1 2 farm strata + 2 refs, biannual (2 visits); DIY chamber route with 2 optical DO loggers moved between locations; new Cost_Reference item eq_benthic_chamber $300 [est]. AK written; AL High.  |  [2026-10-13 Partial review] Partial match reviewed and kept (Peter 2026-10-13).  |  [2026-10-16 monitoring-methods pass] AT (Monitoring Methods) set from the protocol's method summary (AK): Temperature / salinity, Dissolved oxygen, Continuous moored sensors, Sediment / benthic flux incubation.</t>
        </is>
      </c>
      <c r="AT70" s="20" t="inlineStr">
        <is>
          <t>Temperature / salinity, Dissolved oxygen, Continuous moored sensors, Sediment / benthic flux incubation</t>
        </is>
      </c>
    </row>
    <row r="71">
      <c r="A71" s="3" t="inlineStr">
        <is>
          <t>Yokoyama, H., et al.</t>
        </is>
      </c>
      <c r="B71" s="3" t="inlineStr">
        <is>
          <t>Macrobenthos as biological indicators to assess the influence of aquaculture on Japanese coastal environments</t>
        </is>
      </c>
      <c r="C71" s="3" t="inlineStr">
        <is>
          <t>Ecological and Genetic Implications of Aquaculture Activities</t>
        </is>
      </c>
      <c r="D71" s="3" t="n"/>
      <c r="E71" s="3" t="n"/>
      <c r="F71" s="3" t="inlineStr">
        <is>
          <t>407-423</t>
        </is>
      </c>
      <c r="G71" s="3" t="n">
        <v>2007</v>
      </c>
      <c r="H71" s="3" t="inlineStr">
        <is>
          <t>Springer</t>
        </is>
      </c>
      <c r="I71" s="3" t="inlineStr">
        <is>
          <t>Maps to H&amp;B 1.3.1 — Benthic infauna. Ekman grabs (0.04 m²) within 10 m of fish cages at 51 stations on 22 farms, sieved at 1 mm; species counts, biomass, Shannon diversity, evenness and cluster analysis of assemblages. Match: Exact.</t>
        </is>
      </c>
      <c r="J71" s="3" t="inlineStr">
        <is>
          <t>Protocol (empirical, fully specified — bioindicator-based benthic survey with threshold derivation)</t>
        </is>
      </c>
      <c r="K71" s="3" t="inlineStr">
        <is>
          <t>Confirmed standalone (full read). Summer and winter surveys relating macrobenthic assemblages to sediment chemistry and an embayment-degree index — robust for H&amp;B 1.3.1 (Exact; stations beside cages only, no reference sites).</t>
        </is>
      </c>
      <c r="L71" s="3" t="inlineStr">
        <is>
          <t>Partial — grab sampling and 1 mm sieving from a boat are farmer-doable; species identification and biomass need a partner lab.</t>
        </is>
      </c>
      <c r="M71" s="3" t="inlineStr">
        <is>
          <t>Yes — full sampling design and biotic-index calculations specified.</t>
        </is>
      </c>
      <c r="N71" s="3" t="inlineStr">
        <is>
          <t>Ekman grab (0.04 m²); 1 mm sieve; preservative; partner-lab identification and wet-weight biomass.</t>
        </is>
      </c>
      <c r="O71" s="3" t="inlineStr">
        <is>
          <t>Medium — ~$6.9K yr 1: $1.77K start-up (Petite Ponar grab $1.57K [list]; grab line $50 [est]; 1 mm sieve $150 [est]) + $5.12K/yr (infauna sort + ID 12 × $414 [lab fee]; preservative + jars $150 [est])</t>
        </is>
      </c>
      <c r="P71" s="3" t="inlineStr">
        <is>
          <t>Multi-season (3–9 months) — two surveys, Aug–Sep 1998 and Feb 1999</t>
        </is>
      </c>
      <c r="Q71" s="3" t="inlineStr">
        <is>
          <t>Species number, abundance, biomass; Shannon H′, Hmax and Pielou J′; Kimoto's Cπ similarity and cluster analysis; correlation with sediment chemistry and the embayment-degree index.</t>
        </is>
      </c>
      <c r="R71" s="3" t="inlineStr">
        <is>
          <t>Paywalled but readable online at Springer Nature Link</t>
        </is>
      </c>
      <c r="S71" t="inlineStr">
        <is>
          <t>Full PDF</t>
        </is>
      </c>
      <c r="T71" s="3" t="inlineStr">
        <is>
          <t>Paywall: https://link.springer.com/chapter/10.1007/978-1-4020-6148-6_22</t>
        </is>
      </c>
      <c r="U71" s="3" t="inlineStr">
        <is>
          <t>Developed at fish farms but transfers to seaweed; the acid-volatile-sulphide limit (~1.9 mg S/g) is a ready benchmark for benthic condition.</t>
        </is>
      </c>
      <c r="V71" s="3" t="inlineStr">
        <is>
          <t>Original list</t>
        </is>
      </c>
      <c r="W71" s="9" t="inlineStr">
        <is>
          <t>3 — Partnership</t>
        </is>
      </c>
      <c r="X71" s="3" t="inlineStr">
        <is>
          <t>Finfish, Seaweed</t>
        </is>
      </c>
      <c r="Y71" s="3" t="inlineStr">
        <is>
          <t>Habitat &amp; Biodiversity</t>
        </is>
      </c>
      <c r="Z71" s="3" t="inlineStr">
        <is>
          <t>H&amp;B 1.3.1 — Benthic infauna</t>
        </is>
      </c>
      <c r="AA71" s="3" t="inlineStr">
        <is>
          <t>Temperate Pacific</t>
        </is>
      </c>
      <c r="AB71" s="3" t="inlineStr">
        <is>
          <t>Not species-specific</t>
        </is>
      </c>
      <c r="AC71" s="3" t="inlineStr">
        <is>
          <t>Floating cage / tray</t>
        </is>
      </c>
      <c r="AD71" s="3" t="inlineStr">
        <is>
          <t>Multi-farm regional</t>
        </is>
      </c>
      <c r="AE71" s="3" t="inlineStr">
        <is>
          <t>Not site-specific</t>
        </is>
      </c>
      <c r="AF71" s="3" t="inlineStr">
        <is>
          <t>Not specific</t>
        </is>
      </c>
      <c r="AG71" s="3" t="inlineStr">
        <is>
          <t>Sediment sampling</t>
        </is>
      </c>
      <c r="AH71" s="3" t="inlineStr">
        <is>
          <t>Not algae-specific</t>
        </is>
      </c>
      <c r="AI71" s="3" t="inlineStr">
        <is>
          <t>Coastal (10–30 m)</t>
        </is>
      </c>
      <c r="AJ71" s="3" t="inlineStr">
        <is>
          <t>Semi-exposed</t>
        </is>
      </c>
      <c r="AK71" s="16" t="inlineStr">
        <is>
          <t>To check the bottom-living animals beside your cages, take [3] small grabs (about 0.04 m²) within 10 m of the cage edge and [3] at the farm's edge, in late summer when organic loading peaks and again in winter. Sieve on a 1 mm mesh and have a partner lab identify, count and weigh the animals by species. Report species number, abundance, biomass and Shannon diversity, and group stations by the similarity of their species lists. Under heavy loading the fauna collapses to a few tolerant worms or disappears, so read the results against sediment chemistry from the same grabs and against how enclosed the site is — poorly flushed inlets accumulate more waste.</t>
        </is>
      </c>
      <c r="AL71" s="17" t="inlineStr">
        <is>
          <t>High</t>
        </is>
      </c>
      <c r="AM71" s="18" t="inlineStr">
        <is>
          <t>yokoyama_2007_hb131</t>
        </is>
      </c>
      <c r="AN71" s="19" t="n"/>
      <c r="AO71" s="19" t="n"/>
      <c r="AP71" s="19" t="n"/>
      <c r="AQ71" s="16" t="inlineStr">
        <is>
          <t>Benthic-infauna sampling — Finfish, Seaweed</t>
        </is>
      </c>
      <c r="AR71" s="16" t="inlineStr">
        <is>
          <t xml:space="preserve">Yokoyama, Hisashi; Nishimura, Akifumi; Inoue, Misa; </t>
        </is>
      </c>
      <c r="AS71" s="16" t="inlineStr">
        <is>
          <t>About FISH farming (not seaweed), but the AVS / TN / TOC thresholds and the macrobenthos-as-bioindicator framing transfer directly to seaweed-farm benthic monitoring per MEL Indicators 1.3.1 and 1.4.1. The AVS &gt; 1.9 mg S/g critical threshold is particularly useful as a hard sustainability boundary — if a seaweed farm's underlying sediment crosses this, the farm is no longer providing a benthic-habitat ecosystem service. Use as a quantitative threshold reference alongside the Visch 2020 / Corrigan 2025 paired farm/control designs. Sampling effort: two blocks of approximately 1 week each (Aug–Sept + Feb).  |  Migration (one-indicator-per-row, 2026-09-04): split from yokoyama_2007 -&gt; {yokoyama_2007_hb131, yokoyama_2007_hb141}. This row = yokoyama_2007_hb131 (H&amp;B 1.3.1 — Benthic infauna). Candidate: AK/N/Q blanked and I/K/W/O/P provisional; per-indicator method text, tier/cost/effort and match adjudication to be finalised at generation. Combined parent I/AK/N/Q retained in v37 (pre-split).  |  [2026-10-09 Rule 15 cost re-rate, batch 4] Framework basis: SW H&amp;B 1.3.1 (the finfish sector has no H&amp;B 1.3.1): under/within farm + edge; once per season (2 visits); 2 locations × 2 visits × 3 replicates = 12. Grab, partner-lab sort + ID; gear inferred from method note. Prior O: 'Medium — grab ~$1–3K + sieves + partner-lab chemistry'.  |  [2026-10-13 method-summary pass] I, K: candidate-split text replaced after full read. N, Q: blank → filled. S: blank → 'Full PDF' (book chapter). P: 'Short campaign (days to 2 weeks)' → Multi-season (two surveys six months apart). L: row-specific. O: sieve corrected 500 µm → 1 mm (source; same price), total unchanged. AK written; AL High.  |  [2026-10-16 monitoring-methods pass] AT (Monitoring Methods) set from the protocol's method summary (AK): Benthic infauna community.</t>
        </is>
      </c>
      <c r="AT71" s="20" t="inlineStr">
        <is>
          <t>Benthic infauna community</t>
        </is>
      </c>
    </row>
    <row r="72">
      <c r="A72" s="20" t="inlineStr">
        <is>
          <t>Yokoyama, H., et al.</t>
        </is>
      </c>
      <c r="B72" s="20" t="inlineStr">
        <is>
          <t>Macrobenthos as biological indicators to assess the influence of aquaculture on Japanese coastal environments</t>
        </is>
      </c>
      <c r="C72" s="20" t="inlineStr">
        <is>
          <t>Ecological and Genetic Implications of Aquaculture Activities</t>
        </is>
      </c>
      <c r="D72" s="20" t="n"/>
      <c r="E72" s="20" t="n"/>
      <c r="F72" s="20" t="inlineStr">
        <is>
          <t>407-423</t>
        </is>
      </c>
      <c r="G72" s="20" t="n">
        <v>2007</v>
      </c>
      <c r="H72" s="20" t="inlineStr">
        <is>
          <t>Springer</t>
        </is>
      </c>
      <c r="I72" s="20" t="inlineStr">
        <is>
          <t>Maps to H&amp;B 1.4.1 — Sediment. Total organic carbon, total nitrogen, total phosphorus and acid-volatile sulfide in the top 1 cm, cored from Ekman grabs within 10 m of fish cages. Match: Exact.</t>
        </is>
      </c>
      <c r="J72" s="20" t="inlineStr">
        <is>
          <t>Protocol (empirical, fully specified — bioindicator-based benthic survey with threshold derivation)</t>
        </is>
      </c>
      <c r="K72" s="20" t="inlineStr">
        <is>
          <t>Confirmed standalone (full read). Sediment chemistry at 51 stations in summer and winter, with AVS thresholds tied to macrobenthic collapse — robust for H&amp;B 1.4.1 (Exact; no reference sites).</t>
        </is>
      </c>
      <c r="L72" s="20" t="inlineStr">
        <is>
          <t>Partial — collecting surface sediment is farmer-doable; TOC, TN, TP and AVS analyses need a partner lab.</t>
        </is>
      </c>
      <c r="M72" s="20" t="inlineStr">
        <is>
          <t>Yes — full sampling design and biotic-index calculations specified.</t>
        </is>
      </c>
      <c r="N72" s="20" t="inlineStr">
        <is>
          <t>Ekman grab with a small corer pushed inside it (top 1 cm); sample jars, cold storage; partner-lab TOC/TN analyser, TP digestion and AVS detector-tube method.</t>
        </is>
      </c>
      <c r="O72" s="20" t="inlineStr">
        <is>
          <t>Medium — ~$4.3K yr 1: $1.62K start-up (Petite Ponar grab $1.57K [list]; grab line $50 [est]) + $2.67K/yr (sediment TOC 24 × $34 [lab fee]; AVS 24 × $75 [est]; sample jars $50 [est])</t>
        </is>
      </c>
      <c r="P72" s="20" t="inlineStr">
        <is>
          <t>Multi-season (3–9 months) — two surveys, Aug–Sep 1998 and Feb 1999</t>
        </is>
      </c>
      <c r="Q72" s="20" t="inlineStr">
        <is>
          <t>Descriptive comparison of TOC, TN, TP and AVS with macrobenthic assemblages; correlation analysis; threshold values for critical AVS.</t>
        </is>
      </c>
      <c r="R72" s="20" t="inlineStr">
        <is>
          <t>Paywalled but readable online at Springer Nature Link</t>
        </is>
      </c>
      <c r="S72" s="21" t="inlineStr">
        <is>
          <t>Full PDF</t>
        </is>
      </c>
      <c r="T72" s="20" t="inlineStr">
        <is>
          <t>Paywall: https://link.springer.com/chapter/10.1007/978-1-4020-6148-6_22</t>
        </is>
      </c>
      <c r="U72" s="20" t="inlineStr">
        <is>
          <t>Developed at fish farms but transfers to seaweed; the acid-volatile-sulphide limit (~1.9 mg S/g) is a ready benchmark for benthic condition.</t>
        </is>
      </c>
      <c r="V72" s="20" t="inlineStr">
        <is>
          <t>Original list</t>
        </is>
      </c>
      <c r="W72" s="9" t="inlineStr">
        <is>
          <t>3 — Partnership</t>
        </is>
      </c>
      <c r="X72" s="20" t="inlineStr">
        <is>
          <t>Finfish, Seaweed</t>
        </is>
      </c>
      <c r="Y72" s="20" t="inlineStr">
        <is>
          <t>Habitat &amp; Biodiversity</t>
        </is>
      </c>
      <c r="Z72" s="20" t="inlineStr">
        <is>
          <t>H&amp;B 1.4.1 — Sediment</t>
        </is>
      </c>
      <c r="AA72" s="20" t="inlineStr">
        <is>
          <t>Temperate Pacific</t>
        </is>
      </c>
      <c r="AB72" s="20" t="inlineStr">
        <is>
          <t>Not species-specific</t>
        </is>
      </c>
      <c r="AC72" s="20" t="inlineStr">
        <is>
          <t>Floating cage / tray</t>
        </is>
      </c>
      <c r="AD72" s="20" t="inlineStr">
        <is>
          <t>Multi-farm regional</t>
        </is>
      </c>
      <c r="AE72" s="20" t="inlineStr">
        <is>
          <t>Not site-specific</t>
        </is>
      </c>
      <c r="AF72" s="20" t="inlineStr">
        <is>
          <t>Not specific</t>
        </is>
      </c>
      <c r="AG72" s="20" t="inlineStr">
        <is>
          <t>Sediment sampling</t>
        </is>
      </c>
      <c r="AH72" s="20" t="inlineStr">
        <is>
          <t>Not algae-specific</t>
        </is>
      </c>
      <c r="AI72" s="20" t="inlineStr">
        <is>
          <t>Coastal (10–30 m)</t>
        </is>
      </c>
      <c r="AJ72" s="20" t="inlineStr">
        <is>
          <t>Semi-exposed</t>
        </is>
      </c>
      <c r="AK72" s="16" t="inlineStr">
        <is>
          <t>To measure organic loading in the sediment beside your cages, take a grab within 10 m of the cage edge and another at the farm's edge, and from each slice off the top 1 cm of sediment (a small corer pushed into the grab works). Have a partner lab measure total organic carbon, total nitrogen, total phosphorus and acid-volatile sulfide, in late summer and again in winter. Read the values against published thresholds — acid-volatile sulfide above about 1.9 mg S/g is linked to collapse of the bottom fauna — and against the infauna from the same stations. Summer values run highest, so a winter-only survey understates the impact.</t>
        </is>
      </c>
      <c r="AL72" s="17" t="inlineStr">
        <is>
          <t>High</t>
        </is>
      </c>
      <c r="AM72" s="18" t="inlineStr">
        <is>
          <t>yokoyama_2007_hb141</t>
        </is>
      </c>
      <c r="AN72" s="19" t="n"/>
      <c r="AO72" s="19" t="n"/>
      <c r="AP72" s="19" t="n"/>
      <c r="AQ72" s="16" t="inlineStr">
        <is>
          <t>Sediment-condition monitoring — Finfish, Seaweed</t>
        </is>
      </c>
      <c r="AR72" s="16" t="inlineStr">
        <is>
          <t xml:space="preserve">Yokoyama, Hisashi; Nishimura, Akifumi; Inoue, Misa; </t>
        </is>
      </c>
      <c r="AS72" s="16" t="inlineStr">
        <is>
          <t>About FISH farming (not seaweed), but the AVS / TN / TOC thresholds and the macrobenthos-as-bioindicator framing transfer directly to seaweed-farm benthic monitoring per MEL Indicators 1.3.1 and 1.4.1. The AVS &gt; 1.9 mg S/g critical threshold is particularly useful as a hard sustainability boundary — if a seaweed farm's underlying sediment crosses this, the farm is no longer providing a benthic-habitat ecosystem service. Use as a quantitative threshold reference alongside the Visch 2020 / Corrigan 2025 paired farm/control designs. Sampling effort: two blocks of approximately 1 week each (Aug–Sept + Feb).  |  Migration (one-indicator-per-row, 2026-09-04): split from yokoyama_2007 -&gt; {yokoyama_2007_hb131, yokoyama_2007_hb141}. This row = yokoyama_2007_hb141 (H&amp;B 1.4.1 — Sediment). Candidate: AK/N/Q blanked and I/K/W/O/P provisional; per-indicator method text, tier/cost/effort and match adjudication to be finalised at generation. Combined parent I/AK/N/Q retained in v37 (pre-split).  |  [2026-10-09 Rule 15 cost re-rate, batch 4] Framework basis: SW H&amp;B 1.4.1 (the finfish sector has no H&amp;B 1.4.1): 2 farm strata + 2 offsite refs; biannual (2 visits); 4 locations × 2 visits × 3 replicates = 24. AVS + TOC at a partner lab (TN assumed in the same combustion run); AVS fee is an estimate from a Canadian average-cost guide (quote needed); gear inferred from method note. Prior O: 'Medium — grab ~$1–3K + sieves + partner-lab chemistry'.  |  [2026-10-13 method-summary pass] I, K: candidate-split text replaced after full read. N, Q: blank → filled. S: blank → 'Full PDF' (book chapter). P → Multi-season. L: row-specific. O unchanged (TOC + AVS route matches the source). AK written; AL High.  |  [2026-10-16 monitoring-methods pass] AT (Monitoring Methods) set from the protocol's method summary (AK): Benthic infauna community.</t>
        </is>
      </c>
      <c r="AT72" s="20" t="inlineStr">
        <is>
          <t>Benthic infauna community</t>
        </is>
      </c>
    </row>
    <row r="73">
      <c r="A73" s="3" t="inlineStr">
        <is>
          <t>Xiao, X., et al.</t>
        </is>
      </c>
      <c r="B73" s="3" t="inlineStr">
        <is>
          <t>Seaweed farms provide refugia from ocean acidification</t>
        </is>
      </c>
      <c r="C73" s="3" t="inlineStr">
        <is>
          <t>Science of the Total Environment</t>
        </is>
      </c>
      <c r="D73" s="3" t="n">
        <v>776</v>
      </c>
      <c r="E73" s="3" t="n"/>
      <c r="F73" s="3" t="n">
        <v>145192</v>
      </c>
      <c r="G73" s="3" t="n">
        <v>2021</v>
      </c>
      <c r="H73" s="3" t="inlineStr">
        <is>
          <t>Elsevier</t>
        </is>
      </c>
      <c r="I73" s="3" t="inlineStr">
        <is>
          <t>Seaweed Climate Change Goal 2 — Objective 2.1, Indicator 2.1.1 (pH at the farm site; pCO₂, dissolved O₂, Ω_aragonite as supporting metrics).</t>
        </is>
      </c>
      <c r="J73" s="3" t="inlineStr">
        <is>
          <t>Protocol (empirical, but relies on Dickson et al. 2007 SOPs for the chemistry — see chased entry below)</t>
        </is>
      </c>
      <c r="K73" s="3" t="inlineStr">
        <is>
          <t>Yes. Paired farm-vs-control surface-water carbonate chemistry across three Chinese farm types on pre-harvest weeks; demonstrates measurable ΔpH (+0.03 to +0.10) and pCO₂ deficit (~59 μatm). Methods are well-specified once the underlying SOPs are obtained.</t>
        </is>
      </c>
      <c r="L73" s="3" t="inlineStr">
        <is>
          <t>No — pH, pCO₂, total alkalinity, DIC, and Ω_arag require carbonate-chemistry instrumentation, calibration against certified reference materials, and analyst training that sit outside typical farm capacity.</t>
        </is>
      </c>
      <c r="M73" s="3" t="inlineStr">
        <is>
          <t>Yes — fully reproducible by a marine-chemistry lab; the field design (timing pre-harvest, paired control, surface-water sampling) is straightforward.</t>
        </is>
      </c>
      <c r="N73" s="3" t="inlineStr">
        <is>
          <t>Niskin, pH probe (high-accuracy), DIC + alkalinity titrator, Tris/AMP buffers, CRMs (Certified Reference Materials)</t>
        </is>
      </c>
      <c r="O73" s="3" t="inlineStr">
        <is>
          <t>High — ~$38K yr 1: $36.3K start-up (OA-grade pH logger ×3 $36K [est]; mooring ×3 $300 [est]) + $1.95K/yr (TA + DIC check 24 × $79 [lab fee]; calibration supplies $50 [est])</t>
        </is>
      </c>
      <c r="P73" s="3" t="inlineStr">
        <is>
          <t>Seasonal (1–3 months)</t>
        </is>
      </c>
      <c r="Q73" s="3" t="inlineStr">
        <is>
          <t>Carbonate-system calculations (CO2SYS); ANOVA; descriptive temporal comparison</t>
        </is>
      </c>
      <c r="R73" s="3" t="inlineStr">
        <is>
          <t>No — Paywalled at Elsevier (Science of the Total Environment)</t>
        </is>
      </c>
      <c r="T73" s="3" t="inlineStr">
        <is>
          <t>Paywall: https://www.sciencedirect.com/science/article/abs/pii/S0048969721002588 ; PubMed: https://pubmed.ncbi.nlm.nih.gov/33640549/</t>
        </is>
      </c>
      <c r="U73" s="3" t="inlineStr">
        <is>
          <t>A strong demonstration, but paywalled and equipment-heavy; a basic in-situ pH/DO buoy gives a coarser version of the same signal.</t>
        </is>
      </c>
      <c r="V73" s="3" t="inlineStr">
        <is>
          <t>Original list</t>
        </is>
      </c>
      <c r="W73" s="7" t="inlineStr">
        <is>
          <t>2 — Researcher</t>
        </is>
      </c>
      <c r="X73" s="3" t="inlineStr">
        <is>
          <t>Seaweed</t>
        </is>
      </c>
      <c r="Y73" s="3" t="inlineStr">
        <is>
          <t>Climate Change</t>
        </is>
      </c>
      <c r="Z73" s="3" t="inlineStr">
        <is>
          <t>CC 2.1.1 — pH / ocean acidification</t>
        </is>
      </c>
      <c r="AA73" s="3" t="inlineStr">
        <is>
          <t>Temperate Pacific</t>
        </is>
      </c>
      <c r="AB73" s="3" t="inlineStr">
        <is>
          <t>Saccharina (sugar kelp)</t>
        </is>
      </c>
      <c r="AC73" s="3" t="inlineStr">
        <is>
          <t>Longline (surface)</t>
        </is>
      </c>
      <c r="AD73" s="3" t="inlineStr">
        <is>
          <t>Large (&gt;20 ha)</t>
        </is>
      </c>
      <c r="AE73" s="3" t="inlineStr">
        <is>
          <t>Variable / seasonal</t>
        </is>
      </c>
      <c r="AF73" s="3" t="inlineStr">
        <is>
          <t>Monoculture</t>
        </is>
      </c>
      <c r="AG73" s="3" t="inlineStr">
        <is>
          <t>Carbonate chemistry</t>
        </is>
      </c>
      <c r="AH73" s="3" t="inlineStr">
        <is>
          <t>Brown</t>
        </is>
      </c>
      <c r="AI73" s="3" t="inlineStr">
        <is>
          <t>Coastal (10–30 m)</t>
        </is>
      </c>
      <c r="AJ73" s="3" t="inlineStr">
        <is>
          <t>Sheltered</t>
        </is>
      </c>
      <c r="AK73" s="16" t="inlineStr">
        <is>
          <t>To test whether your farm locally buffers ocean acidification, sample surface water at the farm and at a paired control site outside its influence, timed to the weeks before harvest when biomass is highest. Collect water for the carbonate system - high-accuracy pH, pCO2, dissolved oxygen, and DIC plus total alkalinity by titration, with certified reference materials for quality control - following the standard carbonate-chemistry SOPs. Derive the full carbonate system with CO2SYS and compare farm against control (and across seasons) with ANOVA to detect any pH rise and pCO2 deficit. A simpler in-situ pH/DO buoy gives a coarser version of the same signal if the full titration setup is out of reach.</t>
        </is>
      </c>
      <c r="AL73" s="17" t="inlineStr">
        <is>
          <t>Med</t>
        </is>
      </c>
      <c r="AM73" s="18" t="inlineStr">
        <is>
          <t>xiao_2021</t>
        </is>
      </c>
      <c r="AN73" s="19" t="n"/>
      <c r="AO73" s="19" t="n"/>
      <c r="AP73" s="19" t="n"/>
      <c r="AQ73" s="16" t="inlineStr">
        <is>
          <t>Testing Whether a Seaweed Farm Buffers Ocean Acidification</t>
        </is>
      </c>
      <c r="AR73" s="16" t="inlineStr">
        <is>
          <t xml:space="preserve">Xiao, Xi; Agustí, Susana; Yu, Yan; Huang, Yuzhou; Chen, Weizhou; Hu, Jing; Li, Chao; Li, Ke; Wei, Fangyi; Lu, Yitian; </t>
        </is>
      </c>
      <c r="AS73" s="16" t="inlineStr">
        <is>
          <t>Strong empirical demonstration of OA buffering by seaweed farms, but paywalled and equipment-heavy. For a farmer-facing approximation a basic in-situ pH/DO buoy would give a coarser version of the same signal.  |  [2026-10-13 Rule 15 cost re-rate, batch 9] Framework basis: SW CC 2.1.1: within farm + adjacent non-farm; real-time/weekly with diurnal (one logger per location); 3 locations; TA + DIC checks 3 locations × 4 seasons × 2 = 24 (this row set the convention). Standard OA-grade logger route. Matches the v1.8 pilot. Prior O: 'High — DIC and alkalinity instrumentation $20K+; CRMs and Tris buffers ongoing'.  |  [2026-10-16 monitoring-methods pass] AT (Monitoring Methods) set from the protocol's method summary (AK): Dissolved oxygen, pH, Carbonate system (pH / OA).</t>
        </is>
      </c>
      <c r="AT73" s="20" t="inlineStr">
        <is>
          <t>Dissolved oxygen, pH, Carbonate system (pH / OA)</t>
        </is>
      </c>
    </row>
    <row r="74">
      <c r="A74" s="3" t="inlineStr">
        <is>
          <t>Rose, D. J. &amp; Grear, M. E.</t>
        </is>
      </c>
      <c r="B74" s="3" t="inlineStr">
        <is>
          <t>Marine Renewable Energy Applications for Restorative Ocean Farming: Kelp</t>
        </is>
      </c>
      <c r="C74" s="3" t="n"/>
      <c r="D74" s="3" t="n"/>
      <c r="E74" s="3" t="n"/>
      <c r="F74" s="3" t="n"/>
      <c r="G74" s="3" t="n">
        <v>2022</v>
      </c>
      <c r="H74" s="3" t="inlineStr">
        <is>
          <t>Pacific Northwest National Laboratory (PNNL), Richland, WA (United States)</t>
        </is>
      </c>
      <c r="I74" s="3" t="inlineStr">
        <is>
          <t>Cross-cutting — likely a synthesis / opinion paper about co-locating kelp farming with marine renewable energy (MRE). Maps tangentially to MEL framework but is not protocol-grade.</t>
        </is>
      </c>
      <c r="J74" s="3" t="inlineStr">
        <is>
          <t>Reference (likely)</t>
        </is>
      </c>
      <c r="K74" s="3" t="inlineStr">
        <is>
          <t>Not a direct measurement protocol; more of a strategic / engineering scoping paper.</t>
        </is>
      </c>
      <c r="L74" s="3" t="inlineStr">
        <is>
          <t>No.</t>
        </is>
      </c>
      <c r="M74" s="3" t="inlineStr">
        <is>
          <t>Yes — for project scoping.</t>
        </is>
      </c>
      <c r="N74" s="3" t="inlineStr">
        <is>
          <t>N/A — engineering/strategic technical report</t>
        </is>
      </c>
      <c r="O74" s="3" t="inlineStr">
        <is>
          <t>N/A</t>
        </is>
      </c>
      <c r="P74" s="3" t="inlineStr">
        <is>
          <t>One-time (no sampling — desk-based)</t>
        </is>
      </c>
      <c r="Q74" s="3" t="inlineStr">
        <is>
          <t>N/A — scoping document</t>
        </is>
      </c>
      <c r="R74" s="3" t="inlineStr">
        <is>
          <t>Unknown</t>
        </is>
      </c>
      <c r="T74" s="3" t="inlineStr">
        <is>
          <t>https://www.pnnl.gov/main/publications/external/technical_reports/PNNL-32776.pdf</t>
        </is>
      </c>
      <c r="U74" s="3" t="inlineStr"/>
      <c r="V74" s="3" t="inlineStr">
        <is>
          <t>Original list</t>
        </is>
      </c>
      <c r="W74" s="8" t="inlineStr">
        <is>
          <t>1 — Reference</t>
        </is>
      </c>
      <c r="X74" s="3" t="inlineStr">
        <is>
          <t>Seaweed</t>
        </is>
      </c>
      <c r="Y74" s="3" t="inlineStr">
        <is>
          <t>Cross-cutting / Framework</t>
        </is>
      </c>
      <c r="Z74" s="3" t="inlineStr">
        <is>
          <t>Not in MEL framework</t>
        </is>
      </c>
      <c r="AA74" s="3" t="inlineStr">
        <is>
          <t>Cross-zone / global</t>
        </is>
      </c>
      <c r="AB74" s="3" t="inlineStr">
        <is>
          <t>Not species-specific</t>
        </is>
      </c>
      <c r="AC74" s="3" t="inlineStr">
        <is>
          <t>Longline (surface)</t>
        </is>
      </c>
      <c r="AD74" s="3" t="inlineStr">
        <is>
          <t>Not scale-specific</t>
        </is>
      </c>
      <c r="AE74" s="3" t="inlineStr">
        <is>
          <t>Not site-specific</t>
        </is>
      </c>
      <c r="AF74" s="3" t="inlineStr">
        <is>
          <t>Not specific</t>
        </is>
      </c>
      <c r="AG74" s="3" t="inlineStr">
        <is>
          <t>Mixed methods</t>
        </is>
      </c>
      <c r="AH74" s="3" t="inlineStr">
        <is>
          <t>Not algae-specific</t>
        </is>
      </c>
      <c r="AI74" s="3" t="inlineStr">
        <is>
          <t>Not depth-specific</t>
        </is>
      </c>
      <c r="AJ74" s="3" t="inlineStr">
        <is>
          <t>Not exposure-specific</t>
        </is>
      </c>
      <c r="AK74" s="16" t="inlineStr">
        <is>
          <t>This is a strategic scoping paper on co-locating kelp farming with marine renewable energy, not a monitoring protocol, and it maps only tangentially to the MEL indicators. Use it for strategic-fit and siting context rather than for any ecosystem-service measurement.</t>
        </is>
      </c>
      <c r="AL74" s="17" t="inlineStr">
        <is>
          <t>Ref</t>
        </is>
      </c>
      <c r="AM74" s="18" t="inlineStr">
        <is>
          <t>rose_2022</t>
        </is>
      </c>
      <c r="AN74" s="19" t="n"/>
      <c r="AO74" s="19" t="n"/>
      <c r="AP74" s="19" t="n"/>
      <c r="AQ74" s="16" t="inlineStr">
        <is>
          <t>Co-Locating Kelp Farming with Marine Renewable Energy (Scoping Reference)</t>
        </is>
      </c>
      <c r="AR74" s="16" t="inlineStr">
        <is>
          <t xml:space="preserve">Rose, Deborah J; Grear, Molly E; </t>
        </is>
      </c>
      <c r="AS74" s="16" t="inlineStr">
        <is>
          <t>Strategic-fit paper rather than monitoring methods paper.</t>
        </is>
      </c>
      <c r="AT74" s="20" t="n"/>
    </row>
    <row r="75">
      <c r="A75" s="3" t="inlineStr">
        <is>
          <t>Bodycomb, R., et al.</t>
        </is>
      </c>
      <c r="B75" s="3" t="inlineStr">
        <is>
          <t>Kelp aquaculture as a Nature-based Solution for coastal protection: Wave attenuation by suspended canopies</t>
        </is>
      </c>
      <c r="C75" s="3" t="inlineStr">
        <is>
          <t>Journal of Marine Science and Engineering</t>
        </is>
      </c>
      <c r="D75" s="3" t="n">
        <v>11</v>
      </c>
      <c r="E75" s="3" t="n">
        <v>9</v>
      </c>
      <c r="F75" s="3" t="n">
        <v>1822</v>
      </c>
      <c r="G75" s="3" t="n">
        <v>2023</v>
      </c>
      <c r="H75" s="3" t="inlineStr">
        <is>
          <t>MDPI</t>
        </is>
      </c>
      <c r="I75" s="3" t="inlineStr">
        <is>
          <t>Other Ecosystem Services (coastal protection / wave attenuation) — peripheral to the seaweed MEL section, which focuses on H&amp;B, WQ and Climate Change.</t>
        </is>
      </c>
      <c r="J75" s="3" t="inlineStr">
        <is>
          <t>Protocol (analytical / modelling)</t>
        </is>
      </c>
      <c r="K75" s="3" t="inlineStr">
        <is>
          <t>Yes for wave-attenuation modelling — adapted 1D cross-shore model with sensitivity to water depth, vegetation density, longline density. Empirical validation limited.</t>
        </is>
      </c>
      <c r="L75" s="3" t="inlineStr">
        <is>
          <t>No — modelling work.</t>
        </is>
      </c>
      <c r="M75" s="3" t="inlineStr">
        <is>
          <t>Yes — for coastal engineers.</t>
        </is>
      </c>
      <c r="N75" s="3" t="inlineStr">
        <is>
          <t>N/A — analytical / 1D wave-attenuation model</t>
        </is>
      </c>
      <c r="O75" s="3" t="inlineStr">
        <is>
          <t>N/A</t>
        </is>
      </c>
      <c r="P75" s="3" t="inlineStr">
        <is>
          <t>One-time (no sampling — desk-based)</t>
        </is>
      </c>
      <c r="Q75" s="3" t="inlineStr">
        <is>
          <t>1D cross-shore wave-attenuation model; sensitivity analysis (water depth, vegetation density, longline density)</t>
        </is>
      </c>
      <c r="R75" s="3" t="inlineStr">
        <is>
          <t>Yes — Open Access (CC BY, MDPI / J. Marine Sci. &amp; Eng.)</t>
        </is>
      </c>
      <c r="T75" s="3" t="inlineStr">
        <is>
          <t>https://www.mdpi.com/2077-1312/11/9/1822</t>
        </is>
      </c>
      <c r="U75" s="3" t="inlineStr">
        <is>
          <t>Relevant only where coastal protection is an added benefit; empirical validation is limited, so treat outputs as indicative.</t>
        </is>
      </c>
      <c r="V75" s="3" t="inlineStr">
        <is>
          <t>Original list</t>
        </is>
      </c>
      <c r="W75" s="7" t="inlineStr">
        <is>
          <t>2 — Researcher</t>
        </is>
      </c>
      <c r="X75" s="3" t="inlineStr">
        <is>
          <t>Seaweed</t>
        </is>
      </c>
      <c r="Y75" s="3" t="inlineStr">
        <is>
          <t>Cross-cutting / Framework</t>
        </is>
      </c>
      <c r="Z75" s="3" t="inlineStr">
        <is>
          <t>Not in MEL framework</t>
        </is>
      </c>
      <c r="AA75" s="3" t="inlineStr">
        <is>
          <t>Cross-zone / global</t>
        </is>
      </c>
      <c r="AB75" s="3" t="inlineStr">
        <is>
          <t>Macrocystis</t>
        </is>
      </c>
      <c r="AC75" s="3" t="inlineStr">
        <is>
          <t>Longline (surface)</t>
        </is>
      </c>
      <c r="AD75" s="3" t="inlineStr">
        <is>
          <t>Not scale-specific</t>
        </is>
      </c>
      <c r="AE75" s="3" t="inlineStr">
        <is>
          <t>Not site-specific</t>
        </is>
      </c>
      <c r="AF75" s="3" t="inlineStr">
        <is>
          <t>Not specific</t>
        </is>
      </c>
      <c r="AG75" s="3" t="inlineStr">
        <is>
          <t>Modelling</t>
        </is>
      </c>
      <c r="AH75" s="3" t="inlineStr">
        <is>
          <t>Brown</t>
        </is>
      </c>
      <c r="AI75" s="3" t="inlineStr">
        <is>
          <t>Not depth-specific</t>
        </is>
      </c>
      <c r="AJ75" s="3" t="inlineStr">
        <is>
          <t>Exposed</t>
        </is>
      </c>
      <c r="AK75" s="16" t="inlineStr">
        <is>
          <t>This is an analytical modelling method for coastal-protection benefit rather than a field-sampling protocol. To estimate wave attenuation by a seaweed farm, apply a 1D cross-shore wave model adapted for suspended culture, supplying water depth, vegetation density and longline density as inputs, then run a sensitivity analysis across those parameters to bound the attenuation you can expect. Empirical validation is limited, so treat the outputs as indicative; relevant only where coastal protection is an additional benefit beyond Habitat &amp; Biodiversity, Water Quality and Climate Change.</t>
        </is>
      </c>
      <c r="AL75" s="17" t="inlineStr">
        <is>
          <t>Med</t>
        </is>
      </c>
      <c r="AM75" s="18" t="inlineStr">
        <is>
          <t>bodycomb_2023</t>
        </is>
      </c>
      <c r="AN75" s="19" t="n"/>
      <c r="AO75" s="19" t="n"/>
      <c r="AP75" s="19" t="n"/>
      <c r="AQ75" s="16" t="inlineStr">
        <is>
          <t>Modelling Wave Attenuation by a Kelp Farm (Coastal Protection)</t>
        </is>
      </c>
      <c r="AR75" s="16" t="inlineStr">
        <is>
          <t xml:space="preserve">Bodycomb, Roma; Pomeroy, Andrew WM; Morris, Rebecca L; </t>
        </is>
      </c>
      <c r="AS75" s="16" t="inlineStr">
        <is>
          <t>Already cited in MEL framework. Useful where coastal protection is an additional benefit beyond H&amp;B/WQ/CC.  |  [2026-10-16 monitoring-methods pass] AT (Monitoring Methods) set from the protocol's method summary (AK): Wave-attenuation model.</t>
        </is>
      </c>
      <c r="AT75" s="20" t="inlineStr">
        <is>
          <t>Wave-attenuation model</t>
        </is>
      </c>
    </row>
    <row r="76">
      <c r="A76" s="3" t="inlineStr">
        <is>
          <t>Heasman, K. G., et al.</t>
        </is>
      </c>
      <c r="B76" s="3" t="inlineStr">
        <is>
          <t>Utilisation of the site assessment energy indices for aquaculture in exposed waters: biology, technology, operations and maintenance</t>
        </is>
      </c>
      <c r="C76" s="3" t="inlineStr">
        <is>
          <t>Frontiers in Aquaculture</t>
        </is>
      </c>
      <c r="D76" s="3" t="n">
        <v>3</v>
      </c>
      <c r="E76" s="3" t="n"/>
      <c r="F76" s="3" t="n">
        <v>1427168</v>
      </c>
      <c r="G76" s="3" t="n">
        <v>2024</v>
      </c>
      <c r="H76" s="3" t="inlineStr">
        <is>
          <t>Frontiers Media SA</t>
        </is>
      </c>
      <c r="I76" s="3" t="inlineStr">
        <is>
          <t>Site-selection engineering — peripheral to MEL ecosystem-service indicators; informs Archetype 1 baseline-site characterisation.</t>
        </is>
      </c>
      <c r="J76" s="3" t="inlineStr">
        <is>
          <t>Reference / methodological</t>
        </is>
      </c>
      <c r="K76" s="3" t="inlineStr">
        <is>
          <t>Not a direct ecosystem-service indicator protocol; informs farm-design and exposure classification.</t>
        </is>
      </c>
      <c r="L76" s="3" t="inlineStr">
        <is>
          <t>No.</t>
        </is>
      </c>
      <c r="M76" s="3" t="inlineStr">
        <is>
          <t>Yes — for site engineers.</t>
        </is>
      </c>
      <c r="N76" s="3" t="inlineStr">
        <is>
          <t>N/A — site-assessment energy-index calculation framework (SEE and EV indices)</t>
        </is>
      </c>
      <c r="O76" s="3" t="inlineStr">
        <is>
          <t>N/A</t>
        </is>
      </c>
      <c r="P76" s="3" t="inlineStr">
        <is>
          <t>One-time (no sampling — desk-based)</t>
        </is>
      </c>
      <c r="Q76" s="3" t="inlineStr">
        <is>
          <t>Specific Exposure Energy (SEE) and Exposure Velocity (EV) index calculations</t>
        </is>
      </c>
      <c r="R76" s="3" t="inlineStr">
        <is>
          <t>Unknown</t>
        </is>
      </c>
      <c r="T76" s="3" t="inlineStr">
        <is>
          <t>https://doi.org/10.3389/faquc.2024.1427168</t>
        </is>
      </c>
      <c r="U76" s="3" t="inlineStr"/>
      <c r="V76" s="3" t="inlineStr">
        <is>
          <t>Original list</t>
        </is>
      </c>
      <c r="W76" s="8" t="inlineStr">
        <is>
          <t>1 — Reference</t>
        </is>
      </c>
      <c r="X76" s="3" t="inlineStr">
        <is>
          <t>Not specific</t>
        </is>
      </c>
      <c r="Y76" s="3" t="inlineStr">
        <is>
          <t>Cross-cutting / Framework</t>
        </is>
      </c>
      <c r="Z76" s="3" t="inlineStr">
        <is>
          <t>Not in MEL framework</t>
        </is>
      </c>
      <c r="AA76" s="3" t="inlineStr">
        <is>
          <t>Cross-zone / global</t>
        </is>
      </c>
      <c r="AB76" s="3" t="inlineStr">
        <is>
          <t>Not species-specific</t>
        </is>
      </c>
      <c r="AC76" s="3" t="inlineStr">
        <is>
          <t>Not gear-specific</t>
        </is>
      </c>
      <c r="AD76" s="3" t="inlineStr">
        <is>
          <t>Not scale-specific</t>
        </is>
      </c>
      <c r="AE76" s="3" t="inlineStr">
        <is>
          <t>Not site-specific</t>
        </is>
      </c>
      <c r="AF76" s="3" t="inlineStr">
        <is>
          <t>Not specific</t>
        </is>
      </c>
      <c r="AG76" s="3" t="inlineStr">
        <is>
          <t>Modelling</t>
        </is>
      </c>
      <c r="AH76" s="3" t="inlineStr">
        <is>
          <t>Not algae-specific</t>
        </is>
      </c>
      <c r="AI76" s="3" t="inlineStr">
        <is>
          <t>Not depth-specific</t>
        </is>
      </c>
      <c r="AJ76" s="3" t="inlineStr">
        <is>
          <t>Exposed</t>
        </is>
      </c>
      <c r="AK76" s="16" t="inlineStr">
        <is>
          <t>This is a site-assessment engineering reference, not an ecosystem-service protocol. It provides Specific Exposure Energy (SEE) and Exposure Velocity (EV) index calculations for classifying a site's wave-and-current exposure. Use it to characterise the baseline exposure of a candidate farm site, which helps explain why monitoring results vary between exposed and sheltered farms.</t>
        </is>
      </c>
      <c r="AL76" s="17" t="inlineStr">
        <is>
          <t>Ref</t>
        </is>
      </c>
      <c r="AM76" s="18" t="inlineStr">
        <is>
          <t>heasman_2024</t>
        </is>
      </c>
      <c r="AN76" s="19" t="n"/>
      <c r="AO76" s="19" t="n"/>
      <c r="AP76" s="19" t="n"/>
      <c r="AQ76" s="16" t="inlineStr">
        <is>
          <t>Site-Exposure Indices for Farm Siting (Engineering Reference)</t>
        </is>
      </c>
      <c r="AR76" s="16" t="inlineStr">
        <is>
          <t xml:space="preserve">Heasman, Kevin G; Sclodnick, Tyler; Goseberg, Nils; Scott, Nicholas; Chambers, Michael; Dewhurst, Tobias; Rickerich, Samuel; Føre, Heidi Moe; Buck, Bela H; </t>
        </is>
      </c>
      <c r="AS76" s="16" t="inlineStr">
        <is>
          <t>Engineering-side companion to monitoring; helps explain why Archetype-dependent results vary.  |  [2026-10-16 monitoring-methods pass] AT (Monitoring Methods) set from the protocol's method summary (AK): Site exposure characterisation.</t>
        </is>
      </c>
      <c r="AT76" s="20" t="inlineStr">
        <is>
          <t>Site exposure characterisation</t>
        </is>
      </c>
    </row>
    <row r="77">
      <c r="A77" s="3" t="inlineStr">
        <is>
          <t>Zhang, J., et al.</t>
        </is>
      </c>
      <c r="B77" s="3" t="inlineStr">
        <is>
          <t>Sediment-focused environmental impact of long-term large-scale marine bivalve and seaweed farming in Sungo Bay, China</t>
        </is>
      </c>
      <c r="C77" s="3" t="inlineStr">
        <is>
          <t>Aquaculture</t>
        </is>
      </c>
      <c r="D77" s="3" t="n">
        <v>528</v>
      </c>
      <c r="E77" s="3" t="n"/>
      <c r="F77" s="3" t="n">
        <v>735561</v>
      </c>
      <c r="G77" s="3" t="n">
        <v>2020</v>
      </c>
      <c r="H77" s="3" t="inlineStr">
        <is>
          <t>Elsevier</t>
        </is>
      </c>
      <c r="I77" s="3" t="inlineStr">
        <is>
          <t>Maps to H&amp;B 1.3.1 — Benthic infauna. Van Veen grab samples sieved at 1 mm, infauna identified to species in four seasons at ten stations (bivalve, polyculture, kelp and fish-cage areas). Match: Exact.</t>
        </is>
      </c>
      <c r="J77" s="3" t="inlineStr">
        <is>
          <t>Protocol (empirical, fully specified — MOM system applied to a bivalve + seaweed co-culture context)</t>
        </is>
      </c>
      <c r="K77" s="3" t="inlineStr">
        <is>
          <t>Confirmed standalone (full read). 76 grab samples (at least two per station per season) gave 109 species with abundance and Shannon diversity, compared across seasons and with 2006 — robust for H&amp;B 1.3.1 (Exact).</t>
        </is>
      </c>
      <c r="L77" s="3" t="inlineStr">
        <is>
          <t>Partial — grab sampling, sieving at 1 mm and checking for animals are farmer-doable; identifying the infauna to species needs a partner lab.</t>
        </is>
      </c>
      <c r="M77" s="3" t="inlineStr">
        <is>
          <t>Yes — MOM-B protocol is internationally standardised (Norwegian NS9410 lineage); the paper documents adaptation to seaweed + bivalve context.</t>
        </is>
      </c>
      <c r="N77" s="3" t="inlineStr">
        <is>
          <t>Modified Van Veen grab (250 cm²); 1 mm sieve; 70% ethanol; partner-lab identification to species.</t>
        </is>
      </c>
      <c r="O77" s="3" t="inlineStr">
        <is>
          <t>Medium — ~$8.6K yr 1: $1.77K start-up (Petite Ponar grab $1.57K [list]; grab line $50 [est]; 1 mm sieve $150 [est]) + $6.78K/yr (infauna sort + ID 16 × $414 [lab fee]; preservative + jars $150 [est])</t>
        </is>
      </c>
      <c r="P77" s="3" t="inlineStr">
        <is>
          <t>Year-long study (12 months) — four seasonal surveys, Jul 2017–Apr 2018 (compared with 2006–2007)</t>
        </is>
      </c>
      <c r="Q77" s="3" t="inlineStr">
        <is>
          <t>Species number, abundance and Shannon-Wiener diversity; one-way ANOVA between seasons with Tukey HSD or Dunnett post hoc; independent-samples t-test 2017 vs 2006 (SPSS 16).</t>
        </is>
      </c>
      <c r="R77" s="3" t="inlineStr">
        <is>
          <t>No — Paywalled at Elsevier (Aquaculture)</t>
        </is>
      </c>
      <c r="S77" t="inlineStr">
        <is>
          <t>Full PDF</t>
        </is>
      </c>
      <c r="T77" s="3" t="inlineStr">
        <is>
          <t>Paywall: https://www.sciencedirect.com/science/article/abs/pii/S0044848619325700 ; DOI likely 10.1016/j.aquaculture.2020.735210 or similar (Zhang et al. 2020)</t>
        </is>
      </c>
      <c r="U77" s="3" t="inlineStr">
        <is>
          <t>Notable for applying the internationally-recognised MOM system beyond finfish to seaweed+bivalve co-culture, with a decade-scale record.</t>
        </is>
      </c>
      <c r="V77" s="3" t="inlineStr">
        <is>
          <t>Original list</t>
        </is>
      </c>
      <c r="W77" s="9" t="inlineStr">
        <is>
          <t>3 — Partnership</t>
        </is>
      </c>
      <c r="X77" s="3" t="inlineStr">
        <is>
          <t>Multi-trophic (IMTA)</t>
        </is>
      </c>
      <c r="Y77" s="3" t="inlineStr">
        <is>
          <t>Habitat &amp; Biodiversity</t>
        </is>
      </c>
      <c r="Z77" s="3" t="inlineStr">
        <is>
          <t>H&amp;B 1.3.1 — Benthic infauna</t>
        </is>
      </c>
      <c r="AA77" s="3" t="inlineStr">
        <is>
          <t>Temperate Pacific</t>
        </is>
      </c>
      <c r="AB77" s="3" t="inlineStr">
        <is>
          <t>Pacific oyster (Crassostrea / Magallana gigas), Scallop (Pecten / Argopecten / Placopecten spp.), Saccharina (sugar kelp)</t>
        </is>
      </c>
      <c r="AC77" s="3" t="inlineStr">
        <is>
          <t>Longline (surface)</t>
        </is>
      </c>
      <c r="AD77" s="3" t="inlineStr">
        <is>
          <t>Large (&gt;20 ha)</t>
        </is>
      </c>
      <c r="AE77" s="3" t="inlineStr">
        <is>
          <t>Variable / seasonal</t>
        </is>
      </c>
      <c r="AF77" s="3" t="inlineStr">
        <is>
          <t>Three-trophic IMTA</t>
        </is>
      </c>
      <c r="AG77" s="3" t="inlineStr">
        <is>
          <t>Sediment sampling</t>
        </is>
      </c>
      <c r="AH77" s="3" t="inlineStr">
        <is>
          <t>Brown</t>
        </is>
      </c>
      <c r="AI77" s="3" t="inlineStr">
        <is>
          <t>Shallow nearshore (2–10 m)</t>
        </is>
      </c>
      <c r="AJ77" s="3" t="inlineStr">
        <is>
          <t>Sheltered</t>
        </is>
      </c>
      <c r="AK77" s="16" t="inlineStr">
        <is>
          <t>To check the bottom-living animals (infauna) under your farm, take [2] sediment grabs (or cores) at each station within and at the edge of the farm, plus a no-culture station for comparison, once per season. Sieve each sample on a 1 mm mesh, tip what remains into a white tray to see whether animals are present (none at all marks unacceptable conditions), then preserve them in 70% ethanol for a partner lab to identify and count. Report species number, abundance and Shannon diversity per station alongside the sediment condition score. Infauna respond to the habitat as well as the farm, so keep stations fixed between years and compare like with like.</t>
        </is>
      </c>
      <c r="AL77" s="17" t="inlineStr">
        <is>
          <t>High</t>
        </is>
      </c>
      <c r="AM77" s="18" t="inlineStr">
        <is>
          <t>zhang_2020-b_hb131</t>
        </is>
      </c>
      <c r="AN77" s="19" t="n"/>
      <c r="AO77" s="19" t="n"/>
      <c r="AP77" s="19" t="n"/>
      <c r="AQ77" s="16" t="inlineStr">
        <is>
          <t>Benthic-infauna sampling — Multi-trophic (IMTA)</t>
        </is>
      </c>
      <c r="AR77" s="16" t="inlineStr">
        <is>
          <t xml:space="preserve">Zhang, Jihong; Hansen, Pia Kupka; Wu, Wenguang; Liu, Yi; Zhao, Yunxia; Li, Yunchen; </t>
        </is>
      </c>
      <c r="AS77" s="16" t="inlineStr">
        <is>
          <t>Particularly valuable because (a) it documents the MOM system being applied beyond finfish to seaweed + bivalve co-culture, providing a standardised internationally-recognisable benthic protocol; (b) it gives a 10-year-scale "best conditions" sediment finding under intensive Chinese co-culture, which is the longest time series in the original list. Use as the benchmark protocol for long-running benthic monitoring at any seaweed farm, and pair with Yokoyama 2007 for the underlying bioindicator-threshold logic. | v15 Rule 12 cross-database refinement (bivalve CSV): Confirmed IMTA (C. gigas + Chlamys farreri scallop + Laminaria/Saccharina). AB expanded to include all three species per fetched abstract. Companion to Zhang 2009 Sungo Bay MOM application (now row 95 = Stage 1 #12 new row).  |  Migration (one-indicator-per-row, 2026-09-04): split from zhang_2020-b -&gt; {zhang_2020-b_hb131, zhang_2020-b_hb141}. This row = zhang_2020-b_hb131 (H&amp;B 1.3.1 — Benthic infauna). Candidate: AK/N/Q blanked and I/K/W/O/P provisional; per-indicator method text, tier/cost/effort and match adjudication to be finalised at generation. Combined parent I/AK/N/Q retained in v37 (pre-split).  |  [2026-10-13 method-summary pass] I, K: candidate-split text replaced after full read (prior: 'Maps to H&amp;B 1.3.1 — Benthic infauna. Candidate split…' / 'Standalone-candidate…'). S: 'Abstract + DOI metadata' → 'Full PDF'. AI: 'Coastal (10–30 m)' → 'Shallow nearshore (2–10 m)' (bay mean depth 7.5 m). AF: 'Seaweed + shellfish' → 'Three-trophic IMTA' (stations now include the fish-cage area). P: 'Multi-year monitoring (&gt; 1 year)' → Year-long (sampling Jul 2017–Apr 2018). N, Q: blank → filled. L: 'Partial — sediment grab sampling is practitioner-feasible; pH and Eh … AVS needs lab partnership…' → infauna-specific (no AVS in the source). O: 'Medium — grab $1–3K + Eh/pH probes $500–1,500 + lab partner for AVS' → Medium ~$8.6K (Rule 15: Mol H&amp;B 1.3.1 within + edge × 4 seasonal visits × 2 samples = 16 lab-sorted grabs). AK written; AL High (unchanged).  |  [2026-10-16 monitoring-methods pass] AT (Monitoring Methods) set from the protocol's method summary (AK): Benthic infauna community.</t>
        </is>
      </c>
      <c r="AT77" s="20" t="inlineStr">
        <is>
          <t>Benthic infauna community</t>
        </is>
      </c>
    </row>
    <row r="78">
      <c r="A78" s="20" t="inlineStr">
        <is>
          <t>Zhang, J., et al.</t>
        </is>
      </c>
      <c r="B78" s="20" t="inlineStr">
        <is>
          <t>Sediment-focused environmental impact of long-term large-scale marine bivalve and seaweed farming in Sungo Bay, China</t>
        </is>
      </c>
      <c r="C78" s="20" t="inlineStr">
        <is>
          <t>Aquaculture</t>
        </is>
      </c>
      <c r="D78" s="20" t="n">
        <v>528</v>
      </c>
      <c r="E78" s="20" t="n"/>
      <c r="F78" s="20" t="n">
        <v>735561</v>
      </c>
      <c r="G78" s="20" t="n">
        <v>2020</v>
      </c>
      <c r="H78" s="20" t="inlineStr">
        <is>
          <t>Elsevier</t>
        </is>
      </c>
      <c r="I78" s="20" t="inlineStr">
        <is>
          <t>Maps to H&amp;B 1.4.1 — Sediment. MOM-B Groups 2 and 3: pH and redox potential at 2 cm depth plus sensory scores on Van Veen grabs, combined into a sediment condition class at ten stations in four seasons. Match: Exact.</t>
        </is>
      </c>
      <c r="J78" s="20" t="inlineStr">
        <is>
          <t>Protocol (empirical, fully specified — MOM system applied to a bivalve + seaweed co-culture context)</t>
        </is>
      </c>
      <c r="K78" s="20" t="inlineStr">
        <is>
          <t>Confirmed standalone (full read). Standardised MOM-B scoring of pH/Eh and sensory parameters placed all stations in condition 1, unchanged from 2006–2007 — robust for H&amp;B 1.4.1 (Exact; no dedicated non-farm reference station in this round).</t>
        </is>
      </c>
      <c r="L78" s="20" t="inlineStr">
        <is>
          <t>Yes — portable pH/redox readings and sensory scoring of grab samples are field methods that trained farm staff can run; no lab step.</t>
        </is>
      </c>
      <c r="M78" s="20" t="inlineStr">
        <is>
          <t>Yes — MOM-B protocol is internationally standardised (Norwegian NS9410 lineage); the paper documents adaptation to seaweed + bivalve context.</t>
        </is>
      </c>
      <c r="N78" s="20" t="inlineStr">
        <is>
          <t>Modified Van Veen grab (250 cm²); portable pH meter and redox (Pt) electrode; MOM-B sensory scoring sheet.</t>
        </is>
      </c>
      <c r="O78" s="20" t="inlineStr">
        <is>
          <t>Medium — ~$2.7K yr 1: $2.64K start-up (Petite Ponar grab $1.57K [list]; grab line $50 [est]; pH/ORP meter $760 [list]; ORP electrode $220 [list]; slate + datasheets $40 [est]) + $50/yr (calibration supplies $50 [est])</t>
        </is>
      </c>
      <c r="P78" s="20" t="inlineStr">
        <is>
          <t>Year-long study (12 months) — four seasonal surveys, Jul 2017–Apr 2018 (compared with 2006–2007)</t>
        </is>
      </c>
      <c r="Q78" s="20" t="inlineStr">
        <is>
          <t>MOM-B scoring (NS 9410): pH–Eh diagram scores, sensory scores, combined condition 1–4; one-way ANOVA (seasons) and t-test (2017 vs 2006) on pH and Eh (SPSS 16).</t>
        </is>
      </c>
      <c r="R78" s="20" t="inlineStr">
        <is>
          <t>No — Paywalled at Elsevier (Aquaculture)</t>
        </is>
      </c>
      <c r="S78" s="21" t="inlineStr">
        <is>
          <t>Full PDF</t>
        </is>
      </c>
      <c r="T78" s="20" t="inlineStr">
        <is>
          <t>Paywall: https://www.sciencedirect.com/science/article/abs/pii/S0044848619325700 ; DOI likely 10.1016/j.aquaculture.2020.735210 or similar (Zhang et al. 2020)</t>
        </is>
      </c>
      <c r="U78" s="20" t="inlineStr">
        <is>
          <t>Notable for applying the internationally-recognised MOM system beyond finfish to seaweed+bivalve co-culture, with a decade-scale record.</t>
        </is>
      </c>
      <c r="V78" s="20" t="inlineStr">
        <is>
          <t>Original list</t>
        </is>
      </c>
      <c r="W78" s="10" t="inlineStr">
        <is>
          <t>4 — Practitioner</t>
        </is>
      </c>
      <c r="X78" s="20" t="inlineStr">
        <is>
          <t>Multi-trophic (IMTA)</t>
        </is>
      </c>
      <c r="Y78" s="20" t="inlineStr">
        <is>
          <t>Habitat &amp; Biodiversity</t>
        </is>
      </c>
      <c r="Z78" s="20" t="inlineStr">
        <is>
          <t>H&amp;B 1.4.1 — Sediment</t>
        </is>
      </c>
      <c r="AA78" s="20" t="inlineStr">
        <is>
          <t>Temperate Pacific</t>
        </is>
      </c>
      <c r="AB78" s="20" t="inlineStr">
        <is>
          <t>Pacific oyster (Crassostrea / Magallana gigas), Scallop (Pecten / Argopecten / Placopecten spp.), Saccharina (sugar kelp)</t>
        </is>
      </c>
      <c r="AC78" s="20" t="inlineStr">
        <is>
          <t>Longline (surface)</t>
        </is>
      </c>
      <c r="AD78" s="20" t="inlineStr">
        <is>
          <t>Large (&gt;20 ha)</t>
        </is>
      </c>
      <c r="AE78" s="20" t="inlineStr">
        <is>
          <t>Variable / seasonal</t>
        </is>
      </c>
      <c r="AF78" s="20" t="inlineStr">
        <is>
          <t>Three-trophic IMTA</t>
        </is>
      </c>
      <c r="AG78" s="20" t="inlineStr">
        <is>
          <t>Sediment sampling</t>
        </is>
      </c>
      <c r="AH78" s="20" t="inlineStr">
        <is>
          <t>Brown</t>
        </is>
      </c>
      <c r="AI78" s="20" t="inlineStr">
        <is>
          <t>Shallow nearshore (2–10 m)</t>
        </is>
      </c>
      <c r="AJ78" s="20" t="inlineStr">
        <is>
          <t>Sheltered</t>
        </is>
      </c>
      <c r="AK78" s="16" t="inlineStr">
        <is>
          <t>To score the condition of the sediment under your farm, take [2] grabs (or cores) at stations within and at the edge of the farm and at [2] nearby non-farm sites, twice a year. In each sample measure pH and redox potential with a portable meter about 2 cm below the surface, then score the sensory signs — gas bubbles, colour, smell, consistency, grab fullness and thickness of any sludge layer — on the standard MOM-B sheet. Combine the pH/redox and sensory scores into a condition class from 1 (best) to 4 (unacceptable), with the presence of animals in the sieved sample as the pass/fail check. The scores were designed for fish-farm waste, so sediment colour and consistency may read differently under shellfish and seaweed and may need local adjustment.</t>
        </is>
      </c>
      <c r="AL78" s="17" t="inlineStr">
        <is>
          <t>High</t>
        </is>
      </c>
      <c r="AM78" s="18" t="inlineStr">
        <is>
          <t>zhang_2020-b_hb141</t>
        </is>
      </c>
      <c r="AN78" s="19" t="n"/>
      <c r="AO78" s="19" t="n"/>
      <c r="AP78" s="19" t="n"/>
      <c r="AQ78" s="16" t="inlineStr">
        <is>
          <t>Sediment-condition monitoring — Multi-trophic (IMTA)</t>
        </is>
      </c>
      <c r="AR78" s="16" t="inlineStr">
        <is>
          <t xml:space="preserve">Zhang, Jihong; Hansen, Pia Kupka; Wu, Wenguang; Liu, Yi; Zhao, Yunxia; Li, Yunchen; </t>
        </is>
      </c>
      <c r="AS78" s="16" t="inlineStr">
        <is>
          <t>Particularly valuable because (a) it documents the MOM system being applied beyond finfish to seaweed + bivalve co-culture, providing a standardised internationally-recognisable benthic protocol; (b) it gives a 10-year-scale "best conditions" sediment finding under intensive Chinese co-culture, which is the longest time series in the original list. Use as the benchmark protocol for long-running benthic monitoring at any seaweed farm, and pair with Yokoyama 2007 for the underlying bioindicator-threshold logic. | v15 Rule 12 cross-database refinement (bivalve CSV): Confirmed IMTA (C. gigas + Chlamys farreri scallop + Laminaria/Saccharina). AB expanded to include all three species per fetched abstract. Companion to Zhang 2009 Sungo Bay MOM application (now row 95 = Stage 1 #12 new row).  |  Migration (one-indicator-per-row, 2026-09-04): split from zhang_2020-b -&gt; {zhang_2020-b_hb131, zhang_2020-b_hb141}. This row = zhang_2020-b_hb141 (H&amp;B 1.4.1 — Sediment). Candidate: AK/N/Q blanked and I/K/W/O/P provisional; per-indicator method text, tier/cost/effort and match adjudication to be finalised at generation. Combined parent I/AK/N/Q retained in v37 (pre-split).  |  [2026-10-13 method-summary pass] I, K: candidate-split text replaced after full read (prior: 'Maps to H&amp;B 1.4.1 — Sediment. Candidate split…' / 'Standalone-candidate…'). S: 'Abstract + DOI metadata' → 'Full PDF'. AI: 'Coastal (10–30 m)' → 'Shallow nearshore (2–10 m)' (bay mean depth 7.5 m). AF: 'Seaweed + shellfish' → 'Three-trophic IMTA' (stations now include the fish-cage area). P: 'Multi-year monitoring (&gt; 1 year)' → Year-long (sampling Jul 2017–Apr 2018). N, Q: blank → filled. L: '…AVS needs lab partnership…' → Yes (no AVS in the source; field pH/Eh and sensory scoring only). W: '3 — Partnership' → '4 — Practitioner' (Rule 14). O: 'Medium — grab $1–3K + Eh/pH probes $500–1,500 + lab partner for AVS' → Medium ~$2.7K, same basis as zhang_2009_hb141 (Mol H&amp;B 1.4.1: 2 farm strata + 2 refs, biannual; gear only). AK written; AL High (unchanged).  |  [2026-10-16 monitoring-methods pass] AT (Monitoring Methods) set from the protocol's method summary (AK): pH, Sediment chemistry (OC / TN / redox / AVS), MOM-B condition survey.</t>
        </is>
      </c>
      <c r="AT78" s="20" t="inlineStr">
        <is>
          <t>pH, Sediment chemistry (OC / TN / redox / AVS), MOM-B condition survey</t>
        </is>
      </c>
    </row>
    <row r="79">
      <c r="A79" s="3" t="inlineStr">
        <is>
          <t>St-Gelais, A. T., et al.</t>
        </is>
      </c>
      <c r="B79" s="3" t="inlineStr">
        <is>
          <t>Engineering a low-cost kelp aquaculture system for community-scale seaweed farming at nearshore exposed sites via user-focused design process</t>
        </is>
      </c>
      <c r="C79" s="3" t="inlineStr">
        <is>
          <t>Frontiers in Sustainable Food Systems</t>
        </is>
      </c>
      <c r="D79" s="3" t="n">
        <v>6</v>
      </c>
      <c r="E79" s="3" t="n"/>
      <c r="F79" s="3" t="n">
        <v>848035</v>
      </c>
      <c r="G79" s="3" t="n">
        <v>2022</v>
      </c>
      <c r="H79" s="3" t="inlineStr">
        <is>
          <t>Frontiers Media SA</t>
        </is>
      </c>
      <c r="I79" s="3" t="inlineStr">
        <is>
          <t>Cross-cutting — engineering paper about gear and economics, not ecosystem-service indicators.</t>
        </is>
      </c>
      <c r="J79" s="3" t="inlineStr">
        <is>
          <t>Reference (engineering / economic case study)</t>
        </is>
      </c>
      <c r="K79" s="3" t="inlineStr">
        <is>
          <t>Not an ecosystem-service indicator paper; describes a small drag-embedment-anchor + subsurface-flotation low-cost system tested over 3 years in Maine.</t>
        </is>
      </c>
      <c r="L79" s="3" t="inlineStr">
        <is>
          <t>Yes for adoption (system explicitly designed to be inexpensive and mobile).</t>
        </is>
      </c>
      <c r="M79" s="3" t="inlineStr">
        <is>
          <t>Yes for engineers.</t>
        </is>
      </c>
      <c r="N79" s="3" t="inlineStr">
        <is>
          <t>Kelp farm gear (drag-embedment anchors, subsurface flotation, longlines, buoys)</t>
        </is>
      </c>
      <c r="O79" s="3" t="inlineStr">
        <is>
          <t>Low–Medium — gear costs detailed in paper</t>
        </is>
      </c>
      <c r="P79" s="3" t="inlineStr">
        <is>
          <t>Multi-year monitoring (&gt; 1 year)</t>
        </is>
      </c>
      <c r="Q79" s="3" t="inlineStr">
        <is>
          <t>N/A — engineering performance evaluation</t>
        </is>
      </c>
      <c r="R79" s="3" t="inlineStr">
        <is>
          <t>Yes — Open Access (Frontiers in Sustainable Food Systems)</t>
        </is>
      </c>
      <c r="T79" s="3" t="inlineStr">
        <is>
          <t>https://www.frontiersin.org/articles/10.3389/fsufs.2022.848035</t>
        </is>
      </c>
      <c r="U79" s="3" t="inlineStr">
        <is>
          <t>A technical and cost baseline for small farms, not an ecosystem-service method.</t>
        </is>
      </c>
      <c r="V79" s="3" t="inlineStr">
        <is>
          <t>Original list</t>
        </is>
      </c>
      <c r="W79" s="7" t="inlineStr">
        <is>
          <t>2 — Researcher</t>
        </is>
      </c>
      <c r="X79" s="3" t="inlineStr">
        <is>
          <t>Seaweed</t>
        </is>
      </c>
      <c r="Y79" s="3" t="inlineStr">
        <is>
          <t>Cross-cutting / Framework</t>
        </is>
      </c>
      <c r="Z79" s="3" t="inlineStr">
        <is>
          <t>Not in MEL framework</t>
        </is>
      </c>
      <c r="AA79" s="3" t="inlineStr">
        <is>
          <t>Temperate Atlantic</t>
        </is>
      </c>
      <c r="AB79" s="3" t="inlineStr">
        <is>
          <t>Saccharina (sugar kelp)</t>
        </is>
      </c>
      <c r="AC79" s="3" t="inlineStr">
        <is>
          <t>Longline (subsurface)</t>
        </is>
      </c>
      <c r="AD79" s="3" t="inlineStr">
        <is>
          <t>Small (&lt;1 ha)</t>
        </is>
      </c>
      <c r="AE79" s="3" t="inlineStr">
        <is>
          <t>Not site-specific</t>
        </is>
      </c>
      <c r="AF79" s="3" t="inlineStr">
        <is>
          <t>Monoculture</t>
        </is>
      </c>
      <c r="AG79" s="3" t="inlineStr">
        <is>
          <t>Mixed methods</t>
        </is>
      </c>
      <c r="AH79" s="3" t="inlineStr">
        <is>
          <t>Brown</t>
        </is>
      </c>
      <c r="AI79" s="3" t="inlineStr">
        <is>
          <t>Coastal (10–30 m)</t>
        </is>
      </c>
      <c r="AJ79" s="3" t="inlineStr">
        <is>
          <t>Exposed</t>
        </is>
      </c>
      <c r="AK79" s="16" t="inlineStr">
        <is>
          <t>This is an engineering and economics case study, not an indicator-measurement method. It describes a low-cost small-farm kelp system - drag-embedment anchors with subsurface flotation - tested over three years in the North Atlantic. Use it for the technical and cost baseline of small exposed farms, not for ecosystem-service monitoring.</t>
        </is>
      </c>
      <c r="AL79" s="17" t="inlineStr">
        <is>
          <t>Ref</t>
        </is>
      </c>
      <c r="AM79" s="18" t="inlineStr">
        <is>
          <t>stgelais_2022</t>
        </is>
      </c>
      <c r="AN79" s="19" t="n"/>
      <c r="AO79" s="19" t="n"/>
      <c r="AP79" s="19" t="n"/>
      <c r="AQ79" s="16" t="inlineStr">
        <is>
          <t>Low-Cost Community-Scale Kelp System (Engineering Reference)</t>
        </is>
      </c>
      <c r="AR79" s="16" t="inlineStr">
        <is>
          <t xml:space="preserve">St-Gelais, Adam T; Fredriksson, David W; Dewhurst, Tobias; Miller-Hope, Zachary S; Costa-Pierce, Barry Antonio; Johndrow, Kathryn; </t>
        </is>
      </c>
      <c r="AS79" s="16" t="inlineStr">
        <is>
          <t>Not an MEL indicator paper, but useful for understanding the technical baseline of small-scale Atlantic farms (e.g., the kind of farms Schutt 2023 and Heasman 2024 monitored).</t>
        </is>
      </c>
      <c r="AT79" s="20" t="n"/>
    </row>
    <row r="80">
      <c r="A80" s="3" t="inlineStr">
        <is>
          <t>Tonk, L., et al.</t>
        </is>
      </c>
      <c r="B80" s="3" t="inlineStr">
        <is>
          <t>Development of a framework and toolbox for measuring and evaluating ecosystem interactions of seaweed aquaculture</t>
        </is>
      </c>
      <c r="C80" s="3" t="n"/>
      <c r="D80" s="3" t="n"/>
      <c r="E80" s="3" t="n"/>
      <c r="F80" s="3" t="n"/>
      <c r="G80" s="3" t="n">
        <v>2021</v>
      </c>
      <c r="H80" s="3" t="inlineStr">
        <is>
          <t>Wageningen Marine Research Yerseke, The Netherlands</t>
        </is>
      </c>
      <c r="I80" s="3" t="inlineStr">
        <is>
          <t>Cross-cutting framework — Wageningen Marine Research report. Covers all H&amp;B / WQ / Climate Change indicators conceptually.</t>
        </is>
      </c>
      <c r="J80" s="3" t="inlineStr">
        <is>
          <t>Reference (framework + toolbox document)</t>
        </is>
      </c>
      <c r="K80" s="3" t="inlineStr">
        <is>
          <t>Adequate as a framework / decision-support tool — sister document to the TNC framework being assessed here. Catalogues indicators and methods rather than prescribing them.</t>
        </is>
      </c>
      <c r="L80" s="3" t="inlineStr">
        <is>
          <t>No.</t>
        </is>
      </c>
      <c r="M80" s="3" t="inlineStr">
        <is>
          <t>Yes — useful for designing monitoring programmes.</t>
        </is>
      </c>
      <c r="N80" s="3" t="inlineStr">
        <is>
          <t>N/A — framework / decision-support document</t>
        </is>
      </c>
      <c r="O80" s="3" t="inlineStr">
        <is>
          <t>N/A</t>
        </is>
      </c>
      <c r="P80" s="3" t="inlineStr">
        <is>
          <t>One-time (no sampling — desk-based)</t>
        </is>
      </c>
      <c r="Q80" s="3" t="inlineStr">
        <is>
          <t>N/A — framework document</t>
        </is>
      </c>
      <c r="R80" s="3" t="inlineStr">
        <is>
          <t>Yes — Open Access via Wageningen repository</t>
        </is>
      </c>
      <c r="T80" s="3" t="inlineStr">
        <is>
          <t>https://research.wur.nl/en/publications/development-of-a-framework-and-toolbox-for-measuring-and-evaluati ; DOI 10.18174/553741</t>
        </is>
      </c>
      <c r="U80" s="3" t="inlineStr">
        <is>
          <t>Read alongside the TNC framework when working in a European context.</t>
        </is>
      </c>
      <c r="V80" s="3" t="inlineStr">
        <is>
          <t>Original list</t>
        </is>
      </c>
      <c r="W80" s="7" t="inlineStr">
        <is>
          <t>2 — Researcher</t>
        </is>
      </c>
      <c r="X80" s="3" t="inlineStr">
        <is>
          <t>Seaweed</t>
        </is>
      </c>
      <c r="Y80" s="3" t="inlineStr">
        <is>
          <t>Cross-cutting / Framework</t>
        </is>
      </c>
      <c r="Z80" s="3" t="inlineStr">
        <is>
          <t>Cross-cutting / framework</t>
        </is>
      </c>
      <c r="AA80" s="3" t="inlineStr">
        <is>
          <t>Cross-zone / global</t>
        </is>
      </c>
      <c r="AB80" s="3" t="inlineStr">
        <is>
          <t>Not species-specific</t>
        </is>
      </c>
      <c r="AC80" s="3" t="inlineStr">
        <is>
          <t>Not gear-specific</t>
        </is>
      </c>
      <c r="AD80" s="3" t="inlineStr">
        <is>
          <t>Not scale-specific</t>
        </is>
      </c>
      <c r="AE80" s="3" t="inlineStr">
        <is>
          <t>Not site-specific</t>
        </is>
      </c>
      <c r="AF80" s="3" t="inlineStr">
        <is>
          <t>Not specific</t>
        </is>
      </c>
      <c r="AG80" s="3" t="inlineStr">
        <is>
          <t>Mixed methods</t>
        </is>
      </c>
      <c r="AH80" s="3" t="inlineStr">
        <is>
          <t>Not algae-specific</t>
        </is>
      </c>
      <c r="AI80" s="3" t="inlineStr">
        <is>
          <t>Not depth-specific</t>
        </is>
      </c>
      <c r="AJ80" s="3" t="inlineStr">
        <is>
          <t>Not exposure-specific</t>
        </is>
      </c>
      <c r="AK80" s="16" t="inlineStr">
        <is>
          <t>This is a framework and decision-support document - a European counterpart to the TNC MEL framework - rather than a sampling protocol. It catalogues indicators and candidate methods for habitat, water-quality and climate monitoring rather than prescribing procedures. Read it alongside the TNC framework when implementing MEL in a European context to cross-check indicator and method choices.</t>
        </is>
      </c>
      <c r="AL80" s="17" t="inlineStr">
        <is>
          <t>Ref</t>
        </is>
      </c>
      <c r="AM80" s="18" t="inlineStr">
        <is>
          <t>tonk_2021</t>
        </is>
      </c>
      <c r="AN80" s="19" t="n"/>
      <c r="AO80" s="19" t="n"/>
      <c r="AP80" s="19" t="n"/>
      <c r="AQ80" s="16" t="inlineStr">
        <is>
          <t>European Framework for Seaweed Ecosystem-Service Evaluation (Reference)</t>
        </is>
      </c>
      <c r="AR80" s="16" t="inlineStr">
        <is>
          <t xml:space="preserve">Tonk, L; Jansen, HM; Poelman, M; Nauta, RW; Jak, RG; Tamis, JE; Jongbloed, RH; Tonk, L; Jansen, HM; Poelman, M; </t>
        </is>
      </c>
      <c r="AS80" s="16" t="inlineStr">
        <is>
          <t>European counterpart to the TNC MEL framework. Worth reading side-by-side when implementing the TNC framework in a European context.</t>
        </is>
      </c>
      <c r="AT80" s="20" t="n"/>
    </row>
    <row r="81">
      <c r="A81" s="4" t="inlineStr">
        <is>
          <t>Corrigan, S., et al.</t>
        </is>
      </c>
      <c r="B81" s="4" t="inlineStr">
        <is>
          <t>Development and Diversity of Epibiont Assemblages on Cultivated Sugar Kelp (Saccharina latissima) in Relation to Farming Schedules and Harvesting Techniques</t>
        </is>
      </c>
      <c r="C81" s="4" t="inlineStr">
        <is>
          <t>Life</t>
        </is>
      </c>
      <c r="D81" s="4" t="n">
        <v>13</v>
      </c>
      <c r="E81" s="4" t="n">
        <v>1</v>
      </c>
      <c r="F81" s="4" t="inlineStr">
        <is>
          <t>209</t>
        </is>
      </c>
      <c r="G81" s="4" t="n">
        <v>2023</v>
      </c>
      <c r="H81" s="4" t="inlineStr">
        <is>
          <t>MDPI</t>
        </is>
      </c>
      <c r="I81" s="4" t="inlineStr">
        <is>
          <t>Seaweed Habitat &amp; Biodiversity — Indicator 1.1.1 (epibiota on farmed biomass). Also informs management-level questions about how harvest timing/technique affects habitat value.</t>
        </is>
      </c>
      <c r="J81" s="4" t="inlineStr">
        <is>
          <t>Protocol (empirical, fully specified)</t>
        </is>
      </c>
      <c r="K81" s="4" t="inlineStr">
        <is>
          <t>Yes. Provides a clearly described, replicable sampling protocol: kelp sporophytes collected through and beyond the growing season (April–August), epibionts processed by photographic analysis (ImageJ for coverage) plus direct identification of mobile fauna by stereo microscope, with a partial-harvest vs. full-harvest treatment comparison.</t>
        </is>
      </c>
      <c r="L81" s="4" t="inlineStr">
        <is>
          <t>Yes for collection — a farmer harvesting plants can easily set aside replicate samples on each harvest date and freeze/preserve them. Photo-quadrats of sessile epibionts are doable; mobile-fauna ID needs taxonomic support.</t>
        </is>
      </c>
      <c r="M81" s="4" t="inlineStr">
        <is>
          <t>Yes — full protocol including PERMANOVA-based assemblage statistics, treatment design (control vs. regrowth), and image-analysis quantification is documented.</t>
        </is>
      </c>
      <c r="N81" s="4" t="inlineStr">
        <is>
          <t>Boat for plant collection; sealable sample bags; freezer (−20 °C); 0.5 mm sieve; balance (wet-weight biomass); calipers / measuring board (max blade length &amp; width); water-displacement setup + plastic wrap (holdfast habitable volume); microscope / taxonomic ID references; PRIMER v7 with PERMANOVA add-on.</t>
        </is>
      </c>
      <c r="O81" s="3" t="inlineStr">
        <is>
          <t>Medium — ~$5.1K yr 1: no start-up cost + $5.07K/yr (epibiota ID 12 × $414 [est]; bags + preservative $100 [est])</t>
        </is>
      </c>
      <c r="P81" s="3" t="inlineStr">
        <is>
          <t>Multi-season (≈36 kelp plants sampled monthly across the growing season; regrowth trial spans ~2 years)</t>
        </is>
      </c>
      <c r="Q81" s="3" t="inlineStr">
        <is>
          <t>PERMANOVA, SIMPER, multivariate community analysis</t>
        </is>
      </c>
      <c r="R81" s="4" t="inlineStr">
        <is>
          <t>Yes — Open Access (CC BY, MDPI)</t>
        </is>
      </c>
      <c r="S81" t="inlineStr">
        <is>
          <t>Full PDF</t>
        </is>
      </c>
      <c r="T81" s="4" t="inlineStr">
        <is>
          <t>https://pmc.ncbi.nlm.nih.gov/articles/PMC9865293/</t>
        </is>
      </c>
      <c r="U81" s="4" t="inlineStr">
        <is>
          <t>[2026-09-08 Evaluator full-read refresh] Equipment field corrected — prior 'kitchen scrubber sponges' does not match the method (destructive sampling of ~36 cultivated kelp plants/month, frozen at −20 °C, lab-sorted to coarse taxa, weighed, % cover; holdfast volume by displacement; PRIMER PERMANOVA). Tier corrected T4→T3 (collection farmer-doable; processing/analysis partner-supported). Cost &amp; effort updated. Access URL added (PMC; prior link blank/broken). Indicator H&amp;B 1.1.1 confirmed robust (Exact) — single standalone protocol. [2026-09-08 fix] Access URL moved to the correct column (T); Source Read restored.</t>
        </is>
      </c>
      <c r="V81" s="4" t="inlineStr">
        <is>
          <t>Provided by Claude (chased from Corrigan 2022 &amp; Schutt 2023)</t>
        </is>
      </c>
      <c r="W81" s="9" t="inlineStr">
        <is>
          <t>3 — Partnership</t>
        </is>
      </c>
      <c r="X81" s="3" t="inlineStr">
        <is>
          <t>Seaweed</t>
        </is>
      </c>
      <c r="Y81" s="3" t="inlineStr">
        <is>
          <t>Habitat &amp; Biodiversity</t>
        </is>
      </c>
      <c r="Z81" s="3" t="inlineStr">
        <is>
          <t>H&amp;B 1.1.1 — Epibiota</t>
        </is>
      </c>
      <c r="AA81" s="3" t="inlineStr">
        <is>
          <t>Temperate Atlantic</t>
        </is>
      </c>
      <c r="AB81" s="3" t="inlineStr">
        <is>
          <t>Saccharina (sugar kelp)</t>
        </is>
      </c>
      <c r="AC81" s="3" t="inlineStr">
        <is>
          <t>Longline (surface)</t>
        </is>
      </c>
      <c r="AD81" s="3" t="inlineStr">
        <is>
          <t>Medium (1–20 ha)</t>
        </is>
      </c>
      <c r="AE81" s="3" t="inlineStr">
        <is>
          <t>Clear (visual methods feasible)</t>
        </is>
      </c>
      <c r="AF81" s="3" t="inlineStr">
        <is>
          <t>Monoculture</t>
        </is>
      </c>
      <c r="AG81" s="3" t="inlineStr">
        <is>
          <t>Visual survey</t>
        </is>
      </c>
      <c r="AH81" s="3" t="inlineStr">
        <is>
          <t>Brown</t>
        </is>
      </c>
      <c r="AI81" s="3" t="inlineStr">
        <is>
          <t>Coastal (10–30 m)</t>
        </is>
      </c>
      <c r="AJ81" s="3" t="inlineStr">
        <is>
          <t>Semi-exposed</t>
        </is>
      </c>
      <c r="AK81" s="16" t="inlineStr">
        <is>
          <t>To track what colonises your cultivated kelp over the season, sample whole kelp plants monthly through the growing period. Each month collect several plants from a set of independent dropper lines spread across the farm (sampling at more than one depth on the line to capture variation), bag and freeze them, then in the lab rinse each plant over a fine (~0.5 mm) sieve to collect mobile animals, pick off the sessile and colonial organisms (recording colonial cover as a percentage), and identify, count and weigh everything. Also record kelp size (biomass, blade area, and holdfast volume by water displacement), since more habitat supports more species. Treat each dropper line — not each plant — as the replicate, averaging its plants together, and compare months and treatments with PERMANOVA and multivariate ordination (mMDS on Bray–Curtis). To test whether biodiversity persists after harvest, leave some lines intact, strip others bare, and partially cut others, then resample the following season.</t>
        </is>
      </c>
      <c r="AL81" s="17" t="inlineStr">
        <is>
          <t>High</t>
        </is>
      </c>
      <c r="AM81" s="18" t="inlineStr">
        <is>
          <t>corrigan_2023</t>
        </is>
      </c>
      <c r="AN81" s="19" t="n"/>
      <c r="AO81" s="19" t="n"/>
      <c r="AP81" s="19" t="n"/>
      <c r="AQ81" s="16" t="inlineStr">
        <is>
          <t>Seasonal Epibiont Assemblage Development on Cultivated Kelp</t>
        </is>
      </c>
      <c r="AR81" s="16" t="inlineStr">
        <is>
          <t>Corrigan, Sophie; Brown, A. Ross; Tyler, Charles R.; Wilding, Catherine; Daniels, Carly; Ashton, Ian G. C.; Smale, Dan A.;</t>
        </is>
      </c>
      <c r="AS81" s="16" t="inlineStr">
        <is>
          <t>Same Exeter / MBA group as Corrigan 2022. Together the two papers form a "what to do (2022 review) → how to do it (2023 protocol)" pair. Particularly strong for European Saccharina farms.  |  [2026-10-09 Rule 15 cost re-rate, batch 4] Framework basis: SW H&amp;B 1.1.1: within farm + edge; once per season (2 visits); 2 locations × 2 visits × 3 replicates = 12. Kelp plants taken from dropper lines (one replicate per line), preserved for partner-lab sorting, ID, weighing and photo cover (fee is a proxy estimate); preservative replaces the freezer; free software replaces PRIMER; the paper's ~36 plants a month is above the Framework minimum. Prior O: 'Low–Medium (freezer &amp; lab access; PRIMER v7 licence; consumables — not the sub-$50 the prior entry implied)'.  |  [2026-10-16 monitoring-methods pass] AT (Monitoring Methods) set from the protocol's method summary (AK): Epifauna on crop / rope.</t>
        </is>
      </c>
      <c r="AT81" s="20" t="inlineStr">
        <is>
          <t>Epifauna on crop / rope</t>
        </is>
      </c>
    </row>
    <row r="82">
      <c r="A82" s="4" t="inlineStr">
        <is>
          <t>Bekkby, T., et al.</t>
        </is>
      </c>
      <c r="B82" s="4" t="inlineStr">
        <is>
          <t>'Hanging gardens'—comparing fauna communities in kelp farms and wild kelp forests</t>
        </is>
      </c>
      <c r="C82" s="4" t="inlineStr">
        <is>
          <t>Frontiers in Marine Science</t>
        </is>
      </c>
      <c r="D82" s="4" t="n">
        <v>10</v>
      </c>
      <c r="E82" s="4" t="n"/>
      <c r="F82" s="4" t="inlineStr">
        <is>
          <t>1066101</t>
        </is>
      </c>
      <c r="G82" s="4" t="n">
        <v>2023</v>
      </c>
      <c r="H82" s="4" t="inlineStr">
        <is>
          <t>Frontiers Media SA</t>
        </is>
      </c>
      <c r="I82" s="4" t="inlineStr">
        <is>
          <t>Maps to H&amp;B 1.1.1 — Epibiota. Kelp-associated fauna at a 200 × 200 m Saccharina/Alaria farm (Frøya, mid-Norway; ropes at ~2 m), April 2019 just before harvest: 3 diver-bagged kelp plants and 3 sisal-rope fauna traps (48 h) per farm section, sieved at 250 µm and identified to lowest taxon; abundance, taxa richness, wet biomass and Shannon diversity. Match: Yes — traps among the farmed kelp are the in situ collectors the Framework names; the cost basis is traps only (Peter, 2026-10-13).</t>
        </is>
      </c>
      <c r="J82" s="4" t="inlineStr">
        <is>
          <t>Protocol (empirical, fully specified)</t>
        </is>
      </c>
      <c r="K82" s="4" t="inlineStr">
        <is>
          <t>Confirmed standalone (full read). Directly counts and identifies the mobile fauna living among the farmed kelp (81 individuals, 15 taxa; amphipods, isopods and gastropods dominant) — usable for H&amp;B 1.1.1; in the farm the traps caught more fauna than bagged kelp, though counts were low and some traps came up empty.</t>
        </is>
      </c>
      <c r="L82" s="4" t="inlineStr">
        <is>
          <t>Partial — fauna traps hung from the grow lines and lifted into a bag are farmer-doable; sorting on a 250 µm sieve and identification under a magnifier need a partner lab.</t>
        </is>
      </c>
      <c r="M82" s="4" t="inlineStr">
        <is>
          <t>Yes — full design including paired farm/wild/water-column controls and assemblage statistics is documented.</t>
        </is>
      </c>
      <c r="N82" s="4" t="inlineStr">
        <is>
          <t>Sisal-rope fauna traps (1 m of 8 mm rope untwisted into 3 strands, bundled with a strip) at ~2 m, soaked 48 h; traps lifted into zip bags by divers (farm, wild kelp) or with an attached cotton bag closing on lifting (water column); divers cotton-bagged whole kelp plants; freshwater rinse over a 250 µm sieve; 70% ethanol; Leica TL5000 magnifier and taxonomic keys; Sartorius 5-decimal balance (wet biomass); R (vegan).</t>
        </is>
      </c>
      <c r="O82" s="3" t="inlineStr">
        <is>
          <t>Medium — ~$5.1K yr 1: no start-up cost + $5.13K/yr (epibiota ID 12 × $414 [est]; sisal-rope trap 12 × $5 [est]; bags + preservative $100 [est])</t>
        </is>
      </c>
      <c r="P82" s="3" t="inlineStr">
        <is>
          <t>Short campaign (days to 2 weeks) — one survey 23–27 Apr 2019 just before harvest; traps soaked 48 h</t>
        </is>
      </c>
      <c r="Q82" s="3" t="inlineStr">
        <is>
          <t>Abundance, taxa richness, wet biomass and Shannon–Wiener diversity per sample by ANOVA (location, method); ANCOVA against kelp growth period (3 vs 7 months); community composition by detrended correspondence analysis with ANOVA on DCA axes (R, vegan).</t>
        </is>
      </c>
      <c r="R82" s="4" t="inlineStr">
        <is>
          <t>Yes — Open Access (CC BY)</t>
        </is>
      </c>
      <c r="S82" t="inlineStr">
        <is>
          <t>Full PDF</t>
        </is>
      </c>
      <c r="T82" s="4" t="inlineStr">
        <is>
          <t>https://www.frontiersin.org/articles/10.3389/fmars.2023.1066101/full</t>
        </is>
      </c>
      <c r="U82" s="4" t="inlineStr">
        <is>
          <t>Single pre-harvest campaign at a small farm next to wild Laminaria hyperborea forest; low counts (2 traps empty in each farmed section) limit statistical power. Farm fauna resembled the adjacent wild forest more than wild conspecific kelp, so the surrounding habitat shapes results. No significant difference between 3- and 7-month-old kelp.</t>
        </is>
      </c>
      <c r="V82" s="4" t="inlineStr">
        <is>
          <t>Provided by Claude (chased from Schutt 2023)</t>
        </is>
      </c>
      <c r="W82" s="9" t="inlineStr">
        <is>
          <t>3 — Partnership</t>
        </is>
      </c>
      <c r="X82" s="3" t="inlineStr">
        <is>
          <t>Seaweed</t>
        </is>
      </c>
      <c r="Y82" s="3" t="inlineStr">
        <is>
          <t>Habitat &amp; Biodiversity</t>
        </is>
      </c>
      <c r="Z82" s="3" t="inlineStr">
        <is>
          <t>H&amp;B 1.1.1 — Epibiota</t>
        </is>
      </c>
      <c r="AA82" s="3" t="inlineStr">
        <is>
          <t>Boreal / Arctic</t>
        </is>
      </c>
      <c r="AB82" s="3" t="inlineStr">
        <is>
          <t>Saccharina (sugar kelp)</t>
        </is>
      </c>
      <c r="AC82" s="3" t="inlineStr">
        <is>
          <t>Longline (surface)</t>
        </is>
      </c>
      <c r="AD82" s="3" t="inlineStr">
        <is>
          <t>Medium (1–20 ha)</t>
        </is>
      </c>
      <c r="AE82" s="3" t="inlineStr">
        <is>
          <t>Clear (visual methods feasible)</t>
        </is>
      </c>
      <c r="AF82" s="3" t="inlineStr">
        <is>
          <t>Monoculture</t>
        </is>
      </c>
      <c r="AG82" s="3" t="inlineStr">
        <is>
          <t>Visual survey</t>
        </is>
      </c>
      <c r="AH82" s="3" t="inlineStr">
        <is>
          <t>Brown</t>
        </is>
      </c>
      <c r="AI82" s="3" t="inlineStr">
        <is>
          <t>Coastal (10–30 m)</t>
        </is>
      </c>
      <c r="AJ82" s="3" t="inlineStr">
        <is>
          <t>Sheltered</t>
        </is>
      </c>
      <c r="AK82" s="16" t="inlineStr">
        <is>
          <t>To measure the small animals living among your kelp, hang fauna traps — a 1 m length of 8 mm sisal rope untwisted into its three strands and bundled with a cable tie — at grow-line depth (about [2 m]) among the kelp: [3] within the farm and [3] at its edge. Leave them [48 hours], then lift each trap into a bag (or fix a cotton bag beneath it that closes as it comes up) so mobile animals are not lost, rinse over a 250 µm sieve and preserve in 70% ethanol. Do this once per season while the crop is in the water, including just before harvest. A partner lab identifies and counts the amphipods, isopods, snails and other fauna under a magnifier and weighs them; report abundance, number of taxa, biomass and Shannon diversity, and compare farm with edge. The source also bagged whole kelp plants by diver and sampled the farm only; counts can be low and traps sometimes come up empty, so set enough of them.</t>
        </is>
      </c>
      <c r="AL82" s="17" t="inlineStr">
        <is>
          <t>High</t>
        </is>
      </c>
      <c r="AM82" s="18" t="inlineStr">
        <is>
          <t>bekkby_2023_hb111</t>
        </is>
      </c>
      <c r="AN82" s="19" t="n"/>
      <c r="AO82" s="19" t="n"/>
      <c r="AP82" s="19" t="n"/>
      <c r="AQ82" s="16" t="inlineStr">
        <is>
          <t>Epibiota / fouling survey — Seaweed</t>
        </is>
      </c>
      <c r="AR82" s="16" t="inlineStr">
        <is>
          <t>Bekkby, Trine; Torstensen, Ragnhild Ryther Grimm; Grünfeld, Lars Andreas Holm; Gundersen, Hege; Fredriksen, Stein; Rinde, Eli; Christie, Hartvig; Walday, Mats; Andersen, Guri Sogn; Brkljacic, Marijana S.; Neves, Luiza; Hancke, Kasper;</t>
        </is>
      </c>
      <c r="AS82" s="16" t="inlineStr">
        <is>
          <t>Norwegian Saccharina/Alaria farm vs. wild kelp forest reference — directly executes the MEL framework Archetype 3/4 sampling logic (farm-vs-similar-wild-habitat). Good companion to Schutt 2023 (Gulf of Maine, sponges) and Corrigan 2023 (UK, harvest-paired plants). | v1.4 refinement: Z corrected — I-column describes "farm vs similar-structure wild reference" (Archetype 3/4 community-composition sampling), which is H&amp;B 2.1.1 not H&amp;B 1.2.1 (mobile fauna). Chat A inconsistency between I-col reasoning and Z label.  |  Migration (one-indicator-per-row, 2026-09-04): split from bekkby_2023 -&gt; {bekkby_2023_hb111, bekkby_2023_hb211}. This row = bekkby_2023_hb111 (H&amp;B 1.1.1 — Epibiota). Candidate: AK/N/Q blanked and I/K/W/O/P provisional; per-indicator method text, tier/cost/effort and match adjudication to be finalised at generation. Combined parent I/AK/N/Q retained in v37 (pre-split).  |  [2026-10-13 Rule 15 cost re-rate, batch 10] Framework basis: SW H&amp;B 1.1.1: within farm + edge; once per season (2 visits, single grow-out); 2 locations × 2 visits × 3 replicates = 12. Sisal-rope fauna traps hung from farm lines, sorted and ID'd by a partner lab (fee is a proxy estimate); 250 µm kelp fauna needs a microscope, so no field-ID waiver; the diver-bagged kelp samples duplicate the metric and are excluded (adding them would double the ID fees and make it High). Traps-only route confirmed (Peter, 2026-10-13). Prior O: 'Medium–High (SCUBA diving; species-level taxonomic expertise &amp; time; lab)'.  |  [2026-10-15 method-summary pass] Full read (Frontiers PDF). I: candidate-split text replaced; Match Yes. K, L, N, Q, U rewritten from the full read. P: nonconforming phrase → 'Short campaign' + detail. W: '2 — Researcher' → '3 — Partnership' (Rule 14; traps hung and lifted by the farmer, ID at a partner lab — traps-only route, Peter 2026-10-13); fill → T3 pale green. O unchanged (batch-10 traps-only basis). AK written; AL High.  |  [2026-10-16 monitoring-methods pass] AT (Monitoring Methods) set from the protocol's method summary (AK): Epifauna on crop / rope, Invertebrate collectors / fauna traps.</t>
        </is>
      </c>
      <c r="AT82" s="20" t="inlineStr">
        <is>
          <t>Epifauna on crop / rope, Invertebrate collectors / fauna traps</t>
        </is>
      </c>
    </row>
    <row r="83">
      <c r="A83" s="23" t="inlineStr">
        <is>
          <t>Bekkby, T., et al.</t>
        </is>
      </c>
      <c r="B83" s="23" t="inlineStr">
        <is>
          <t>'Hanging gardens'—comparing fauna communities in kelp farms and wild kelp forests</t>
        </is>
      </c>
      <c r="C83" s="23" t="inlineStr">
        <is>
          <t>Frontiers in Marine Science</t>
        </is>
      </c>
      <c r="D83" s="23" t="n">
        <v>10</v>
      </c>
      <c r="E83" s="23" t="n"/>
      <c r="F83" s="23" t="inlineStr">
        <is>
          <t>1066101</t>
        </is>
      </c>
      <c r="G83" s="23" t="n">
        <v>2023</v>
      </c>
      <c r="H83" s="23" t="inlineStr">
        <is>
          <t>Frontiers Media SA</t>
        </is>
      </c>
      <c r="I83" s="23" t="inlineStr">
        <is>
          <t>Maps to H&amp;B 2.1.1 — Community composition. Same April 2019 survey comparing fauna in the kelp farm (3 sections) with three wild kelp forests (S. latissima, A. esculenta, L. hyperborea; kelp plants + traps near the seabed) and a water-column control without kelp (3 traps 10–15 m above the seabed, away from farm and forests): abundance, richness, biomass, Shannon diversity and composition (DCA). Match: Yes — farm vs similarly structured wild kelp habitat plus a no-kelp control.</t>
        </is>
      </c>
      <c r="J83" s="23" t="inlineStr">
        <is>
          <t>Protocol (empirical, fully specified)</t>
        </is>
      </c>
      <c r="K83" s="23" t="inlineStr">
        <is>
          <t>Confirmed standalone (full read). The farm had fewer individuals and taxa and lower diversity than wild kelp forests but a distinct kelp-associated community unlike the water column, resembling the adjacent L. hyperborea forest — robust for H&amp;B 2.1.1 (farm vs wild-seaweed comparison the Framework names).</t>
        </is>
      </c>
      <c r="L83" s="23" t="inlineStr">
        <is>
          <t>Partial — fauna traps hung from the grow lines and lifted into a bag are farmer-doable; sorting on a 250 µm sieve and identification under a magnifier need a partner lab.</t>
        </is>
      </c>
      <c r="M83" s="23" t="inlineStr">
        <is>
          <t>Yes — full design including paired farm/wild/water-column controls and assemblage statistics is documented.</t>
        </is>
      </c>
      <c r="N83" s="23" t="inlineStr">
        <is>
          <t>Sisal-rope fauna traps (1 m of 8 mm rope untwisted into 3 strands, bundled with a strip) at ~2 m, soaked 48 h; traps lifted into zip bags by divers (farm, wild kelp) or with an attached cotton bag closing on lifting (water column); divers cotton-bagged whole kelp plants; freshwater rinse over a 250 µm sieve; 70% ethanol; Leica TL5000 magnifier and taxonomic keys; Sartorius 5-decimal balance (wet biomass); R (vegan).</t>
        </is>
      </c>
      <c r="O83" s="20" t="inlineStr">
        <is>
          <t>Medium — ~$5.3K yr 1: $200 start-up (mooring ×2 $200 [est]) + $5.13K/yr (epibiota ID 12 × $414 [est]; sisal-rope trap 12 × $5 [est]; bags + preservative $100 [est])</t>
        </is>
      </c>
      <c r="P83" s="20" t="inlineStr">
        <is>
          <t>Short campaign (days to 2 weeks) — one survey 23–27 Apr 2019 just before harvest; traps soaked 48 h</t>
        </is>
      </c>
      <c r="Q83" s="20" t="inlineStr">
        <is>
          <t>Abundance, taxa richness, wet biomass and Shannon–Wiener diversity per sample by ANOVA (location, method); ANCOVA against kelp growth period (3 vs 7 months); community composition by detrended correspondence analysis with ANOVA on DCA axes (R, vegan).</t>
        </is>
      </c>
      <c r="R83" s="23" t="inlineStr">
        <is>
          <t>Yes — Open Access (CC BY)</t>
        </is>
      </c>
      <c r="S83" s="21" t="inlineStr">
        <is>
          <t>Full PDF</t>
        </is>
      </c>
      <c r="T83" s="23" t="inlineStr">
        <is>
          <t>https://www.frontiersin.org/articles/10.3389/fmars.2023.1066101/full</t>
        </is>
      </c>
      <c r="U83" s="23" t="inlineStr">
        <is>
          <t>One pre-harvest campaign; low abundances in the farm and water column (several empty traps) limit power. Kelp sampling and traps gave different communities (method explained most DCA axis-1 variation), so keep one method across all sites. Results depend on which wild habitats surround the farm.</t>
        </is>
      </c>
      <c r="V83" s="23" t="inlineStr">
        <is>
          <t>Provided by Claude (chased from Schutt 2023)</t>
        </is>
      </c>
      <c r="W83" s="9" t="inlineStr">
        <is>
          <t>3 — Partnership</t>
        </is>
      </c>
      <c r="X83" s="20" t="inlineStr">
        <is>
          <t>Seaweed</t>
        </is>
      </c>
      <c r="Y83" s="20" t="inlineStr">
        <is>
          <t>Habitat &amp; Biodiversity</t>
        </is>
      </c>
      <c r="Z83" s="20" t="inlineStr">
        <is>
          <t>H&amp;B 2.1.1 — Community composition</t>
        </is>
      </c>
      <c r="AA83" s="20" t="inlineStr">
        <is>
          <t>Boreal / Arctic</t>
        </is>
      </c>
      <c r="AB83" s="20" t="inlineStr">
        <is>
          <t>Saccharina (sugar kelp)</t>
        </is>
      </c>
      <c r="AC83" s="20" t="inlineStr">
        <is>
          <t>Longline (surface)</t>
        </is>
      </c>
      <c r="AD83" s="20" t="inlineStr">
        <is>
          <t>Medium (1–20 ha)</t>
        </is>
      </c>
      <c r="AE83" s="20" t="inlineStr">
        <is>
          <t>Clear (visual methods feasible)</t>
        </is>
      </c>
      <c r="AF83" s="20" t="inlineStr">
        <is>
          <t>Monoculture</t>
        </is>
      </c>
      <c r="AG83" s="20" t="inlineStr">
        <is>
          <t>Visual survey</t>
        </is>
      </c>
      <c r="AH83" s="20" t="inlineStr">
        <is>
          <t>Brown</t>
        </is>
      </c>
      <c r="AI83" s="20" t="inlineStr">
        <is>
          <t>Coastal (10–30 m)</t>
        </is>
      </c>
      <c r="AJ83" s="20" t="inlineStr">
        <is>
          <t>Sheltered</t>
        </is>
      </c>
      <c r="AK83" s="16" t="inlineStr">
        <is>
          <t>To compare the small animals using your kelp farm with nearby natural habitat, hang fauna traps (1 m of 8 mm sisal rope untwisted into its three strands and bundled) at about [2 m] depth: [3] among the kelp within the farm, [3] at its edge, and [3] at each of [2] reference sites — a nearby wild kelp forest (traps just above the seabed) and open water of similar depth away from the farm and wild kelp (traps on a mooring, with a cotton bag beneath each that closes as it is lifted). Deploy all traps on the same days just before harvest, leave them [48 hours], rinse over a 250 µm sieve and preserve in ethanol; a partner lab identifies and counts the fauna. Compare abundance, number of taxa, Shannon diversity and community make-up (e.g. ordination) between farm, wild kelp and open water, once a year. The source found the farm fauna resembled the adjacent wild forest more than wild kelp of the same species, so record what natural habitat surrounds your farm.</t>
        </is>
      </c>
      <c r="AL83" s="17" t="inlineStr">
        <is>
          <t>High</t>
        </is>
      </c>
      <c r="AM83" s="18" t="inlineStr">
        <is>
          <t>bekkby_2023_hb211</t>
        </is>
      </c>
      <c r="AN83" s="19" t="n"/>
      <c r="AO83" s="19" t="n"/>
      <c r="AP83" s="19" t="n"/>
      <c r="AQ83" s="16" t="inlineStr">
        <is>
          <t>Community-composition survey — Seaweed</t>
        </is>
      </c>
      <c r="AR83" s="16" t="inlineStr">
        <is>
          <t>Bekkby, Trine; Torstensen, Ragnhild Ryther Grimm; Grünfeld, Lars Andreas Holm; Gundersen, Hege; Fredriksen, Stein; Rinde, Eli; Christie, Hartvig; Walday, Mats; Andersen, Guri Sogn; Brkljacic, Marijana S.; Neves, Luiza; Hancke, Kasper;</t>
        </is>
      </c>
      <c r="AS83" s="16" t="inlineStr">
        <is>
          <t>Norwegian Saccharina/Alaria farm vs. wild kelp forest reference — directly executes the MEL framework Archetype 3/4 sampling logic (farm-vs-similar-wild-habitat). Good companion to Schutt 2023 (Gulf of Maine, sponges) and Corrigan 2023 (UK, harvest-paired plants). | v1.4 refinement: Z corrected — I-column describes "farm vs similar-structure wild reference" (Archetype 3/4 community-composition sampling), which is H&amp;B 2.1.1 not H&amp;B 1.2.1 (mobile fauna). Chat A inconsistency between I-col reasoning and Z label.  |  Migration (one-indicator-per-row, 2026-09-04): split from bekkby_2023 -&gt; {bekkby_2023_hb111, bekkby_2023_hb211}. This row = bekkby_2023_hb211 (H&amp;B 2.1.1 — Community composition). Candidate: AK/N/Q blanked and I/K/W/O/P provisional; per-indicator method text, tier/cost/effort and match adjudication to be finalised at generation. Combined parent I/AK/N/Q retained in v37 (pre-split).  |  [2026-10-13 Rule 15 cost re-rate, batch 10] Framework basis: SW H&amp;B 2.1.1: 2 farm strata + 2 offsite refs (no-kelp control, wild kelp); annual (1 visit); 4 locations × 1 visits × 3 replicates = 12. Sisal-rope traps on farm lines and on moorings at the reference sites, partner-lab ID (proxy fee); no field-ID waiver (microscope-scale fauna). Traps-only route confirmed (Peter, 2026-10-13). Prior O: 'Medium–High (SCUBA diving; species-level taxonomy; lab &amp; multivariate analysis)'.  |  [2026-10-15 method-summary pass] Full read (Frontiers PDF). I: candidate-split text replaced; Match Yes (K had 'Partial' — corrected: the source compares farm with wild kelp forests and a no-kelp control). K, L, N, Q, U rewritten. P → 'Short campaign' + detail. W: '2 — Researcher' → '3 — Partnership' (Rule 14; traps-only route, partner-lab ID); fill → T3 pale green. O unchanged (batch-10 basis: farm, edge, wild kelp, open-water moorings). AK written; AL High.  |  [2026-10-16 monitoring-methods pass] AT (Monitoring Methods) set from the protocol's method summary (AK): Invertebrate collectors / fauna traps.</t>
        </is>
      </c>
      <c r="AT83" s="20" t="inlineStr">
        <is>
          <t>Invertebrate collectors / fauna traps</t>
        </is>
      </c>
    </row>
    <row r="84">
      <c r="A84" s="4" t="inlineStr">
        <is>
          <t>Dickson, A. G., et al.</t>
        </is>
      </c>
      <c r="B84" s="4" t="inlineStr">
        <is>
          <t>Guide to Best Practices for Ocean CO2 Measurements</t>
        </is>
      </c>
      <c r="C84" s="4" t="inlineStr">
        <is>
          <t>PICES Special Publication</t>
        </is>
      </c>
      <c r="D84" s="4" t="n">
        <v>3</v>
      </c>
      <c r="E84" s="4" t="inlineStr"/>
      <c r="F84" s="4" t="inlineStr">
        <is>
          <t>191 pp.</t>
        </is>
      </c>
      <c r="G84" s="4" t="n">
        <v>2007</v>
      </c>
      <c r="H84" s="4" t="inlineStr">
        <is>
          <t>North Pacific Marine Science Organization (PICES)</t>
        </is>
      </c>
      <c r="I84" s="4" t="inlineStr">
        <is>
          <t>Seaweed Climate Change Goal 2 — Indicator 2.1.1 (pH at the farm site, total alkalinity, DIC, pCO₂). Underlying methodological reference for the Xiao 2021 paper and for any carbonate-system monitoring on or around seaweed farms.</t>
        </is>
      </c>
      <c r="J84" s="4" t="inlineStr">
        <is>
          <t>Protocol (collection of formal SOPs)</t>
        </is>
      </c>
      <c r="K84" s="4" t="inlineStr">
        <is>
          <t>Yes — this is the de facto international standard. Contains step-by-step SOPs for water sampling (SOP 1), DIC (SOP 2), total alkalinity (SOP 3a/3b titrations), pCO₂ in equilibrated air (SOP 4/5), pH by electrode (SOP 6a) and m-cresol purple spectrophotometric pH (SOP 6b), plus quality assurance against certified reference materials.</t>
        </is>
      </c>
      <c r="L84" s="4" t="inlineStr">
        <is>
          <t>No — the authors state explicitly that the techniques are not routine, require trained analytical staff, and that much of the instrumentation is "home-built" with significant acquisition cost.</t>
        </is>
      </c>
      <c r="M84" s="4" t="inlineStr">
        <is>
          <t>Yes — this IS the protocol that ocean carbonate-chemistry laboratories follow.</t>
        </is>
      </c>
      <c r="N84" s="4" t="inlineStr">
        <is>
          <t>pH electrodes (high accuracy), DIC analyser, alkalinity titrator, Tris/AMP buffers, CRMs</t>
        </is>
      </c>
      <c r="O84" s="3" t="inlineStr">
        <is>
          <t>High — ~$38K yr 1: $36.3K start-up (OA-grade pH logger ×3 $36K [est]; mooring ×3 $300 [est]) + $1.95K/yr (TA + DIC check 24 × $79 [lab fee]; calibration supplies $50 [est])</t>
        </is>
      </c>
      <c r="P84" s="3" t="inlineStr">
        <is>
          <t>One-time (no sampling — desk-based)</t>
        </is>
      </c>
      <c r="Q84" s="3" t="inlineStr">
        <is>
          <t>N/A — Standard Operating Procedures (SOPs)</t>
        </is>
      </c>
      <c r="R84" s="4" t="inlineStr">
        <is>
          <t>Yes — Freely downloadable from NOAA OCADS / NCEI</t>
        </is>
      </c>
      <c r="T84" s="4" t="inlineStr">
        <is>
          <t>https://www.ncei.noaa.gov/access/ocean-carbon-acidification-data-system/oceans/Handbook_2007.html ; full guide PDF: https://www.ncei.noaa.gov/access/ocean-carbon-acidification-data-system/oceans/Handbook_2007/Guide_all_in_one.pdf</t>
        </is>
      </c>
      <c r="U84" s="4" t="inlineStr">
        <is>
          <t>The methodological backbone for any pH/alkalinity/DIC/pCO2 work - in practice a partner lab runs these SOPs.</t>
        </is>
      </c>
      <c r="V84" s="4" t="inlineStr">
        <is>
          <t>Provided by Claude (chased from Xiao 2021)</t>
        </is>
      </c>
      <c r="W84" s="7" t="inlineStr">
        <is>
          <t>2 — Researcher</t>
        </is>
      </c>
      <c r="X84" s="3" t="inlineStr">
        <is>
          <t>Not specific</t>
        </is>
      </c>
      <c r="Y84" s="3" t="inlineStr">
        <is>
          <t>Climate Change</t>
        </is>
      </c>
      <c r="Z84" s="3" t="inlineStr">
        <is>
          <t>CC 2.1.1 — pH / ocean acidification</t>
        </is>
      </c>
      <c r="AA84" s="3" t="inlineStr">
        <is>
          <t>Cross-zone / global</t>
        </is>
      </c>
      <c r="AB84" s="3" t="inlineStr">
        <is>
          <t>Not species-specific</t>
        </is>
      </c>
      <c r="AC84" s="3" t="inlineStr">
        <is>
          <t>Not gear-specific</t>
        </is>
      </c>
      <c r="AD84" s="3" t="inlineStr">
        <is>
          <t>Not scale-specific</t>
        </is>
      </c>
      <c r="AE84" s="3" t="inlineStr">
        <is>
          <t>Not site-specific</t>
        </is>
      </c>
      <c r="AF84" s="3" t="inlineStr">
        <is>
          <t>Not specific</t>
        </is>
      </c>
      <c r="AG84" s="3" t="inlineStr">
        <is>
          <t>Carbonate chemistry</t>
        </is>
      </c>
      <c r="AH84" s="3" t="inlineStr">
        <is>
          <t>Not algae-specific</t>
        </is>
      </c>
      <c r="AI84" s="3" t="inlineStr">
        <is>
          <t>Not depth-specific</t>
        </is>
      </c>
      <c r="AJ84" s="3" t="inlineStr">
        <is>
          <t>Not exposure-specific</t>
        </is>
      </c>
      <c r="AK84" s="16" t="inlineStr">
        <is>
          <t>This is the international standard set of SOPs for seawater carbonate-system measurement, underpinning any pH, total alkalinity, DIC or pCO2 work around a farm. On the farm side the task is water collection following the sampling SOP - fill without bubbles, poison the sample to halt biological activity, and store it correctly; a partner lab then runs the analyses (DIC by coulometry or infrared, total alkalinity by titration, pCO2 by equilibration, and pH by electrode or m-cresol-purple spectrophotometry) with quality assurance against certified reference materials. Use it as the procedural backbone whenever a carbonate-chemistry indicator such as pH is being measured.</t>
        </is>
      </c>
      <c r="AL84" s="17" t="inlineStr">
        <is>
          <t>Med</t>
        </is>
      </c>
      <c r="AM84" s="18" t="inlineStr">
        <is>
          <t>dickson_2007</t>
        </is>
      </c>
      <c r="AN84" s="19" t="n"/>
      <c r="AO84" s="19" t="n"/>
      <c r="AP84" s="19" t="n"/>
      <c r="AQ84" s="16" t="inlineStr">
        <is>
          <t>Standard SOPs for Seawater Carbonate-System Measurement</t>
        </is>
      </c>
      <c r="AR84" s="16" t="inlineStr">
        <is>
          <t>Dickson, Andrew G.; Sabine, Christopher L.; Christian, James R. (Eds.);</t>
        </is>
      </c>
      <c r="AS84" s="16" t="inlineStr">
        <is>
          <t>Not on the original 55-paper list but is the methodological backbone for any paper measuring pH/TA/DIC/pCO₂ in seaweed-farm waters (including Xiao 2021). For practitioners, the takeaway is that a partner lab will follow these SOPs; the farmer side is sample collection following SOP 1.  |  [2026-10-13 Rule 15 cost re-rate, batch 10] Framework basis: SW CC 2.1.1 (the only sector with a pH CC 2.1.1): within farm + adjacent non-farm; real-time/weekly with diurnal (one logger per location); 3 locations; TA + DIC checks 3 locations × 4 seasons × 2 = 24 (xiao_2021 pilot convention). Standard OA-grade logger route with the SOPs governing the discrete checks; a discrete-sample-only route at weekly visits would also be High. Prior O: 'High — full carbonate chemistry suite $20K+; CRMs ongoing'.  |  [2026-10-16 monitoring-methods pass] AT (Monitoring Methods) set from the protocol's method summary (AK): pH, Carbonate system (pH / OA).</t>
        </is>
      </c>
      <c r="AT84" s="20" t="inlineStr">
        <is>
          <t>pH, Carbonate system (pH / OA)</t>
        </is>
      </c>
    </row>
    <row r="85">
      <c r="A85" s="4" t="inlineStr">
        <is>
          <t>Walls, A. M., et al.</t>
        </is>
      </c>
      <c r="B85" s="4" t="inlineStr">
        <is>
          <t>Successional changes of epibiont fouling communities of the cultivated kelp Alaria esculenta: predictability and influences</t>
        </is>
      </c>
      <c r="C85" s="4" t="inlineStr">
        <is>
          <t>Aquaculture Environment Interactions</t>
        </is>
      </c>
      <c r="D85" s="4" t="n">
        <v>9</v>
      </c>
      <c r="E85" s="4" t="inlineStr"/>
      <c r="F85" s="4" t="inlineStr">
        <is>
          <t>57–71</t>
        </is>
      </c>
      <c r="G85" s="4" t="n">
        <v>2017</v>
      </c>
      <c r="H85" s="4" t="inlineStr">
        <is>
          <t>Inter-Research</t>
        </is>
      </c>
      <c r="I85" s="4" t="inlineStr">
        <is>
          <t>Seaweed Habitat &amp; Biodiversity — Indicator 1.1.1 (epibiota on cultivated kelp fronds). Complements Corrigan 2023 (Saccharina, UK) and Wilding et al. 2023 by adding a different cultivated species (Alaria esculenta, Ireland) and 2-year predictability across growing seasons.</t>
        </is>
      </c>
      <c r="J85" s="4" t="inlineStr">
        <is>
          <t>Protocol (empirical, fully specified)</t>
        </is>
      </c>
      <c r="K85" s="4" t="inlineStr">
        <is>
          <t>Yes. Frond-based fouling community sampling across 2 typical growing seasons at a commercial SW Ireland farm; tested predictability (June 2014 vs. June 2015 ANOSIM, R = -0.184, p &gt; 0.05), with artificial kelp mimics to disentangle hydrodynamic and frond-density effects.</t>
        </is>
      </c>
      <c r="L85" s="4" t="inlineStr">
        <is>
          <t>Yes for the frond-sampling component — frame fits within normal harvest cycle. Mimic-rope experiments need extra structure but are still simple.</t>
        </is>
      </c>
      <c r="M85" s="4" t="inlineStr">
        <is>
          <t>Yes — full protocol including taxonomic ID and assemblage statistics specified.</t>
        </is>
      </c>
      <c r="N85" s="4" t="inlineStr">
        <is>
          <t>Sample bags, preservation, taxonomic ID kit, mimic ropes (artificial kelp) for controls</t>
        </is>
      </c>
      <c r="O85" s="3" t="inlineStr">
        <is>
          <t>Low — ~$80 yr 1: $80 start-up (field ID kit $80 [est]) + no recurring cost</t>
        </is>
      </c>
      <c r="P85" s="3" t="inlineStr">
        <is>
          <t>Seasonal (1–3 months)</t>
        </is>
      </c>
      <c r="Q85" s="3" t="inlineStr">
        <is>
          <t>ANOSIM (Analysis of Similarities) for predictability test; PERMANOVA; diversity indices</t>
        </is>
      </c>
      <c r="R85" s="4" t="inlineStr">
        <is>
          <t>Yes — Open Access (Inter-Research, gold OA journal)</t>
        </is>
      </c>
      <c r="T85" s="4" t="inlineStr">
        <is>
          <t>https://www.int-res.com/abstracts/aei/v9/p57-71/ ; DOI 10.3354/aei00215</t>
        </is>
      </c>
      <c r="U85" s="4" t="inlineStr">
        <is>
          <t>Useful if you want to time harvest to manage epibiont fouling.</t>
        </is>
      </c>
      <c r="V85" s="4" t="inlineStr">
        <is>
          <t>Provided by Claude (chased from Visch 2020 &amp; Corrigan 2022)</t>
        </is>
      </c>
      <c r="W85" s="10" t="inlineStr">
        <is>
          <t>4 — Practitioner</t>
        </is>
      </c>
      <c r="X85" s="3" t="inlineStr">
        <is>
          <t>Seaweed</t>
        </is>
      </c>
      <c r="Y85" s="3" t="inlineStr">
        <is>
          <t>Habitat &amp; Biodiversity</t>
        </is>
      </c>
      <c r="Z85" s="3" t="inlineStr">
        <is>
          <t>H&amp;B 1.1.1 — Epibiota</t>
        </is>
      </c>
      <c r="AA85" s="3" t="inlineStr">
        <is>
          <t>Temperate Atlantic</t>
        </is>
      </c>
      <c r="AB85" s="3" t="inlineStr">
        <is>
          <t>Alaria</t>
        </is>
      </c>
      <c r="AC85" s="3" t="inlineStr">
        <is>
          <t>Longline (surface)</t>
        </is>
      </c>
      <c r="AD85" s="3" t="inlineStr">
        <is>
          <t>Medium (1–20 ha)</t>
        </is>
      </c>
      <c r="AE85" s="3" t="inlineStr">
        <is>
          <t>Clear (visual methods feasible)</t>
        </is>
      </c>
      <c r="AF85" s="3" t="inlineStr">
        <is>
          <t>Monoculture</t>
        </is>
      </c>
      <c r="AG85" s="3" t="inlineStr">
        <is>
          <t>Visual survey</t>
        </is>
      </c>
      <c r="AH85" s="3" t="inlineStr">
        <is>
          <t>Brown</t>
        </is>
      </c>
      <c r="AI85" s="3" t="inlineStr">
        <is>
          <t>Coastal (10–30 m)</t>
        </is>
      </c>
      <c r="AJ85" s="3" t="inlineStr">
        <is>
          <t>Semi-exposed</t>
        </is>
      </c>
      <c r="AK85" s="16" t="inlineStr">
        <is>
          <t>To follow how the fouling community builds up on your cultivated kelp over the season (succession), sample seeded dropper lines repeatedly across the growing months. On each occasion collect several replicate droppers by diver using close-fitting mesh bags (to avoid losing loosely attached animals), then cut short standard sections (e.g. 10 cm) from each and, in the lab, work through a fixed amount of frond material (a size set from a species-accumulation curve), identifying all epifauna and epiphytes and keeping holdfast and blade/stipe material separate. Record species presence/absence and biomass per section, with sections nested within droppers within months. Compare richness and community turnover across months and years with nested ANOVA and multivariate ordination (MDS on a turnover-focused dissimilarity), and identify influential species with a SIMPER-style test. Running artificial kelp 'mimics' alongside the real plants lets you separate the effect of the living kelp from the structure itself.</t>
        </is>
      </c>
      <c r="AL85" s="17" t="inlineStr">
        <is>
          <t>High</t>
        </is>
      </c>
      <c r="AM85" s="18" t="inlineStr">
        <is>
          <t>walls_2017</t>
        </is>
      </c>
      <c r="AN85" s="19" t="n"/>
      <c r="AO85" s="19" t="n"/>
      <c r="AP85" s="19" t="n"/>
      <c r="AQ85" s="16" t="inlineStr">
        <is>
          <t>Seasonal Fouling-Community Succession on Cultivated Kelp</t>
        </is>
      </c>
      <c r="AR85" s="16" t="inlineStr">
        <is>
          <t>Walls, A. M.; Edwards, M. D.; Firth, L. B.; Johnson, M. P.;</t>
        </is>
      </c>
      <c r="AS85" s="16" t="inlineStr">
        <is>
          <t>Complements Corrigan 2023 by covering Alaria rather than Saccharina, and adds the predictability question (can epibiont arrival times be forecast year-to-year?). Useful for farms wanting to use harvest timing to manage epibiont colonisation.  |  [2026-10-09 Rule 15 cost re-rate, batch 1] Framework basis: SW H&amp;B 1.1.1: within farm + edge; once per season (2 visits); 2 locations × 2 visits × 3 replicates = 12. Mimic-rope controls excluded (above Framework minimum); ID fee is a proxy estimate. Prior O: 'Low — &lt;$200 supplies + partner-lab taxonomic ID'.  |  [2026-10-13 Rule 15 lab-fee waiver] ID moved to the field with a guide (Peter, 2026-10-13: species counts and field-identifiable taxa carry no lab fee); preservative dropped; design unchanged. Prior O: 'Medium — ~$5.1K yr 1: no start-up cost + $5.07K/yr (epibiota ID 12 × $414 [est]; bags + preservative $100 [est])'.  |  [2026-10-16 monitoring-methods pass] AT (Monitoring Methods) set from the protocol's method summary (AK): Epibiota on lines / structures, Epifauna on crop / rope.</t>
        </is>
      </c>
      <c r="AT85" s="20" t="inlineStr">
        <is>
          <t>Epibiota on lines / structures, Epifauna on crop / rope</t>
        </is>
      </c>
    </row>
    <row r="86">
      <c r="A86" s="23" t="inlineStr">
        <is>
          <t>Mercaldo-Allen, R., et al.</t>
        </is>
      </c>
      <c r="B86" s="23" t="inlineStr">
        <is>
          <t>Exploring video and eDNA metabarcoding methods to assess oyster aquaculture cages as fish habitat</t>
        </is>
      </c>
      <c r="C86" s="23" t="inlineStr">
        <is>
          <t>Aquaculture Environment Interactions</t>
        </is>
      </c>
      <c r="D86" s="23" t="n">
        <v>13</v>
      </c>
      <c r="E86" s="23" t="n"/>
      <c r="F86" s="23" t="inlineStr">
        <is>
          <t>277-294</t>
        </is>
      </c>
      <c r="G86" s="23" t="n">
        <v>2021</v>
      </c>
      <c r="H86" s="23" t="inlineStr">
        <is>
          <t>Inter-Research</t>
        </is>
      </c>
      <c r="I86" s="23" t="inlineStr">
        <is>
          <t>Maps to H&amp;B 2.1.1 — Community composition. Fish assemblages at a commercial on-bottom oyster cage farm vs a natural cobble–boulder reef (Long Island Sound, 4.6–6 m), Jun–Aug 2017: two GoPro cameras per cage (side and top view) on 3 cages and on weighted T-platform stands beside 3 boulders; interval video (8 min hourly 07:00–19:00, farm only, 3 dates) and 2–3 h continuous video at both sites on one day; MaxN per species; Niskin water samples (4 × 1 L, 0.5 m above bottom) for 12S eDNA metabarcoding at both sites. Match: Partial — fish only; one reference habitat; one paired day.</t>
        </is>
      </c>
      <c r="J86" s="23" t="inlineStr">
        <is>
          <t>Protocol (empirical, fully specified)</t>
        </is>
      </c>
      <c r="K86" s="23" t="inlineStr">
        <is>
          <t>Confirmed standalone (full read). Paired camera census at cages and natural structure gave species-level MaxN and frequency of occurrence (black sea bass, scup and tautog more common at the farm, cunner on the reef), with eDNA adding 42 species — usable for fish community composition at farm vs structured reference (Partial: proof-of-concept, one reef, one paired day).</t>
        </is>
      </c>
      <c r="L86" s="23" t="inlineStr">
        <is>
          <t>Yes — action cameras clipped to cages when hauled (and on weighted stands at reference structure) and MaxN scoring with a fish guide are farmer-doable; free video players can replace the paid scoring software; eDNA (partner lab) is optional.</t>
        </is>
      </c>
      <c r="M86" s="23" t="inlineStr">
        <is>
          <t>Yes — primer choice, filtration, DNA extraction (Qiagen DNeasy), sequencing (Illumina MiSeq), and bioinformatics pipeline detailed.</t>
        </is>
      </c>
      <c r="N86" s="23" t="inlineStr">
        <is>
          <t>GoPro Hero 3+ cameras in housings with magenta filters; Blink intervalometer timers; flexible hose-and-PVC side mount and periscope top mount on cages; weighted T-platform stands (diver-positioned) beside boulders; Observer XT scoring software; TCM-1 tilt current meters, HOBO light/temperature loggers, YSI Pro30; Niskin bottle, 0.45 µm nylon and 0.4 µm polycarbonate filters, DNeasy PowerWater kit, 12S ecoPrimers, Illumina MiSeq, DADA2.</t>
        </is>
      </c>
      <c r="O86" s="20" t="inlineStr">
        <is>
          <t>Medium — ~$1.0K yr 1: $1.04K start-up (action camera + dive housing ×2 $860 [list]; BRUV frame (camera stand) $100 [est]; rope + float $50 [est]; fish ID guide $30 [est]) + no recurring cost</t>
        </is>
      </c>
      <c r="P86" s="20" t="inlineStr">
        <is>
          <t>Seasonal (1–3 months) — Jun–Aug 2017: interval video on 3 dates, paired farm–reef continuous video on 14 Aug, eDNA on 6 dates</t>
        </is>
      </c>
      <c r="Q86" s="20" t="inlineStr">
        <is>
          <t>MaxN per species per 8-min segment (interval) or per minute (continuous); repeated-measures percentile bootstrap with Benjamini–Hochberg correction; Storer–Kim test for frequency of occurrence cage vs boulder; running-interval smoother against light and current; eDNA species lists (abundant/rare) and read numbers compared qualitatively (R 3.6.1).</t>
        </is>
      </c>
      <c r="R86" s="23" t="inlineStr">
        <is>
          <t>Yes — Open Access (Inter-Research, CC BY; NOAA Institutional Repository)</t>
        </is>
      </c>
      <c r="S86" s="21" t="inlineStr">
        <is>
          <t>Full PDF</t>
        </is>
      </c>
      <c r="T86" s="23" t="inlineStr">
        <is>
          <t>https://doi.org/10.3354/aei00408 ; https://repository.library.noaa.gov/view/noaa/32017</t>
        </is>
      </c>
      <c r="U86" s="23" t="inlineStr">
        <is>
          <t>Proof-of-concept at one farm and one reef; daylight only; turbidity limits video to the immediate cage, and fish inside cages (gobies, gunnels, toadfish) are hidden. eDNA detects species that pass through without using the structure, and read numbers are not abundance.</t>
        </is>
      </c>
      <c r="V86" s="23" t="inlineStr">
        <is>
          <t>Provided by Claude (chased from English et al. 2024 review)</t>
        </is>
      </c>
      <c r="W86" s="10" t="inlineStr">
        <is>
          <t>4 — Practitioner</t>
        </is>
      </c>
      <c r="X86" s="20" t="inlineStr">
        <is>
          <t>Mollusk, Seaweed</t>
        </is>
      </c>
      <c r="Y86" s="20" t="inlineStr">
        <is>
          <t>Habitat &amp; Biodiversity</t>
        </is>
      </c>
      <c r="Z86" s="20" t="inlineStr">
        <is>
          <t>H&amp;B 2.1.1 — Community composition</t>
        </is>
      </c>
      <c r="AA86" s="20" t="inlineStr">
        <is>
          <t>Temperate Atlantic</t>
        </is>
      </c>
      <c r="AB86" s="20" t="inlineStr">
        <is>
          <t>Not species-specific</t>
        </is>
      </c>
      <c r="AC86" s="20" t="inlineStr">
        <is>
          <t>On-bottom cages</t>
        </is>
      </c>
      <c r="AD86" s="20" t="inlineStr">
        <is>
          <t>Medium (1–20 ha)</t>
        </is>
      </c>
      <c r="AE86" s="20" t="inlineStr">
        <is>
          <t>Variable / seasonal</t>
        </is>
      </c>
      <c r="AF86" s="20" t="inlineStr">
        <is>
          <t>Monoculture</t>
        </is>
      </c>
      <c r="AG86" s="20" t="inlineStr">
        <is>
          <t>BRUVs / video, eDNA</t>
        </is>
      </c>
      <c r="AH86" s="20" t="inlineStr">
        <is>
          <t>Not algae-specific</t>
        </is>
      </c>
      <c r="AI86" s="20" t="inlineStr">
        <is>
          <t>Shallow nearshore (2–10 m)</t>
        </is>
      </c>
      <c r="AJ86" s="20" t="inlineStr">
        <is>
          <t>Sheltered</t>
        </is>
      </c>
      <c r="AK86" s="16" t="inlineStr">
        <is>
          <t>To compare the fish using your oyster cages with nearby natural structured seafloor, fix two action cameras to a cage when you haul it — one on a short flexible mount at a corner looking along two sides and the cage–seafloor edge, one raised periscope-style looking across the top — and record [3] cages in the farm interior and [3] at its edge, plus [3] spots beside boulders or other natural structure at each of [2] reference sites of similar depth, setting the cameras on low weighted stands there. Record [2–3] daylight hours per spot on the same day or consecutive days, once per season, and start scoring once the gear has settled. Score each minute for MaxN — the most fish of each species in one frame — with a fish guide, and compare species, frequency and abundance between farm and reference. A magenta lens filter helps in green water. Water samples for eDNA metabarcoding add species cameras miss, but presence only. The source used one rock reef, so the second reference is added; fish hiding inside cages are not seen.</t>
        </is>
      </c>
      <c r="AL86" s="17" t="inlineStr">
        <is>
          <t>High</t>
        </is>
      </c>
      <c r="AM86" s="18" t="inlineStr">
        <is>
          <t>mercaldoallen_2021_hb211</t>
        </is>
      </c>
      <c r="AN86" s="19" t="n"/>
      <c r="AO86" s="19" t="n"/>
      <c r="AP86" s="19" t="n"/>
      <c r="AQ86" s="16" t="inlineStr">
        <is>
          <t>Community-composition survey — Mollusk, Seaweed</t>
        </is>
      </c>
      <c r="AR86" s="16" t="inlineStr">
        <is>
          <t>Mercaldo-Allen, Renee; Clark, Paul; Liu, Yuan; Phillips, Genevieve; Redman, Dylan; Auster, Peter J.; Estela, Eric; Milke, Lisa; Verkade, Alison; Rose, Julie M.;</t>
        </is>
      </c>
      <c r="AS86" s="16" t="inlineStr">
        <is>
          <t>A clean, NOAA-led protocol for eDNA at aquaculture infrastructure that is directly transferable to seaweed-farm settings. Useful template for any monitoring programme considering adding an eDNA layer per the English 2024 review.  |  Migration (one-indicator-per-row, 2026-09-04): split from mercaldoallen_2021 -&gt; {mercaldoallen_2021_hb111, mercaldoallen_2021_hb211}. This row = mercaldoallen_2021_hb211 (H&amp;B 2.1.1 — Community composition). Candidate: AK/N/Q blanked and I/K/W/O/P provisional; per-indicator method text, tier/cost/effort and match adjudication to be finalised at generation. Combined parent I/AK/N/Q retained in v37 (pre-split).  |  [2026-10-13 Rule 15 cost re-rate, batch 10] Framework basis: Mol H&amp;B 2.1.1 (Mollusk + Seaweed; the mollusc row is the most demanding): 2 farm strata + 2 nearby non-farm refs (natural seafloor); seasonal (4 visits); 4 locations × 4 visits × 3 replicates = 48. Visual surveys at cages and reference seafloor, identified in the field; eDNA excluded as supplementary (presence only); snorkel (divers would add hire costs). Snorkel route confirmed (Peter, 2026-10-13). Prior O: 'Medium–High — eDNA $30–50/sample through service provider; dive gear Low'.  |  [2026-10-15 method-summary pass] Citation corrected: the database title, journal and DOI (Frontiers in Marine Science 8: 690474, doi:10.3389/fmars.2021.690474) do not resolve to a published paper; the identical 10-author list belongs to Mercaldo-Allen et al. (2021) Aquaculture Environment Interactions 13: 277–294, doi:10.3354/aei00408 — B, C, D, F, H, R, T rewritten. S: blank → 'Full PDF' (NOAA IR copy). I, K: candidate-split text replaced; Match Partial (fish only; one reference reef; one paired day) — second reference added in AK. L → Yes. W: '2 — Researcher' → '4 — Practitioner' (Rule 14; action cameras + MaxN with a guide, no lab, as ferriss_2021_hb211); fill → T4 lime. AG → 'BRUVs / video, eDNA'; AC 'Floating cage / tray' → 'On-bottom cages'. N, Q, U filled; P detail. O: 'Low — ~$340 … (snorkel …)' → 'Medium — ~$1.0K' (source method is video, not snorkel census; Rule 15 basis unchanged: Mol H&amp;B 2.1.1, 4 locations × 4 visits × 3; two cameras rotated across spots). AK written; AL Med → High.  |  [2026-10-16 method-summary pass] Peter's call (2026-10-16): Partial kept.  |  [2026-10-16 monitoring-methods pass] AT (Monitoring Methods) set from the protocol's method summary (AK): Baited remote underwater video (BRUV), Time-lapse / GoPro cameras, Water eDNA, Bivalve condition index / growth.</t>
        </is>
      </c>
      <c r="AT86" s="20" t="inlineStr">
        <is>
          <t>Baited remote underwater video (BRUV), Time-lapse / GoPro cameras, Water eDNA, Bivalve condition index / growth</t>
        </is>
      </c>
    </row>
    <row r="87">
      <c r="A87" t="inlineStr">
        <is>
          <t>McKindsey, C. W., et al.</t>
        </is>
      </c>
      <c r="B87" t="inlineStr">
        <is>
          <t>Effects of shellfish aquaculture on fish habitat</t>
        </is>
      </c>
      <c r="C87" t="inlineStr">
        <is>
          <t>DFO CSAS Research Document</t>
        </is>
      </c>
      <c r="D87" t="inlineStr">
        <is>
          <t>2006/011</t>
        </is>
      </c>
      <c r="G87" t="n">
        <v>2006</v>
      </c>
      <c r="H87" t="inlineStr">
        <is>
          <t>Fisheries and Oceans Canada</t>
        </is>
      </c>
      <c r="I87" t="inlineStr">
        <is>
          <t>Discusses methods for measuring shellfish-aquaculture effects on fish habitat. Reviews video, scuba diver counts, traps, towed gear, acoustics, and BACI / asymmetric-BACI sampling designs at survey level — points to primary methodology references rather than documenting a single replicable protocol.</t>
        </is>
      </c>
      <c r="J87" t="inlineStr">
        <is>
          <t>Reference</t>
        </is>
      </c>
      <c r="K87" t="inlineStr">
        <is>
          <t>Reviews monitoring methods qualitatively. Conceptually useful (especially case for asymmetric BACI and sampling directly beneath suspended lines), but lacks operational specifics (replicates, sample sizes, deployment specs) needed to execute.</t>
        </is>
      </c>
      <c r="L87" t="inlineStr">
        <is>
          <t>No — review-level discussion; no executable protocol.</t>
        </is>
      </c>
      <c r="M87" t="inlineStr">
        <is>
          <t>Partial — researchers can use this to frame an ecosystem-services-oriented monitoring programme; must consult cited primary references for actual methodology.</t>
        </is>
      </c>
      <c r="N87" t="inlineStr">
        <is>
          <t>N/A — review/synthesis</t>
        </is>
      </c>
      <c r="O87" t="inlineStr">
        <is>
          <t>N/A — review/synthesis</t>
        </is>
      </c>
      <c r="P87" t="inlineStr">
        <is>
          <t>One-time (no sampling — desk-based)</t>
        </is>
      </c>
      <c r="Q87" t="inlineStr">
        <is>
          <t>N/A — review/synthesis</t>
        </is>
      </c>
      <c r="R87" t="inlineStr">
        <is>
          <t>Yes — Free (DFO CSAS open publication)</t>
        </is>
      </c>
      <c r="S87" t="inlineStr">
        <is>
          <t>Full PDF</t>
        </is>
      </c>
      <c r="T87" t="inlineStr">
        <is>
          <t>https://www.dfo-mpo.gc.ca/csas-sccs/Publications/ResDocs-DocRech/2006/2006_011-eng.htm</t>
        </is>
      </c>
      <c r="V87" t="inlineStr">
        <is>
          <t>Original list</t>
        </is>
      </c>
      <c r="W87" s="37" t="inlineStr">
        <is>
          <t>1 — Reference</t>
        </is>
      </c>
      <c r="X87" t="inlineStr">
        <is>
          <t>Mollusk</t>
        </is>
      </c>
      <c r="Y87" t="inlineStr">
        <is>
          <t>Habitat &amp; Biodiversity, Cross-cutting / Framework</t>
        </is>
      </c>
      <c r="Z87" t="inlineStr">
        <is>
          <t>H&amp;B 1.1.1 — Epibiota, H&amp;B 1.2.1 — Mobile fauna, H&amp;B 1.3.1 — Benthic infauna, H&amp;B 1.4.1 — Sediment, H&amp;B 2.1.1 — Community composition</t>
        </is>
      </c>
      <c r="AA87" t="inlineStr">
        <is>
          <t>Cross-zone / global</t>
        </is>
      </c>
      <c r="AB87" t="inlineStr">
        <is>
          <t>Blue mussel (Mytilus edulis), Bay mussel (Mytilus trossulus), Eastern oyster (Crassostrea virginica), Pacific oyster (Crassostrea / Magallana gigas), Manila clam (Ruditapes philippinarum), Scallop (Pecten / Argopecten / Placopecten spp.)</t>
        </is>
      </c>
      <c r="AC87" t="inlineStr">
        <is>
          <t>Mixed</t>
        </is>
      </c>
      <c r="AD87" t="inlineStr">
        <is>
          <t>Not scale-specific</t>
        </is>
      </c>
      <c r="AE87" t="inlineStr">
        <is>
          <t>Not site-specific</t>
        </is>
      </c>
      <c r="AF87" t="inlineStr">
        <is>
          <t>Monoculture</t>
        </is>
      </c>
      <c r="AG87" t="inlineStr">
        <is>
          <t>Visual survey, BRUVs / video, Acoustic, Sediment sampling, Mixed methods</t>
        </is>
      </c>
      <c r="AH87" t="inlineStr">
        <is>
          <t>Not algae-specific</t>
        </is>
      </c>
      <c r="AI87" t="inlineStr">
        <is>
          <t>Not depth-specific</t>
        </is>
      </c>
      <c r="AJ87" t="inlineStr">
        <is>
          <t>Not exposure-specific</t>
        </is>
      </c>
      <c r="AK87" s="16" t="inlineStr">
        <is>
          <t>This is a synthesis of methods for measuring shellfish-aquaculture effects on fish habitat rather than a single executable protocol: it reviews video, diver counts, traps, towed gear and acoustics, and argues for before/after control-impact (especially asymmetric-BACI) designs and for sampling directly beneath suspended lines. Use it to choose an appropriate survey design and to locate the primary references for each technique.</t>
        </is>
      </c>
      <c r="AL87" s="17" t="inlineStr">
        <is>
          <t>Ref</t>
        </is>
      </c>
      <c r="AM87" s="18" t="inlineStr">
        <is>
          <t>mckindsey_2006</t>
        </is>
      </c>
      <c r="AN87" s="19" t="n"/>
      <c r="AO87" s="19" t="n"/>
      <c r="AP87" s="19" t="n"/>
      <c r="AQ87" s="16" t="inlineStr">
        <is>
          <t>Methods for Shellfish-Aquaculture Effects on Fish Habitat (Synthesis)</t>
        </is>
      </c>
      <c r="AR87" s="16" t="inlineStr">
        <is>
          <t>McKindsey, Christopher W; Anderson, M Robin; Barnes, Penelope; Courtenay, Simon; Landry, Thomas; Skinner, Marc</t>
        </is>
      </c>
      <c r="AS87" s="16" t="inlineStr">
        <is>
          <t>Foundational DFO synthesis on bivalve aquaculture / fish habitat interactions, written as a companion to Chamberlain et al. 2006 (PZDN models) and Cranford et al. 2006 (indicators &amp; thresholds). Argues for ecosystem-services framing — bivalve farms function partly as artificial reefs, supporting epifauna, mobile macroinvertebrates and fishes — aligning with the MEL framework's 'regenerative' perspective. Covers East Coast (Mytilus edulis, M. trossulus, C. virginica) and West Coast Canada (C. gigas, V. philippinarum, scallops).</t>
        </is>
      </c>
      <c r="AT87" s="21" t="n"/>
    </row>
    <row r="88">
      <c r="A88" t="inlineStr">
        <is>
          <t>DeAlteris, J. T., et al.</t>
        </is>
      </c>
      <c r="B88" t="inlineStr">
        <is>
          <t>A comparative evaluation of the habitat value of shellfish aquaculture gear, submerged aquatic vegetation and a non-vegetated seabed</t>
        </is>
      </c>
      <c r="C88" t="inlineStr">
        <is>
          <t>Journal of Shellfish Research</t>
        </is>
      </c>
      <c r="D88" t="n">
        <v>23</v>
      </c>
      <c r="E88" t="n">
        <v>3</v>
      </c>
      <c r="F88" t="inlineStr">
        <is>
          <t>867-874</t>
        </is>
      </c>
      <c r="G88" t="n">
        <v>2004</v>
      </c>
      <c r="H88" t="inlineStr">
        <is>
          <t>National Shellfisheries Association</t>
        </is>
      </c>
      <c r="I88" t="inlineStr">
        <is>
          <t>Maps to H&amp;B 1.1.1 — Epibiota. Rack-and-bag oyster cages (1.8 × 0.6 × 0.6 m, 12 bags each) on a 1 ha lease in Pt. Judith Pond, RI, sampled each season (Dec 2000–Oct 2001) 4–6 weeks after cage cleaning; five 15 × 15 cm quadrats per cage scored for % cover of sessile fouling by class/phylum, likewise on bags and on 10 oysters from each of 3 bags, scaled to total gear surface per m² of seabed. Match: Partial — sessile taxa resolved only to class/phylum; no statistics on sessile cover.</t>
        </is>
      </c>
      <c r="J88" t="inlineStr">
        <is>
          <t>Protocol</t>
        </is>
      </c>
      <c r="K88" t="inlineStr">
        <is>
          <t>Yes (full read) — cover scaled to gear surface per m² of seabed gives a by-group abundance measure the Framework accepts; sessile cover was too variable to test statistically, and taxonomy is coarse (ascidians, bryozoans, hydroids, sponges, algae).</t>
        </is>
      </c>
      <c r="L88" t="inlineStr">
        <is>
          <t>Yes — lifting cages and scoring quadrat cover by broad group is farmer-doable with a field guide; no lab step.</t>
        </is>
      </c>
      <c r="M88" t="inlineStr">
        <is>
          <t>Yes</t>
        </is>
      </c>
      <c r="N88" t="inlineStr">
        <is>
          <t>15 × 15 cm (0.022 m²) quadrat; vernier calipers for oyster dimensions and surface area; field guide for sessile groups; cages lifted by diver with a lift-net in the source (by hauling in normal farm work).</t>
        </is>
      </c>
      <c r="O88" t="inlineStr">
        <is>
          <t>Low — ~$600 yr 1: $600 start-up (lift net ×6 $450 [est]; quadrat $30 [est]; slate + datasheets $40 [est]; field ID kit $80 [est]) + no recurring cost</t>
        </is>
      </c>
      <c r="P88" t="inlineStr">
        <is>
          <t>Year-long study (12 months) — one sample per season, Dec 2000–Oct 2001, on cages cleaned 4–6 weeks earlier (lift-nets set 2 weeks ahead)</t>
        </is>
      </c>
      <c r="Q88" t="inlineStr">
        <is>
          <t>Descriptive: % cover × surface area extrapolated to the whole cage, bags and oysters per m² of seabed; no test (too variable). Correlation of total faunal abundance with emergent surface area.</t>
        </is>
      </c>
      <c r="R88" t="inlineStr">
        <is>
          <t>Yes — Free (DigitalCommons@URI)</t>
        </is>
      </c>
      <c r="S88" t="inlineStr">
        <is>
          <t>Full PDF</t>
        </is>
      </c>
      <c r="T88" t="inlineStr">
        <is>
          <t>https://digitalcommons.uri.edu/favs_facpubs/26</t>
        </is>
      </c>
      <c r="U88" t="inlineStr">
        <is>
          <t>The lift-net plus surface-area approach transfers to other rack/cage aquaculture types. [2026-09-08 Evaluator full-read refresh] CONFIRMED — fills the epibiota gap (replaces the removed hossain_2013 epibiota). Peer-reviewed (J. Shellfish Research). Equipment filled. [2026-09-08] hossain_2013 removed from roster (non-peer-reviewed magazine); its epibiota indicator is now filled here. [2026-09-08] V2 bundle hosted; three download URLs written back (Stage 5).</t>
        </is>
      </c>
      <c r="V88" t="inlineStr">
        <is>
          <t>Original list</t>
        </is>
      </c>
      <c r="W88" s="35" t="inlineStr">
        <is>
          <t>4 — Practitioner</t>
        </is>
      </c>
      <c r="X88" t="inlineStr">
        <is>
          <t>Mollusk</t>
        </is>
      </c>
      <c r="Y88" t="inlineStr">
        <is>
          <t>Habitat &amp; Biodiversity</t>
        </is>
      </c>
      <c r="Z88" t="inlineStr">
        <is>
          <t>H&amp;B 1.1.1 — Epibiota</t>
        </is>
      </c>
      <c r="AA88" t="inlineStr">
        <is>
          <t>Temperate Atlantic</t>
        </is>
      </c>
      <c r="AB88" t="inlineStr">
        <is>
          <t>Eastern oyster (Crassostrea virginica)</t>
        </is>
      </c>
      <c r="AC88" t="inlineStr">
        <is>
          <t>On-bottom cages</t>
        </is>
      </c>
      <c r="AD88" t="inlineStr">
        <is>
          <t>Medium (1–20 ha)</t>
        </is>
      </c>
      <c r="AE88" t="inlineStr">
        <is>
          <t>Variable / seasonal</t>
        </is>
      </c>
      <c r="AF88" t="inlineStr">
        <is>
          <t>Monoculture</t>
        </is>
      </c>
      <c r="AG88" t="inlineStr">
        <is>
          <t>Visual survey</t>
        </is>
      </c>
      <c r="AH88" t="inlineStr">
        <is>
          <t>Not algae-specific</t>
        </is>
      </c>
      <c r="AI88" t="inlineStr">
        <is>
          <t>Shallow nearshore (2–10 m)</t>
        </is>
      </c>
      <c r="AJ88" t="inlineStr">
        <is>
          <t>Sheltered</t>
        </is>
      </c>
      <c r="AK88" s="16" t="inlineStr">
        <is>
          <t>To measure the fouling community living on your oyster gear, pick [3] cages at random within the farm and [3] at its edge each season, choosing cages last cleaned 4–6 weeks earlier so growth is comparable. Lift each cage and score percent cover of each fouling group (e.g. sea squirts, bryozoans, hydroids, sponges, algae, mussels) in [5] random 15 × 15 cm quadrats on the cage mesh, the same on [3] of its bags, and on [10] oysters from each bag. Scale cover to the total surface of cage, bags and oysters and express it per m² of seabed under the cage, then compare seasons and farm vs edge. Results depend heavily on time since cleaning, so record it; cover by broad group shows how much habitat the gear supports, not which species.</t>
        </is>
      </c>
      <c r="AL88" s="17" t="inlineStr">
        <is>
          <t>High</t>
        </is>
      </c>
      <c r="AM88" s="18" t="inlineStr">
        <is>
          <t>dealteris_2004_hb111</t>
        </is>
      </c>
      <c r="AN88" s="19" t="inlineStr">
        <is>
          <t>https://raw.githubusercontent.com/AquacultureScienceTNC/aquapip-survey/main/protocols/templates/dealteris_2004_hb111.pdf</t>
        </is>
      </c>
      <c r="AO88" s="19" t="inlineStr">
        <is>
          <t>https://raw.githubusercontent.com/AquacultureScienceTNC/aquapip-survey/main/protocols/datasheets/dealteris_2004_hb111.pdf</t>
        </is>
      </c>
      <c r="AP88" s="19" t="inlineStr">
        <is>
          <t>https://raw.githubusercontent.com/AquacultureScienceTNC/aquapip-survey/main/protocols/workbooks/dealteris_2004_hb111.xlsx</t>
        </is>
      </c>
      <c r="AQ88" s="16" t="inlineStr">
        <is>
          <t>Epibiota / fouling survey — Mollusk</t>
        </is>
      </c>
      <c r="AR88" s="16" t="inlineStr">
        <is>
          <t>DeAlteris, Joseph T; Kilpatrick, Brian D; Rheault, Robert B</t>
        </is>
      </c>
      <c r="AS88" s="16" t="inlineStr">
        <is>
          <t>Strong methodological template for habitat-value comparison of on-bottom oyster cages vs SAV vs bare seabed. The lift-net + emergent-surface-area approach is transferable to other rack/cage aquaculture types. Findings (SAG habitat value ≥ SAV, &gt;&gt; NVSB) are evidence for the ecosystem-service framing of mollusk aquaculture.  |  Migration (one-indicator-per-row, 2026-09-04): split from dealteris_2004 -&gt; {dealteris_2004_hb111, dealteris_2004_hb121, dealteris_2004_hb211}. This row = dealteris_2004_hb111 (H&amp;B 1.1.1 — Epibiota). Candidate: AK/N/Q blanked and I/K/W/O/P provisional; per-indicator method text, tier/cost/effort and match adjudication to be finalised at generation. Combined parent I/AK/N/Q retained in v37 (pre-split).  |  [2026-10-09 Rule 15 cost re-rate, batch 4] Framework basis: Mol H&amp;B 1.1.1: amongst farmed biomass, within farm + edge; seasonal (4 visits); 2 locations × 4 visits × 3 replicates = 24. Quadrat cover on lifted cages plus lift-net samples sorted and ID'd by a partner lab (fee is a proxy estimate); one lift-net set per location; cages lifted with the farm's own gear. Band set to Medium on review (2026-10-09): taxa are resolved only coarsely, so the species-level proxy fee likely overstates the lab cost; a fee under about $390 a sample keeps the total under $10K. Prior O: 'Low–Medium — lift-nets are inexpensive; scuba and taxonomic work add cost.'.  |  [2026-10-13 Rule 15 lab-fee waiver] ID moved to the field with a guide (Peter, 2026-10-13: species counts and field-identifiable taxa carry no lab fee); taxa are resolved coarsely; supersedes the 2026-10-09 Medium review call; preservative dropped; design unchanged. Prior O: 'Medium — ~$11K yr 1: $520 start-up (lift net ×6 $450 [est]; quadrat $30 [est]; slate + datasheets $40 [est]) + $10K/yr (epibiota ID 24 × $414 [est]; bags + preservative $100 [est])'.  |  [2026-10-13 method-summary pass] Full read (URI DigitalCommons PDF). I, K: candidate-split text replaced. W: 3 → 4 (Rule 14: quadrat cover by broad group in the field, lab-fee waiver applies). L → Yes. AD: Small (&lt;1 ha) → Medium (1–20 ha) (1.0 ha lease). AG → Visual survey (sediment and water chemistry are ancillary). P: detail added. Match: Partial (sessile taxa at class/phylum). O unchanged. N, Q, AK, AL written. Prior: P: 'Year-long study (12 months)'; W: '3 — Partnership'; AD: 'Small (&lt;1 ha)'; AG: 'Visual survey, Sediment sampling, Water chemistry'.  |  [2026-10-16 monitoring-methods pass] AT (Monitoring Methods) set from the protocol's method summary (AK): Epibiota on lines / structures.</t>
        </is>
      </c>
      <c r="AT88" s="21" t="inlineStr">
        <is>
          <t>Epibiota on lines / structures</t>
        </is>
      </c>
    </row>
    <row r="89">
      <c r="A89" s="21" t="inlineStr">
        <is>
          <t>DeAlteris, J. T., et al.</t>
        </is>
      </c>
      <c r="B89" s="21" t="inlineStr">
        <is>
          <t>A comparative evaluation of the habitat value of shellfish aquaculture gear, submerged aquatic vegetation and a non-vegetated seabed</t>
        </is>
      </c>
      <c r="C89" s="21" t="inlineStr">
        <is>
          <t>Journal of Shellfish Research</t>
        </is>
      </c>
      <c r="D89" s="21" t="n">
        <v>23</v>
      </c>
      <c r="E89" s="21" t="n">
        <v>3</v>
      </c>
      <c r="F89" s="21" t="inlineStr">
        <is>
          <t>867-874</t>
        </is>
      </c>
      <c r="G89" s="21" t="n">
        <v>2004</v>
      </c>
      <c r="H89" s="21" t="inlineStr">
        <is>
          <t>National Shellfisheries Association</t>
        </is>
      </c>
      <c r="I89" s="21" t="inlineStr">
        <is>
          <t>Maps to H&amp;B 1.2.1 — Mobile fauna. Lift-nets (2.1 × 0.9 m, 2 mm mesh) set under 3 random oyster cages 2 weeks before each seasonal sample and closed around the cage as it was lifted; all mobile animals &gt;5 mm identified to species, counted and measured (10 fish, 13 crustacean and 7 mollusc species over the year). Match: Yes.</t>
        </is>
      </c>
      <c r="J89" s="21" t="inlineStr">
        <is>
          <t>Protocol</t>
        </is>
      </c>
      <c r="K89" s="21" t="inlineStr">
        <is>
          <t>Yes (full read) — enclosure sampling gives counts per m² of seabed by species for fish, crustaceans and molluscs, with richness, Shannon diversity and evenness per season; the gear held more animals than eelgrass or bare sand year-round. Only animals inside the cage footprint are caught; larger transient fish around the gear are missed.</t>
        </is>
      </c>
      <c r="L89" s="21" t="inlineStr">
        <is>
          <t>Yes — lift-nets can be set and recovered as cages are hauled; animals &gt;5 mm are identified in the field with fish and invertebrate guides; no lab step.</t>
        </is>
      </c>
      <c r="M89" s="21" t="inlineStr">
        <is>
          <t>Yes</t>
        </is>
      </c>
      <c r="N89" s="21" t="inlineStr">
        <is>
          <t>Lift-nets (2.1 × 0.9 m, 2 mm mesh), one per sampled cage, set by diver in the source (from the surface in shallow water); buckets and sorting tray; vernier calipers or measuring board; fish and invertebrate ID guides.</t>
        </is>
      </c>
      <c r="O89" s="21" t="inlineStr">
        <is>
          <t>Low — ~$600 yr 1: $600 start-up (lift net ×6 $450 [est]; slate + datasheets $40 [est]; field ID kit $80 [est]; fish ID guide $30 [est]) + no recurring cost</t>
        </is>
      </c>
      <c r="P89" s="21" t="inlineStr">
        <is>
          <t>Year-long study (12 months) — one sample per season, Dec 2000–Oct 2001, on cages cleaned 4–6 weeks earlier (lift-nets set 2 weeks ahead)</t>
        </is>
      </c>
      <c r="Q89" s="21" t="inlineStr">
        <is>
          <t>Richness (jackknife), Shannon-Wiener diversity and Smith-Wilson evenness (Ecological Methodology); two-way ANOVA (habitat × season) on log abundance by group with Tukey HSD (SPSS).</t>
        </is>
      </c>
      <c r="R89" s="21" t="inlineStr">
        <is>
          <t>Yes — Free (DigitalCommons@URI)</t>
        </is>
      </c>
      <c r="S89" s="21" t="inlineStr">
        <is>
          <t>Full PDF</t>
        </is>
      </c>
      <c r="T89" s="21" t="inlineStr">
        <is>
          <t>https://digitalcommons.uri.edu/favs_facpubs/26</t>
        </is>
      </c>
      <c r="U89" s="21" t="inlineStr">
        <is>
          <t>The lift-net plus surface-area approach transfers to other rack/cage aquaculture types. [2026-09-08 Evaluator full-read refresh] Confirmed. Duplicative with ferriss_2021_hb121 (additional option).</t>
        </is>
      </c>
      <c r="V89" s="21" t="inlineStr">
        <is>
          <t>Original list</t>
        </is>
      </c>
      <c r="W89" s="35" t="inlineStr">
        <is>
          <t>4 — Practitioner</t>
        </is>
      </c>
      <c r="X89" s="21" t="inlineStr">
        <is>
          <t>Mollusk</t>
        </is>
      </c>
      <c r="Y89" s="21" t="inlineStr">
        <is>
          <t>Habitat &amp; Biodiversity</t>
        </is>
      </c>
      <c r="Z89" s="21" t="inlineStr">
        <is>
          <t>H&amp;B 1.2.1 — Mobile fauna</t>
        </is>
      </c>
      <c r="AA89" s="21" t="inlineStr">
        <is>
          <t>Temperate Atlantic</t>
        </is>
      </c>
      <c r="AB89" s="21" t="inlineStr">
        <is>
          <t>Eastern oyster (Crassostrea virginica)</t>
        </is>
      </c>
      <c r="AC89" s="21" t="inlineStr">
        <is>
          <t>On-bottom cages</t>
        </is>
      </c>
      <c r="AD89" s="21" t="inlineStr">
        <is>
          <t>Medium (1–20 ha)</t>
        </is>
      </c>
      <c r="AE89" s="21" t="inlineStr">
        <is>
          <t>Variable / seasonal</t>
        </is>
      </c>
      <c r="AF89" s="21" t="inlineStr">
        <is>
          <t>Monoculture</t>
        </is>
      </c>
      <c r="AG89" s="21" t="inlineStr">
        <is>
          <t>Visual survey</t>
        </is>
      </c>
      <c r="AH89" s="21" t="inlineStr">
        <is>
          <t>Not algae-specific</t>
        </is>
      </c>
      <c r="AI89" s="21" t="inlineStr">
        <is>
          <t>Shallow nearshore (2–10 m)</t>
        </is>
      </c>
      <c r="AJ89" s="21" t="inlineStr">
        <is>
          <t>Sheltered</t>
        </is>
      </c>
      <c r="AK89" s="16" t="inlineStr">
        <is>
          <t>To measure the fish, crabs, shrimp and snails using your oyster cages, set a 2 mm mesh lift-net on the seabed under each of [3] randomly chosen cages within the farm and [3] at its edge, two weeks before sampling so animals disturbed by the setting can return. On sampling day, draw the net up around the cage as it is lifted so nothing escapes, then sort out every mobile animal over 5 mm, identify it to species with a field guide, count and measure it, and release it. Repeat each season and express counts per m² of seabed under the net. Compare abundance, species richness and diversity between seasons and farm vs edge (e.g. two-way ANOVA). The net only catches animals inside the cage footprint; larger fish cruising around the gear need a camera or trap.</t>
        </is>
      </c>
      <c r="AL89" s="17" t="inlineStr">
        <is>
          <t>High</t>
        </is>
      </c>
      <c r="AM89" s="18" t="inlineStr">
        <is>
          <t>dealteris_2004_hb121</t>
        </is>
      </c>
      <c r="AN89" s="19" t="n"/>
      <c r="AO89" s="19" t="n"/>
      <c r="AP89" s="19" t="n"/>
      <c r="AQ89" s="16" t="inlineStr">
        <is>
          <t>Mobile-fauna monitoring — Mollusk</t>
        </is>
      </c>
      <c r="AR89" s="16" t="inlineStr">
        <is>
          <t>DeAlteris, Joseph T; Kilpatrick, Brian D; Rheault, Robert B</t>
        </is>
      </c>
      <c r="AS89" s="16" t="inlineStr">
        <is>
          <t>Strong methodological template for habitat-value comparison of on-bottom oyster cages vs SAV vs bare seabed. The lift-net + emergent-surface-area approach is transferable to other rack/cage aquaculture types. Findings (SAG habitat value ≥ SAV, &gt;&gt; NVSB) are evidence for the ecosystem-service framing of mollusk aquaculture.  |  Migration (one-indicator-per-row, 2026-09-04): split from dealteris_2004 -&gt; {dealteris_2004_hb111, dealteris_2004_hb121, dealteris_2004_hb211}. This row = dealteris_2004_hb121 (H&amp;B 1.2.1 — Mobile fauna). Candidate: AK/N/Q blanked and I/K/W/O/P provisional; per-indicator method text, tier/cost/effort and match adjudication to be finalised at generation. Combined parent I/AK/N/Q retained in v37 (pre-split).  |  [2026-10-09 Rule 15 cost re-rate, batch 4] Framework basis: Mol H&amp;B 1.2.1: amongst farmed biomass, within farm + edge; seasonal (4 visits); 2 locations × 4 visits × 3 replicates = 24. Lift-net enclosure samples sorted and ID'd by a partner lab (priced at the epibiota proxy rate); one lift-net set per location; cages lifted with the farm's own gear. Band set to Medium on review (2026-10-09): taxa are resolved only coarsely, so the species-level proxy fee likely overstates the lab cost; a fee under about $390 a sample keeps the total under $10K. Prior O: 'Low–Medium — lift-nets are inexpensive; scuba and taxonomic work add cost.'.  |  [2026-10-13 Rule 15 lab-fee waiver] ID moved to the field with a guide (Peter, 2026-10-13: species counts and field-identifiable taxa carry no lab fee); taxa are resolved coarsely; fish guide added for the fish in the catch; supersedes the 2026-10-09 Medium review call; preservative dropped; design unchanged. Prior O: 'Medium — ~$11K yr 1: $490 start-up (lift net ×6 $450 [est]; slate + datasheets $40 [est]) + $10K/yr (fauna sort + ID 24 × $414 [est]; bags + preservative $100 [est])'.  |  [2026-10-13 method-summary pass] Full read (URI DigitalCommons PDF). I, K: candidate-split text replaced; Match: Yes. W: 3 → 4 (Rule 14: lift-net catch identified in the field). L → Yes. AD → Medium (1–20 ha). AG → Visual survey. P: detail added. O unchanged. N, Q, AK, AL written. Prior: P: 'Year-long study (12 months)'; W: '3 — Partnership'; AD: 'Small (&lt;1 ha)'; AG: 'Visual survey, Sediment sampling, Water chemistry'.  |  [2026-10-16 monitoring-methods pass] AT (Monitoring Methods) set from the protocol's method summary (AK): Time-lapse / GoPro cameras, Nets &amp; baited traps.</t>
        </is>
      </c>
      <c r="AT89" s="21" t="inlineStr">
        <is>
          <t>Time-lapse / GoPro cameras, Nets &amp; baited traps</t>
        </is>
      </c>
    </row>
    <row r="90">
      <c r="A90" s="21" t="inlineStr">
        <is>
          <t>DeAlteris, J. T., et al.</t>
        </is>
      </c>
      <c r="B90" s="21" t="inlineStr">
        <is>
          <t>A comparative evaluation of the habitat value of shellfish aquaculture gear, submerged aquatic vegetation and a non-vegetated seabed</t>
        </is>
      </c>
      <c r="C90" s="21" t="inlineStr">
        <is>
          <t>Journal of Shellfish Research</t>
        </is>
      </c>
      <c r="D90" s="21" t="n">
        <v>23</v>
      </c>
      <c r="E90" s="21" t="n">
        <v>3</v>
      </c>
      <c r="F90" s="21" t="inlineStr">
        <is>
          <t>867-874</t>
        </is>
      </c>
      <c r="G90" s="21" t="n">
        <v>2004</v>
      </c>
      <c r="H90" s="21" t="inlineStr">
        <is>
          <t>National Shellfisheries Association</t>
        </is>
      </c>
      <c r="I90" s="21" t="inlineStr">
        <is>
          <t>Maps to H&amp;B 2.1.1 — Community composition. Oyster-cage habitat (lift-nets) compared each season with an eelgrass bed and bare sand ~1.5 km away at similar depth (2 mm drop-net plus venturi suction dredge from a skiff), 3 replicates per habitat per season; mobile fauna &gt;5 mm identified and counted; emergent surface area measured in each habitat. Match: Partial — farm and reference habitats are sampled with different enclosure gear, and the references are 1.5 km away.</t>
        </is>
      </c>
      <c r="J90" s="21" t="inlineStr">
        <is>
          <t>Protocol</t>
        </is>
      </c>
      <c r="K90" s="21" t="inlineStr">
        <is>
          <t>Yes (full read) — 4 seasons × 3 habitats × 3 replicates; the gear had higher abundance and richness than eelgrass and bare sand, diversity similar to eelgrass but lower evenness (dominated by mud crabs, cunner and mussels). Temperature, salinity, DO and sediment did not differ among habitats, supporting a habitat effect.</t>
        </is>
      </c>
      <c r="L90" s="21" t="inlineStr">
        <is>
          <t>Yes — lift-nets, drop-net and suction sampler can be run from a skiff in 2–3 m of water; animals &gt;5 mm are field-identified; no lab step.</t>
        </is>
      </c>
      <c r="M90" s="21" t="inlineStr">
        <is>
          <t>Yes</t>
        </is>
      </c>
      <c r="N90" s="21" t="inlineStr">
        <is>
          <t>Lift-nets (2.1 × 0.9 m, 2 mm mesh) for cages; drop-net (2.13 × 0.92 m, 2 mm mesh) with venturi suction dredge and 2 mm catch bag, run from a small skiff, for reference habitats; 0.25 m² quadrat for eelgrass shoots; vernier calipers; temperature/salinity/DO meter and 7.5 cm sediment corer for habitat checks; field ID guides.</t>
        </is>
      </c>
      <c r="O90" s="21" t="inlineStr">
        <is>
          <t>Medium — ~$1.3K yr 1: $1.28K start-up (lift net ×6 $450 [est]; drop net + suction sampler $500 [est]; snorkel set $150 [est]; quadrat $30 [est]; slate + datasheets $40 [est]; field ID kit $80 [est]; fish ID guide $30 [est]) + no recurring cost</t>
        </is>
      </c>
      <c r="P90" s="21" t="inlineStr">
        <is>
          <t>Year-long study (12 months) — one sample per season, Dec 2000–Oct 2001, on cages cleaned 4–6 weeks earlier (lift-nets set 2 weeks ahead)</t>
        </is>
      </c>
      <c r="Q90" s="21" t="inlineStr">
        <is>
          <t>Two-way ANOVA (habitat × season) on richness (jackknife), Shannon-Wiener diversity, Smith-Wilson evenness and log abundance by group, with Tukey HSD; correlation of abundance with emergent surface area (SPSS, Excel).</t>
        </is>
      </c>
      <c r="R90" s="21" t="inlineStr">
        <is>
          <t>Yes — Free (DigitalCommons@URI)</t>
        </is>
      </c>
      <c r="S90" s="21" t="inlineStr">
        <is>
          <t>Full PDF</t>
        </is>
      </c>
      <c r="T90" s="21" t="inlineStr">
        <is>
          <t>https://digitalcommons.uri.edu/favs_facpubs/26</t>
        </is>
      </c>
      <c r="U90" s="21" t="inlineStr">
        <is>
          <t>The lift-net plus surface-area approach transfers to other rack/cage aquaculture types. [2026-09-08 Evaluator full-read refresh] Confirmed. Duplicative with ferriss_2021_hb211 (additional option).</t>
        </is>
      </c>
      <c r="V90" s="21" t="inlineStr">
        <is>
          <t>Original list</t>
        </is>
      </c>
      <c r="W90" s="35" t="inlineStr">
        <is>
          <t>4 — Practitioner</t>
        </is>
      </c>
      <c r="X90" s="21" t="inlineStr">
        <is>
          <t>Mollusk</t>
        </is>
      </c>
      <c r="Y90" s="21" t="inlineStr">
        <is>
          <t>Habitat &amp; Biodiversity</t>
        </is>
      </c>
      <c r="Z90" s="21" t="inlineStr">
        <is>
          <t>H&amp;B 2.1.1 — Community composition</t>
        </is>
      </c>
      <c r="AA90" s="21" t="inlineStr">
        <is>
          <t>Temperate Atlantic</t>
        </is>
      </c>
      <c r="AB90" s="21" t="inlineStr">
        <is>
          <t>Eastern oyster (Crassostrea virginica)</t>
        </is>
      </c>
      <c r="AC90" s="21" t="inlineStr">
        <is>
          <t>On-bottom cages</t>
        </is>
      </c>
      <c r="AD90" s="21" t="inlineStr">
        <is>
          <t>Medium (1–20 ha)</t>
        </is>
      </c>
      <c r="AE90" s="21" t="inlineStr">
        <is>
          <t>Variable / seasonal</t>
        </is>
      </c>
      <c r="AF90" s="21" t="inlineStr">
        <is>
          <t>Monoculture</t>
        </is>
      </c>
      <c r="AG90" s="21" t="inlineStr">
        <is>
          <t>Visual survey</t>
        </is>
      </c>
      <c r="AH90" s="21" t="inlineStr">
        <is>
          <t>Not algae-specific</t>
        </is>
      </c>
      <c r="AI90" s="21" t="inlineStr">
        <is>
          <t>Shallow nearshore (2–10 m)</t>
        </is>
      </c>
      <c r="AJ90" s="21" t="inlineStr">
        <is>
          <t>Sheltered</t>
        </is>
      </c>
      <c r="AK90" s="16" t="inlineStr">
        <is>
          <t>To compare the animal community on your oyster farm with nearby natural habitat, sample [3] randomly chosen cages within the farm and [3] spots in each of [2] reference habitats of similar depth and sediment nearby (e.g. a seagrass bed and bare sand), on the same day, each season. Under cages use 2 mm mesh lift-nets set two weeks ahead and drawn up around the cage as it is lifted; in the references drop a 2 mm mesh net of similar footprint and vacuum out everything inside with a suction sampler. Identify, count and measure all mobile animals over 5 mm and express results per m² of seabed. Compare abundance, species richness, diversity and evenness among habitats and seasons (e.g. two-way ANOVA). The two samplers catch differently, so treat small differences with caution, and record temperature, salinity and sediment to rule out site differences.</t>
        </is>
      </c>
      <c r="AL90" s="17" t="inlineStr">
        <is>
          <t>High</t>
        </is>
      </c>
      <c r="AM90" s="18" t="inlineStr">
        <is>
          <t>dealteris_2004_hb211</t>
        </is>
      </c>
      <c r="AN90" s="19" t="n"/>
      <c r="AO90" s="19" t="n"/>
      <c r="AP90" s="19" t="n"/>
      <c r="AQ90" s="16" t="inlineStr">
        <is>
          <t>Community-composition survey — Mollusk</t>
        </is>
      </c>
      <c r="AR90" s="16" t="inlineStr">
        <is>
          <t>DeAlteris, Joseph T; Kilpatrick, Brian D; Rheault, Robert B</t>
        </is>
      </c>
      <c r="AS90" s="16" t="inlineStr">
        <is>
          <t>Strong methodological template for habitat-value comparison of on-bottom oyster cages vs SAV vs bare seabed. The lift-net + emergent-surface-area approach is transferable to other rack/cage aquaculture types. Findings (SAG habitat value ≥ SAV, &gt;&gt; NVSB) are evidence for the ecosystem-service framing of mollusk aquaculture.  |  Migration (one-indicator-per-row, 2026-09-04): split from dealteris_2004 -&gt; {dealteris_2004_hb111, dealteris_2004_hb121, dealteris_2004_hb211}. This row = dealteris_2004_hb211 (H&amp;B 2.1.1 — Community composition). Candidate: AK/N/Q blanked and I/K/W/O/P provisional; per-indicator method text, tier/cost/effort and match adjudication to be finalised at generation. Combined parent I/AK/N/Q retained in v37 (pre-split).  |  [2026-10-09 Rule 15 cost re-rate, batch 4] Framework basis: Mol H&amp;B 2.1.1: 2 farm strata + 2 nearby non-farm refs (eelgrass, bare seabed); seasonal (4 visits); 4 locations × 4 visits × 3 replicates = 48. Lift nets at the farm strata; drop net + suction sampler at the reference habitats, snorkel-operated (divers would add hire costs); partner-lab sort + ID at the epibiota proxy rate; suction-sampler price is an estimate. Prior O: 'Low–Medium — lift-nets are inexpensive; scuba and taxonomic work add cost.'.  |  [2026-10-13 Rule 15 lab-fee waiver] ID moved to the field with a guide (Peter, 2026-10-13: species counts and field-identifiable taxa carry no lab fee); taxa are resolved coarsely; fish guide added; the drop net + suction sampler keeps it Medium; preservative dropped; design unchanged. Prior O: 'High — ~$21K yr 1: $1.17K start-up (lift net ×6 $450 [est]; drop net + suction sampler $500 [est]; snorkel set $150 [est]; quadrat $30 [est]; slate + datasheets $40 [est]) + $20K/yr (fauna sort + ID 48 × $414 [est]; bags + preservative $100 [est])'.  |  [2026-10-13 method-summary pass] Full read (URI DigitalCommons PDF). I, K: candidate-split text replaced; Match: Partial (different enclosure gear at farm vs references; references 1.5 km away). W: 3 → 4 (Rule 14). L → Yes. AD → Medium (1–20 ha). AG → Visual survey. P: detail added. O unchanged. N, Q, AK, AL written. Prior: P: 'Year-long study (12 months)'; W: '3 — Partnership'; AD: 'Small (&lt;1 ha)'; AG: 'Visual survey, Sediment sampling, Water chemistry'.  |  [2026-10-16 monitoring-methods pass] AT (Monitoring Methods) set from the protocol's method summary (AK): Temperature / salinity.</t>
        </is>
      </c>
      <c r="AT90" s="21" t="inlineStr">
        <is>
          <t>Temperature / salinity</t>
        </is>
      </c>
    </row>
    <row r="91">
      <c r="A91" t="inlineStr">
        <is>
          <t>Mascorda-Cabre, L., et al.</t>
        </is>
      </c>
      <c r="B91" t="inlineStr">
        <is>
          <t>Assessing the impact of an offshore longline mussel farm on local water circulation in a highly hydrodynamic energetic bay</t>
        </is>
      </c>
      <c r="C91" t="inlineStr">
        <is>
          <t>Aquaculture</t>
        </is>
      </c>
      <c r="D91" t="n">
        <v>585</v>
      </c>
      <c r="F91" t="inlineStr">
        <is>
          <t>740697</t>
        </is>
      </c>
      <c r="G91" t="n">
        <v>2024</v>
      </c>
      <c r="H91" t="inlineStr">
        <is>
          <t>Elsevier</t>
        </is>
      </c>
      <c r="I91" t="inlineStr">
        <is>
          <t>45-day M-ADCP + 13-h VM-ADCP hydrodynamic study at UK's first large-scale offshore longline Mytilus edulis farm. Measures current attenuation (28% within farm), redistribution above/below ropes, shear, wave attenuation. Does not directly measure habitat/WQ/CC indicators — cross-cutting for siting/design.</t>
        </is>
      </c>
      <c r="J91" t="inlineStr">
        <is>
          <t>Protocol</t>
        </is>
      </c>
      <c r="K91" t="inlineStr">
        <is>
          <t>Yes — for hydrodynamic characterisation. Does not measure biological/chemical MEL indicators directly.</t>
        </is>
      </c>
      <c r="L91" t="inlineStr">
        <is>
          <t>No — ADCPs and analysis pipeline require specialist expertise.</t>
        </is>
      </c>
      <c r="M91" t="inlineStr">
        <is>
          <t>Yes</t>
        </is>
      </c>
      <c r="N91" t="inlineStr">
        <is>
          <t>Moored ADCP (M-ADCP), vessel-mounted ADCP (VM-ADCP), oceanographic moorings</t>
        </is>
      </c>
      <c r="O91" t="inlineStr">
        <is>
          <t>High — ADCPs ~$15K+ each, vessel time, harmonic-analysis expertise</t>
        </is>
      </c>
      <c r="P91" t="inlineStr">
        <is>
          <t>Seasonal (1–3 months)</t>
        </is>
      </c>
      <c r="Q91" t="inlineStr">
        <is>
          <t>Tidal harmonic analysis, upstream/downstream M2 constituent comparison, shear computation, transect-based velocity comparison</t>
        </is>
      </c>
      <c r="R91" t="inlineStr">
        <is>
          <t>Yes — Open Access (CC-BY, Elsevier)</t>
        </is>
      </c>
      <c r="S91" t="inlineStr">
        <is>
          <t>Full PDF</t>
        </is>
      </c>
      <c r="T91" t="inlineStr">
        <is>
          <t>https://doi.org/10.1016/j.aquaculture.2024.740697</t>
        </is>
      </c>
      <c r="U91" t="inlineStr">
        <is>
          <t>A physical/siting characterisation rather than a biological or chemical indicator; transfers to offshore seaweed.</t>
        </is>
      </c>
      <c r="V91" t="inlineStr">
        <is>
          <t>Original list</t>
        </is>
      </c>
      <c r="W91" s="38" t="inlineStr">
        <is>
          <t>2 — Researcher</t>
        </is>
      </c>
      <c r="X91" t="inlineStr">
        <is>
          <t>Mollusk</t>
        </is>
      </c>
      <c r="Y91" t="inlineStr">
        <is>
          <t>Climate Change</t>
        </is>
      </c>
      <c r="Z91" t="inlineStr">
        <is>
          <t>CC 3.1.1 — Wave attenuation / coastal protection</t>
        </is>
      </c>
      <c r="AA91" t="inlineStr">
        <is>
          <t>Temperate Atlantic</t>
        </is>
      </c>
      <c r="AB91" t="inlineStr">
        <is>
          <t>Blue mussel (Mytilus edulis)</t>
        </is>
      </c>
      <c r="AC91" t="inlineStr">
        <is>
          <t>Suspended longline (mussel)</t>
        </is>
      </c>
      <c r="AD91" t="inlineStr">
        <is>
          <t>Large (&gt;20 ha)</t>
        </is>
      </c>
      <c r="AE91" t="inlineStr">
        <is>
          <t>Not site-specific</t>
        </is>
      </c>
      <c r="AF91" t="inlineStr">
        <is>
          <t>Monoculture</t>
        </is>
      </c>
      <c r="AG91" t="inlineStr">
        <is>
          <t>Acoustic</t>
        </is>
      </c>
      <c r="AH91" t="inlineStr">
        <is>
          <t>Not algae-specific</t>
        </is>
      </c>
      <c r="AI91" t="inlineStr">
        <is>
          <t>Coastal (10–30 m)</t>
        </is>
      </c>
      <c r="AJ91" t="inlineStr">
        <is>
          <t>Exposed</t>
        </is>
      </c>
      <c r="AK91" s="16" t="inlineStr">
        <is>
          <t>To characterise how a farm alters local currents and waves (relevant to coastal-protection benefit and siting), deploy a moored acoustic Doppler current profiler (ADCP) inside the farm for several weeks to log the vertical current profile continuously, and run vessel-mounted ADCP transects across the farm over a tidal cycle. Analyse the moored record with tidal harmonic analysis, comparing tidal constituents and current speed upstream versus inside and downstream to quantify attenuation and any redistribution of flow above and below the culture ropes, and compute shear. This yields a physical picture of current and wave attenuation to inform farm design and siting, rather than a biological or chemical indicator.</t>
        </is>
      </c>
      <c r="AL91" s="17" t="inlineStr">
        <is>
          <t>Med</t>
        </is>
      </c>
      <c r="AM91" s="18" t="inlineStr">
        <is>
          <t>mascordacabre_2024</t>
        </is>
      </c>
      <c r="AN91" s="19" t="n"/>
      <c r="AO91" s="19" t="n"/>
      <c r="AP91" s="19" t="n"/>
      <c r="AQ91" s="16" t="inlineStr">
        <is>
          <t>Current &amp; Wave Changes Around an Offshore Mussel Farm (ADCP)</t>
        </is>
      </c>
      <c r="AR91" s="16" t="inlineStr">
        <is>
          <t>Mascorda-Cabre, Llucia; Sheehan, Emma V; Attrill, Martin J; Hosegood, Phil</t>
        </is>
      </c>
      <c r="AS91" s="16" t="inlineStr">
        <is>
          <t>Hydrodynamic characterisation of an offshore longline mussel farm — informs siting and design of offshore shellfish/seaweed farms. Methodology transfers to offshore seaweed contexts (parallel to St-Gelais 2022 in row 51). | v1.4 refinement: Retagged from Cross-cutting/framework to CC 3.1.1 (Wave attenuation/coastal protection) — paper directly measures wave attenuation at offshore mussel farm via M-ADCP + VM-ADCP. v1.3 used Cross-cutting/framework because CC 3.1.1 didn't exist; v1.4 framework adds the indicator. Direct measurement, no Sub-rule 1c needed.  |  [2026-10-16 monitoring-methods pass] AT (Monitoring Methods) set from the protocol's method summary (AK): ADCP (currents / waves).</t>
        </is>
      </c>
      <c r="AT91" s="21" t="inlineStr">
        <is>
          <t>ADCP (currents / waves)</t>
        </is>
      </c>
    </row>
    <row r="92">
      <c r="A92" t="inlineStr">
        <is>
          <t>Borja, Á., et al.</t>
        </is>
      </c>
      <c r="B92" t="inlineStr">
        <is>
          <t>Assessing the suitability of a range of benthic indices in the evaluation of environmental impact of fin and shellfish aquaculture located in sites across Europe</t>
        </is>
      </c>
      <c r="C92" t="inlineStr">
        <is>
          <t>Aquaculture</t>
        </is>
      </c>
      <c r="D92" t="n">
        <v>293</v>
      </c>
      <c r="F92" t="inlineStr">
        <is>
          <t>231-240</t>
        </is>
      </c>
      <c r="G92" t="n">
        <v>2009</v>
      </c>
      <c r="H92" t="inlineStr">
        <is>
          <t>Elsevier</t>
        </is>
      </c>
      <c r="I92" t="inlineStr">
        <is>
          <t>Maps to H&amp;B 1.3.1 — Benthic infauna. ECASA survey of 10 European farms in 2006 (7 finfish; bivalves at Chioggia mussel longlines and Baie des Veys intertidal oyster/mussel/clam trestles; fish + mussel at Piran): 4–10 stations per site along transects at 0 (beneath), 5, 10, 25, 50, 100 and 200 m plus ≥1 reference of similar depth and sediment, sampled at the end of the production cycle; ≥4 van Veen grabs (0.1 m²) per subtidal station (hand cores intertidally and by divers in Greece), sieved at 1 mm, identified to species; abundance, biomass, richness, Shannon H′, AMBI and ITI. Match: Yes.</t>
        </is>
      </c>
      <c r="J92" t="inlineStr">
        <is>
          <t>Protocol</t>
        </is>
      </c>
      <c r="K92" t="inlineStr">
        <is>
          <t>Confirmed standalone (full read). Standard grab-and-sieve infauna survey along farm-distance gradients with references; AMBI and ITI responded most consistently (enrichment usually detectable to ~50 m), and current speed, depth, years and tonnage explained much of the variance — robust for H&amp;B 1.3.1.</t>
        </is>
      </c>
      <c r="L92" t="inlineStr">
        <is>
          <t>Partial — grab sampling from the farm boat and sieving are farmer-doable; sorting and species identification need a partner lab (AMBI and ITI are then computed in free software).</t>
        </is>
      </c>
      <c r="M92" t="inlineStr">
        <is>
          <t>Yes</t>
        </is>
      </c>
      <c r="N92" t="inlineStr">
        <is>
          <t>Van Veen grab (0.1 m²), ≥4 replicates per station (hand cores at intertidal and diver-sampled stations); 1.0 mm sieve; partner-lab sorting and species ID; dry-weight biomass (80 °C); AMBI software (free, AZTI); ADCP or current meter deployed ≥1 month (10-min interval) for current speed.</t>
        </is>
      </c>
      <c r="O92" t="inlineStr">
        <is>
          <t>High — ~$12K yr 1: $1.77K start-up (Petite Ponar grab $1.57K [list]; grab line $50 [est]; 1 mm sieve $150 [est]) + $10.1K/yr (infauna sort + ID 24 × $414 [lab fee]; preservative + jars $150 [est])</t>
        </is>
      </c>
      <c r="P92" t="inlineStr">
        <is>
          <t>Single deployment (hours to 1 day) — one survey per site at the end of the production cycle (2006); current meter out ≥1 month</t>
        </is>
      </c>
      <c r="Q92" t="inlineStr">
        <is>
          <t>Abundance (ind m⁻²), biomass, species richness, Shannon–Wiener H′, AMBI and ITI per station along distance gradients (0–200 m) and at references; Pearson correlations, partial redundancy analysis and multiple regression against depth, current speed, distance, years of production and annual production (S-Plus, R Commander, CANOCO).</t>
        </is>
      </c>
      <c r="R92" t="inlineStr">
        <is>
          <t>No — Paywalled (Elsevier)</t>
        </is>
      </c>
      <c r="S92" t="inlineStr">
        <is>
          <t>Full PDF</t>
        </is>
      </c>
      <c r="T92" t="inlineStr">
        <is>
          <t>https://doi.org/10.1016/j.aquaculture.2009.04.037</t>
        </is>
      </c>
      <c r="U92" t="inlineStr">
        <is>
          <t>Mostly finfish cage sites (7 of 10); bivalve longline and intertidal trestle sites included. AMBI and ITI responded most consistently; read results against site depth, current speed and years in production, which explained much of the variation between sites.</t>
        </is>
      </c>
      <c r="V92" t="inlineStr">
        <is>
          <t>Original list</t>
        </is>
      </c>
      <c r="W92" s="42" t="inlineStr">
        <is>
          <t>3 — Partnership</t>
        </is>
      </c>
      <c r="X92" t="inlineStr">
        <is>
          <t>Finfish, Mollusk</t>
        </is>
      </c>
      <c r="Y92" t="inlineStr">
        <is>
          <t>Habitat &amp; Biodiversity</t>
        </is>
      </c>
      <c r="Z92" t="inlineStr">
        <is>
          <t>H&amp;B 1.3.1 — Benthic infauna</t>
        </is>
      </c>
      <c r="AA92" t="inlineStr">
        <is>
          <t>Cross-zone / global</t>
        </is>
      </c>
      <c r="AB92" t="inlineStr">
        <is>
          <t>Multi-species / mixed</t>
        </is>
      </c>
      <c r="AC92" t="inlineStr">
        <is>
          <t>Mixed</t>
        </is>
      </c>
      <c r="AD92" t="inlineStr">
        <is>
          <t>Multi-farm regional</t>
        </is>
      </c>
      <c r="AE92" t="inlineStr">
        <is>
          <t>Not site-specific</t>
        </is>
      </c>
      <c r="AF92" t="inlineStr">
        <is>
          <t>Monoculture</t>
        </is>
      </c>
      <c r="AG92" t="inlineStr">
        <is>
          <t>Sediment sampling</t>
        </is>
      </c>
      <c r="AH92" t="inlineStr">
        <is>
          <t>Not algae-specific</t>
        </is>
      </c>
      <c r="AI92" t="inlineStr">
        <is>
          <t>Not depth-specific</t>
        </is>
      </c>
      <c r="AJ92" t="inlineStr">
        <is>
          <t>Not exposure-specific</t>
        </is>
      </c>
      <c r="AK92" s="16" t="inlineStr">
        <is>
          <t>To check how your farm affects the animals living in the seabed, take [3–4] grab samples (e.g. a 0.1 m² van Veen or a smaller Ponar from the boat) under the farm and [3–4] at its edge, adding stations at about 25, 50 and 100 m down-current and [1–2] reference stations of similar depth and sediment if you can, as the source did. Sample once per season, including near the end of the production cycle when impacts peak. Wash each grab through a 1 mm sieve, preserve what is retained, and have a partner lab sort and identify it to species. Report abundance, number of species and Shannon diversity, and calculate AMBI (free software) and ITI, which tracked enrichment most consistently across ten European farms. Effects were usually confined to about 50 m; read results against depth, current speed and years in production, which drove much of the difference between sites.</t>
        </is>
      </c>
      <c r="AL92" s="17" t="inlineStr">
        <is>
          <t>High</t>
        </is>
      </c>
      <c r="AM92" s="18" t="inlineStr">
        <is>
          <t>borja_2009_hb131</t>
        </is>
      </c>
      <c r="AN92" s="19" t="n"/>
      <c r="AO92" s="19" t="n"/>
      <c r="AP92" s="19" t="n"/>
      <c r="AQ92" s="16" t="inlineStr">
        <is>
          <t>Benthic-infauna sampling — Finfish, Mollusk</t>
        </is>
      </c>
      <c r="AR92" s="16" t="inlineStr">
        <is>
          <t>Borja, Ángel; Rodríguez, J Germán; Black, Kenny; Bodoy, Alain; Emblow, Chris; Fernandes, Teresa F; Forte, Janez; Karakassis, Ioannis; Muxika, Iñigo; Nickell, Thom D; Papageorgiou, Nafsika; Pranovi, Fabio; Sevastou, Katerina; Tomassetti, Paolo; Angel, Dror</t>
        </is>
      </c>
      <c r="AS92" s="16" t="inlineStr">
        <is>
          <t>Multi-tagged Finfish+Mollusk per Rule 2: methodology (AMBI / ITI for organic enrichment) transfers between finfish and bivalve sites — the paper explicitly applies both indices across both farm types. Strong methodological template for benthic monitoring at shellfish farms in Europe.  |  Migration (one-indicator-per-row, 2026-09-04): split from borja_2009 -&gt; {borja_2009_hb131, borja_2009_hb141}. This row = borja_2009_hb131 (H&amp;B 1.3.1 — Benthic infauna). Candidate: AK/N/Q blanked and I/K/W/O/P provisional; per-indicator method text, tier/cost/effort and match adjudication to be finalised at generation. Combined parent I/AK/N/Q retained in v37 (pre-split).  |  [2026-10-13 Rule 15 cost re-rate, batch 10] Framework basis: Mol H&amp;B 1.3.1 (Finfish + Mollusk; the finfish sector has no H&amp;B 1.3.1): under/within farm + edge; seasonal (4 visits); 2 locations × 4 visits × 3 replicates = 24. Grab, partner-lab sort + ID for AMBI/ITI (free index software); not field-identifiable, so no waiver. Prior O: 'Medium–High — multi-site survey, lab taxonomy'.  |  [2026-10-15 method-summary pass] Full read (open PDF, Ca' Foscari IRIS repository). I, K: candidate-split text replaced; Match Yes. L → Partial. W: '2 — Researcher' → '3 — Partnership' (Rule 14; grab sampling farmer-doable, sorting + ID at partner lab); fill → T3 pale green. AG: 'Sediment sampling, Water chemistry' → 'Sediment sampling' (no water chemistry). N, Q: blank → filled. P: 'Short campaign' → single survey per site. U rewritten. O: sieve item 500 µm → 1 mm (source mesh; same price, total unchanged). AK written; AL Med → High.  |  [2026-10-16 monitoring-methods pass] AT (Monitoring Methods) set from the protocol's method summary (AK): Benthic infauna community.</t>
        </is>
      </c>
      <c r="AT92" s="21" t="inlineStr">
        <is>
          <t>Benthic infauna community</t>
        </is>
      </c>
    </row>
    <row r="93">
      <c r="A93" s="21" t="inlineStr">
        <is>
          <t>Borja, Á., et al.</t>
        </is>
      </c>
      <c r="B93" s="21" t="inlineStr">
        <is>
          <t>Assessing the suitability of a range of benthic indices in the evaluation of environmental impact of fin and shellfish aquaculture located in sites across Europe</t>
        </is>
      </c>
      <c r="C93" s="21" t="inlineStr">
        <is>
          <t>Aquaculture</t>
        </is>
      </c>
      <c r="D93" s="21" t="n">
        <v>293</v>
      </c>
      <c r="E93" s="21" t="n"/>
      <c r="F93" s="21" t="inlineStr">
        <is>
          <t>231-240</t>
        </is>
      </c>
      <c r="G93" s="21" t="n">
        <v>2009</v>
      </c>
      <c r="H93" s="21" t="inlineStr">
        <is>
          <t>Elsevier</t>
        </is>
      </c>
      <c r="I93" s="21" t="inlineStr">
        <is>
          <t>Maps to H&amp;B 1.4.1 — Sediment. Same ECASA design (10 European farms, stations from beneath the farm to 200 m plus ≥1 reference, end of production cycle, 2006): triplicate cores (5 cm × 30 cm) per station analysed for total organic matter (loss on ignition), silt fraction (&lt;63 µm) and redox potential (Eh). Match: Yes — organic content and redox along a farm–reference gradient; no sulfide.</t>
        </is>
      </c>
      <c r="J93" s="21" t="inlineStr">
        <is>
          <t>Protocol</t>
        </is>
      </c>
      <c r="K93" s="21" t="inlineStr">
        <is>
          <t>Confirmed standalone (full read). Sediment variables were measured at every station alongside the infauna, giving an organic-enrichment profile from beneath the farm to a reference — adequate for H&amp;B 1.4.1 (organic matter rose and Eh fell where currents were weak); the paper uses them as explanatory variables rather than testing them on their own.</t>
        </is>
      </c>
      <c r="L93" s="21" t="inlineStr">
        <is>
          <t>Partial — cores and redox readings with a handheld ORP meter are farmer-doable; organic matter and grain size need a partner lab.</t>
        </is>
      </c>
      <c r="M93" s="21" t="inlineStr">
        <is>
          <t>Yes</t>
        </is>
      </c>
      <c r="N93" s="21" t="inlineStr">
        <is>
          <t>Triplicate sediment cores (about 5 cm diameter, 30 cm long) per station, by hand at intertidal stations and by SCUBA divers at the Greek sites; partner-lab loss on ignition (total organic matter) and silt fraction (&lt;63 µm); redox potential (Eh) electrode.</t>
        </is>
      </c>
      <c r="O93" s="21" t="inlineStr">
        <is>
          <t>Medium — ~$3.8K yr 1: $2.6K start-up (Petite Ponar grab $1.57K [list]; grab line $50 [est]; portable pH/ORP meter $760 [list]; platinum ORP electrode $220 [list]) + $1.23K/yr (grain size 24 × $30 [lab fee]; sediment LOI 24 × $19 [lab fee]; sample jars $50 [est])</t>
        </is>
      </c>
      <c r="P93" s="21" t="inlineStr">
        <is>
          <t>Single deployment (hours to 1 day) — one survey per site at the end of the production cycle (2006)</t>
        </is>
      </c>
      <c r="Q93" s="21" t="inlineStr">
        <is>
          <t>TOM, silt % and Eh per station along distance gradients and at references; Pearson correlations with farm, hydrographic and macrofaunal variables; partial redundancy analysis (sediment group explained 5.4% of macrofaunal variance alone).</t>
        </is>
      </c>
      <c r="R93" s="21" t="inlineStr">
        <is>
          <t>No — Paywalled (Elsevier)</t>
        </is>
      </c>
      <c r="S93" s="21" t="inlineStr">
        <is>
          <t>Full PDF</t>
        </is>
      </c>
      <c r="T93" s="21" t="inlineStr">
        <is>
          <t>https://doi.org/10.1016/j.aquaculture.2009.04.037</t>
        </is>
      </c>
      <c r="U93" s="21" t="inlineStr">
        <is>
          <t>Sediment chemistry is reported as a driver of the infauna response rather than as an outcome tested on its own; sulfide was not measured. Mostly finfish cage sites (7 of 10); bivalve sites included.</t>
        </is>
      </c>
      <c r="V93" s="21" t="inlineStr">
        <is>
          <t>Original list</t>
        </is>
      </c>
      <c r="W93" s="41" t="inlineStr">
        <is>
          <t>3 — Partnership</t>
        </is>
      </c>
      <c r="X93" s="21" t="inlineStr">
        <is>
          <t>Finfish, Mollusk</t>
        </is>
      </c>
      <c r="Y93" s="21" t="inlineStr">
        <is>
          <t>Habitat &amp; Biodiversity</t>
        </is>
      </c>
      <c r="Z93" s="21" t="inlineStr">
        <is>
          <t>H&amp;B 1.4.1 — Sediment</t>
        </is>
      </c>
      <c r="AA93" s="21" t="inlineStr">
        <is>
          <t>Cross-zone / global</t>
        </is>
      </c>
      <c r="AB93" s="21" t="inlineStr">
        <is>
          <t>Multi-species / mixed</t>
        </is>
      </c>
      <c r="AC93" s="21" t="inlineStr">
        <is>
          <t>Mixed</t>
        </is>
      </c>
      <c r="AD93" s="21" t="inlineStr">
        <is>
          <t>Multi-farm regional</t>
        </is>
      </c>
      <c r="AE93" s="21" t="inlineStr">
        <is>
          <t>Not site-specific</t>
        </is>
      </c>
      <c r="AF93" s="21" t="inlineStr">
        <is>
          <t>Monoculture</t>
        </is>
      </c>
      <c r="AG93" s="21" t="inlineStr">
        <is>
          <t>Sediment sampling</t>
        </is>
      </c>
      <c r="AH93" s="21" t="inlineStr">
        <is>
          <t>Not algae-specific</t>
        </is>
      </c>
      <c r="AI93" s="21" t="inlineStr">
        <is>
          <t>Not depth-specific</t>
        </is>
      </c>
      <c r="AJ93" s="21" t="inlineStr">
        <is>
          <t>Not exposure-specific</t>
        </is>
      </c>
      <c r="AK93" s="16" t="inlineStr">
        <is>
          <t>To track organic enrichment of the seabed at your farm, take [3] sediment cores (about 5 cm wide, pushed in or taken from a grab) under the farm, [3] at its edge and [3] at each of [2] reference stations of similar depth and sediment nearby, twice a year including near the end of the production cycle. Read redox potential (Eh) in the top few centimetres with a handheld ORP meter on deck, then keep the surface sediment cool and send it to a partner lab for organic matter (loss on ignition) and silt content (fraction under 63 µm). Compare farm with reference: higher organic matter and lower redox under the farm signal enrichment, which the source found strongest in shallow, slow-current sites with long production histories. The source added these measures to an infauna survey and did not measure sulfide.</t>
        </is>
      </c>
      <c r="AL93" s="17" t="inlineStr">
        <is>
          <t>High</t>
        </is>
      </c>
      <c r="AM93" s="18" t="inlineStr">
        <is>
          <t>borja_2009_hb141</t>
        </is>
      </c>
      <c r="AN93" s="19" t="n"/>
      <c r="AO93" s="19" t="n"/>
      <c r="AP93" s="19" t="n"/>
      <c r="AQ93" s="16" t="inlineStr">
        <is>
          <t>Sediment-condition monitoring — Finfish, Mollusk</t>
        </is>
      </c>
      <c r="AR93" s="16" t="inlineStr">
        <is>
          <t>Borja, Ángel; Rodríguez, J Germán; Black, Kenny; Bodoy, Alain; Emblow, Chris; Fernandes, Teresa F; Forte, Janez; Karakassis, Ioannis; Muxika, Iñigo; Nickell, Thom D; Papageorgiou, Nafsika; Pranovi, Fabio; Sevastou, Katerina; Tomassetti, Paolo; Angel, Dror</t>
        </is>
      </c>
      <c r="AS93" s="16" t="inlineStr">
        <is>
          <t>Multi-tagged Finfish+Mollusk per Rule 2: methodology (AMBI / ITI for organic enrichment) transfers between finfish and bivalve sites — the paper explicitly applies both indices across both farm types. Strong methodological template for benthic monitoring at shellfish farms in Europe.  |  Migration (one-indicator-per-row, 2026-09-04): split from borja_2009 -&gt; {borja_2009_hb131, borja_2009_hb141}. This row = borja_2009_hb141 (H&amp;B 1.4.1 — Sediment). Candidate: AK/N/Q blanked and I/K/W/O/P provisional; per-indicator method text, tier/cost/effort and match adjudication to be finalised at generation. Combined parent I/AK/N/Q retained in v37 (pre-split).  |  [2026-10-13 Rule 15 cost re-rate, batch 10] Framework basis: Mol H&amp;B 1.4.1 (Finfish + Mollusk; the finfish sector has no H&amp;B 1.4.1): 2 farm strata + 2 nearby non-farm refs; biannual (2 visits; least frequent option); 4 locations × 2 visits × 3 replicates = 24. Grab subsamples for grain size + LOI at a partner lab (analytes inferred; the band holds Medium for any subset, or with TOC or field redox added). Prior O: 'Medium–High — multi-site survey, lab taxonomy'.  |  [2026-10-15 method-summary pass] Full read (open PDF, Ca' Foscari IRIS repository). I, K: candidate-split text replaced; Match Yes (no sulfide). L → Partial. W: '2 — Researcher' → '3 — Partnership' (Rule 14; cores + field Eh farmer-doable, LOI and grain size at partner lab); fill → T3 pale green. AG: 'Sediment sampling, Water chemistry' → 'Sediment sampling'. N, Q: blank → filled. P: 'Short campaign' → single survey per site. U rewritten. O: 'Medium — ~$2.8K' → 'Medium — ~$3.8K' (Eh confirmed in source; pH/ORP meter + ORP electrode added, as batch 10 anticipated; band unchanged). AK written; AL Med → High.  |  [2026-10-16 monitoring-methods pass] AT (Monitoring Methods) set from the protocol's method summary (AK): Grain size / particle size, Sediment chemistry (OC / TN / redox / AVS).</t>
        </is>
      </c>
      <c r="AT93" s="21" t="inlineStr">
        <is>
          <t>Grain size / particle size, Sediment chemistry (OC / TN / redox / AVS)</t>
        </is>
      </c>
    </row>
    <row r="94">
      <c r="A94" t="inlineStr">
        <is>
          <t>Schmidt, W., et al.</t>
        </is>
      </c>
      <c r="B94" t="inlineStr">
        <is>
          <t>Design and operation of a low-cost and compact autonomous buoy system for use in coastal aquaculture and water quality monitoring</t>
        </is>
      </c>
      <c r="C94" t="inlineStr">
        <is>
          <t>Aquacultural Engineering</t>
        </is>
      </c>
      <c r="D94" t="n">
        <v>80</v>
      </c>
      <c r="F94" t="inlineStr">
        <is>
          <t>28-36</t>
        </is>
      </c>
      <c r="G94" t="n">
        <v>2018</v>
      </c>
      <c r="H94" t="inlineStr">
        <is>
          <t>Elsevier</t>
        </is>
      </c>
      <c r="I94" t="inlineStr">
        <is>
          <t>Design + deployment of low-cost (&lt;£5K) autonomous monitoring buoy with sensors for T, salinity, water level, DO. Two deployments totaling 14 months (St Austell Bay mussel farm + estuary). Designed for non-scientific staff. Maps to WQ 1.2.1 (DO). (Physico-chemical proxies flag harmful-algae risk, but the buoy does not directly monitor microorganisms.)</t>
        </is>
      </c>
      <c r="J94" t="inlineStr">
        <is>
          <t>Protocol</t>
        </is>
      </c>
      <c r="K94" t="inlineStr">
        <is>
          <t>Yes — sensor accuracy validated against independent measurements (RMSE 0.13–0.16°C).</t>
        </is>
      </c>
      <c r="L94" t="inlineStr">
        <is>
          <t>Yes — explicitly designed for non-scientific staff operation.</t>
        </is>
      </c>
      <c r="M94" t="inlineStr">
        <is>
          <t>Yes</t>
        </is>
      </c>
      <c r="N94" t="inlineStr">
        <is>
          <t>Custom buoy with multiparameter sensors: T, salinity, DO, water level; details of mooring, electronics, telemetry in the paper</t>
        </is>
      </c>
      <c r="O94" t="inlineStr">
        <is>
          <t>Medium — ~$5.4K yr 1: $4.62K start-up (DO logger ×3 $4.19K [list]; logger base station $130 [est]; mooring ×3 $300 [est]) + $740/yr (DO sensor cap 6 × $115 [list]; calibration supplies $50 [est])</t>
        </is>
      </c>
      <c r="P94" t="inlineStr">
        <is>
          <t>Year-long study (12 months)</t>
        </is>
      </c>
      <c r="Q94" t="inlineStr">
        <is>
          <t>Sensor-vs-reference comparison (RMSE, bias); time-series analysis for stratification and biological signal detection</t>
        </is>
      </c>
      <c r="R94" t="inlineStr">
        <is>
          <t>Yes — Open Access (CC-BY, Elsevier)</t>
        </is>
      </c>
      <c r="S94" t="inlineStr">
        <is>
          <t>Full PDF</t>
        </is>
      </c>
      <c r="T94" t="inlineStr">
        <is>
          <t>https://doi.org/10.1016/j.aquaeng.2017.12.002</t>
        </is>
      </c>
      <c r="V94" t="inlineStr">
        <is>
          <t>Original list</t>
        </is>
      </c>
      <c r="W94" s="40" t="inlineStr">
        <is>
          <t>4 — Practitioner</t>
        </is>
      </c>
      <c r="X94" t="inlineStr">
        <is>
          <t>Mollusk</t>
        </is>
      </c>
      <c r="Y94" t="inlineStr">
        <is>
          <t>Water Quality</t>
        </is>
      </c>
      <c r="Z94" t="inlineStr">
        <is>
          <t>WQ 1.2.1 — Dissolved oxygen</t>
        </is>
      </c>
      <c r="AA94" t="inlineStr">
        <is>
          <t>Temperate Atlantic</t>
        </is>
      </c>
      <c r="AB94" t="inlineStr">
        <is>
          <t>Blue mussel (Mytilus edulis)</t>
        </is>
      </c>
      <c r="AC94" t="inlineStr">
        <is>
          <t>Suspended longline (mussel)</t>
        </is>
      </c>
      <c r="AD94" t="inlineStr">
        <is>
          <t>Small (&lt;1 ha)</t>
        </is>
      </c>
      <c r="AE94" t="inlineStr">
        <is>
          <t>Variable / seasonal</t>
        </is>
      </c>
      <c r="AF94" t="inlineStr">
        <is>
          <t>Monoculture</t>
        </is>
      </c>
      <c r="AG94" t="inlineStr">
        <is>
          <t>Water chemistry, Mixed methods</t>
        </is>
      </c>
      <c r="AH94" t="inlineStr">
        <is>
          <t>Not algae-specific</t>
        </is>
      </c>
      <c r="AI94" t="inlineStr">
        <is>
          <t>Shallow nearshore (2–10 m)</t>
        </is>
      </c>
      <c r="AJ94" t="inlineStr">
        <is>
          <t>Sheltered</t>
        </is>
      </c>
      <c r="AK94" s="16" t="inlineStr">
        <is>
          <t>To monitor water quality continuously at your farm with minimal effort, moor a low-power sensor string on a buoy and let it log automatically. Fit sensors for the parameters of interest — here temperature at several depths, conductivity/salinity, dissolved oxygen and pressure (depth) — set them to log on a fixed short interval (e.g. every 10 minutes), and calibrate the DO sensor before deployment. Leave the string in place for months, visiting periodically (e.g. monthly) to lift the lightweight instrument chain with a boat hook or the winch you use for mussel lines, download the data to a handheld shuttle, and scrub off biofouling. Then clean the data with simple quality-control rules: drop readings outside sensible ranges, discard the first couple of hours after each deployment or cleaning, remove sudden single-point spikes, and cut the gradual drift that builds before each cleaning (biofouling); convert conductivity to salinity in software. The pressure sensor also flags when the string has floated to the surface, so those readings can be excluded.</t>
        </is>
      </c>
      <c r="AL94" s="17" t="inlineStr">
        <is>
          <t>High</t>
        </is>
      </c>
      <c r="AM94" s="18" t="inlineStr">
        <is>
          <t>schmidt_2018</t>
        </is>
      </c>
      <c r="AN94" s="19" t="inlineStr">
        <is>
          <t>https://raw.githubusercontent.com/AquacultureScienceTNC/aquapip-survey/main/protocols/templates/schmidt_2018.pdf</t>
        </is>
      </c>
      <c r="AO94" s="19" t="inlineStr">
        <is>
          <t>https://raw.githubusercontent.com/AquacultureScienceTNC/aquapip-survey/main/protocols/datasheets/schmidt_2018.pdf</t>
        </is>
      </c>
      <c r="AP94" s="19" t="inlineStr">
        <is>
          <t>https://raw.githubusercontent.com/AquacultureScienceTNC/aquapip-survey/main/protocols/workbooks/schmidt_2018.xlsx</t>
        </is>
      </c>
      <c r="AQ94" s="16" t="inlineStr">
        <is>
          <t>Continuous Water-Quality Monitoring with a Low-Cost Autonomous Sensor Buoy</t>
        </is>
      </c>
      <c r="AR94" s="16" t="inlineStr">
        <is>
          <t>Schmidt, Wiebke; Raymond, David; Parish, David; Ashton, Ian G C; Miller, Peter I; Campos, Carlos J A; Shutler, Jamie D</t>
        </is>
      </c>
      <c r="AS94" s="16" t="inlineStr">
        <is>
          <t>Practitioner-grade WQ monitoring paper for the mollusk database. Low-cost, robust, non-specialist operation — directly transferable to small/mid commercial shellfish operators. Strong complement to commercial systems like Berger 2024 (row 8) on the seaweed side.  |  Indicator trim (2026-08-06): WQ 2.1.2 (microorganisms) removed from the monitored set — buoy infers harmful-algae risk from DO/temperature proxies; direct detection was external agency sampling. Monitored: WQ 1.2.1.  |  [2026-10-09 Rule 15 cost re-rate, batch 1] Framework basis: Mol WQ 1.2.1: farm + 2 adjacent non-farm refs; seasonal + diurnal (4 visits, one logger per location); 3 locations × 4 visits × 1 replicates = 12. Logger route replaces the custom buoy; 2018 GBP figure not used. Prior O: 'Low (&lt;£5K capital)'.  |  [2026-10-16 monitoring-methods pass] AT (Monitoring Methods) set from the protocol's method summary (AK): Temperature / salinity, Dissolved oxygen, Continuous moored sensors, Wave-tide recorder.</t>
        </is>
      </c>
      <c r="AT94" s="21" t="inlineStr">
        <is>
          <t>Temperature / salinity, Dissolved oxygen, Continuous moored sensors, Wave-tide recorder</t>
        </is>
      </c>
    </row>
    <row r="95">
      <c r="A95" t="inlineStr">
        <is>
          <t>Pinkerton, M., et al.</t>
        </is>
      </c>
      <c r="B95" t="inlineStr">
        <is>
          <t>Measuring the effects of bivalve mariculture on water quality in northern New Zealand using 15 years of MODIS-Aqua satellite observations</t>
        </is>
      </c>
      <c r="C95" t="inlineStr">
        <is>
          <t>Aquaculture Environment Interactions</t>
        </is>
      </c>
      <c r="D95" t="n">
        <v>10</v>
      </c>
      <c r="F95" t="inlineStr">
        <is>
          <t>529-545</t>
        </is>
      </c>
      <c r="G95" t="n">
        <v>2018</v>
      </c>
      <c r="H95" t="inlineStr">
        <is>
          <t>Inter-Research</t>
        </is>
      </c>
      <c r="I95" t="inlineStr">
        <is>
          <t>15-year MODIS-Aqua satellite analysis (2002–2017, 890 single-pass images) of 1400-ha green-lipped mussel farm in Firth of Thames, NZ. Quantifies chl-a, turbidity, SST signatures of the farm via kriging+semivariogram analysis vs control areas. Detected −1.6% chl-a reduction. Maps to WQ 2.1.1 (chl-a).</t>
        </is>
      </c>
      <c r="J95" t="inlineStr">
        <is>
          <t>Protocol</t>
        </is>
      </c>
      <c r="K95" t="inlineStr">
        <is>
          <t>Yes — significant chl-a effect detected over 1.5×farm area; methodology defensible.</t>
        </is>
      </c>
      <c r="L95" t="inlineStr">
        <is>
          <t>No — requires remote-sensing analysis expertise.</t>
        </is>
      </c>
      <c r="M95" t="inlineStr">
        <is>
          <t>Yes</t>
        </is>
      </c>
      <c r="N95" t="inlineStr">
        <is>
          <t>MODIS-Aqua satellite (NASA, public data); kriging analysis software</t>
        </is>
      </c>
      <c r="O95" t="inlineStr">
        <is>
          <t>Low — ~$0 yr 1: no start-up cost + no recurring cost</t>
        </is>
      </c>
      <c r="P95" t="inlineStr">
        <is>
          <t>Multi-year monitoring (&gt; 1 year)</t>
        </is>
      </c>
      <c r="Q95" t="inlineStr">
        <is>
          <t>Kriging with linear/exponential semivariogram models; significance testing of difference between kriged and observed values; comparison to 3 control areas</t>
        </is>
      </c>
      <c r="R95" t="inlineStr">
        <is>
          <t>Yes — Open Access (Inter-Research)</t>
        </is>
      </c>
      <c r="S95" t="inlineStr">
        <is>
          <t>Full PDF</t>
        </is>
      </c>
      <c r="T95" t="inlineStr">
        <is>
          <t>https://doi.org/10.3354/aei00288</t>
        </is>
      </c>
      <c r="U95" t="inlineStr">
        <is>
          <t>The effect is small (~-1.6% chlorophyll), so set realistic expectations - this suits multi-kilometre farms.</t>
        </is>
      </c>
      <c r="V95" t="inlineStr">
        <is>
          <t>Original list</t>
        </is>
      </c>
      <c r="W95" s="7" t="inlineStr">
        <is>
          <t>2 — Researcher</t>
        </is>
      </c>
      <c r="X95" t="inlineStr">
        <is>
          <t>Mollusk</t>
        </is>
      </c>
      <c r="Y95" t="inlineStr">
        <is>
          <t>Water Quality</t>
        </is>
      </c>
      <c r="Z95" t="inlineStr">
        <is>
          <t>WQ 2.1.1 — Chlorophyll-a</t>
        </is>
      </c>
      <c r="AA95" t="inlineStr">
        <is>
          <t>Temperate Pacific</t>
        </is>
      </c>
      <c r="AB95" t="inlineStr">
        <is>
          <t>Green-lipped mussel (Perna canaliculus)</t>
        </is>
      </c>
      <c r="AC95" t="inlineStr">
        <is>
          <t>Suspended longline (mussel)</t>
        </is>
      </c>
      <c r="AD95" t="inlineStr">
        <is>
          <t>Large (&gt;20 ha)</t>
        </is>
      </c>
      <c r="AE95" t="inlineStr">
        <is>
          <t>Variable / seasonal</t>
        </is>
      </c>
      <c r="AF95" t="inlineStr">
        <is>
          <t>Monoculture</t>
        </is>
      </c>
      <c r="AG95" t="inlineStr">
        <is>
          <t>Remote sensing, Modelling</t>
        </is>
      </c>
      <c r="AH95" t="inlineStr">
        <is>
          <t>Not algae-specific</t>
        </is>
      </c>
      <c r="AI95" t="inlineStr">
        <is>
          <t>Coastal (10–30 m)</t>
        </is>
      </c>
      <c r="AJ95" t="inlineStr">
        <is>
          <t>Sheltered</t>
        </is>
      </c>
      <c r="AK95" s="16" t="inlineStr">
        <is>
          <t>To detect a large (multi-kilometre) farm's effect on chlorophyll-a from satellite, assemble a long run of single-pass ocean-colour images (for example MODIS-Aqua) over the farm and several control areas. For each image, interpolate the chlorophyll field with kriging (fitting linear or exponential semivariogram models) and test whether values over the farm differ significantly from the kriged background and from the control areas. Aggregating many passes over years lets you resolve small effects (here a chlorophyll reduction of order one percent extending over about 1.5x the farm area) - a useful reminder to set realistic detectability expectations at farm scale.</t>
        </is>
      </c>
      <c r="AL95" s="17" t="inlineStr">
        <is>
          <t>Med</t>
        </is>
      </c>
      <c r="AM95" s="18" t="inlineStr">
        <is>
          <t>pinkerton_2018</t>
        </is>
      </c>
      <c r="AN95" s="19" t="n"/>
      <c r="AO95" s="19" t="n"/>
      <c r="AP95" s="19" t="n"/>
      <c r="AQ95" s="16" t="inlineStr">
        <is>
          <t>Satellite Detection of Large-Farm Chlorophyll Effects</t>
        </is>
      </c>
      <c r="AR95" s="16" t="inlineStr">
        <is>
          <t>Pinkerton, Matt; Gall, Mark; Wood, Simon; Zeldis, John</t>
        </is>
      </c>
      <c r="AS95" s="16" t="inlineStr">
        <is>
          <t>Strongest remote-sensing protocol in the mollusk database for measuring large-scale (multi-km) farm effects on chl-a. Methodologically parallel to Bell 2020 (row 39) on the seaweed side. Effect size is small (−1.6% chl-a) — useful negative-result framing for managing detectability expectations at scale.  |  [2026-10-13 Rule 15 cost re-rate, batch 10] Framework basis: Mol WQ 2.1.1: farm + adjacent non-farm areas from the same satellite scenes. Free MODIS-Aqua imagery and kriging in free software cost $0; the paper uses no in-situ calibration samples. Detectable only for multi-kilometre farms (1 km pixels), which is an Evaluator question, not a cost one. $0 confirmed (Peter, 2026-10-13). Prior O: 'Low data, Medium analysis (free satellite data, expert analyst time)'.  |  [2026-10-16 monitoring-methods pass] AT (Monitoring Methods) set from the protocol's method summary (AK): Chlorophyll-a (water), Satellite ocean colour (chl-a).</t>
        </is>
      </c>
      <c r="AT95" s="21" t="inlineStr">
        <is>
          <t>Chlorophyll-a (water), Satellite ocean colour (chl-a)</t>
        </is>
      </c>
    </row>
    <row r="96">
      <c r="A96" t="inlineStr">
        <is>
          <t>Cranford, P. J., et al.</t>
        </is>
      </c>
      <c r="B96" t="inlineStr">
        <is>
          <t>Influence of mussel aquaculture on nitrogen dynamics in a nutrient enriched coastal embayment</t>
        </is>
      </c>
      <c r="C96" t="inlineStr">
        <is>
          <t>Marine Ecology Progress Series</t>
        </is>
      </c>
      <c r="D96" t="n">
        <v>347</v>
      </c>
      <c r="F96" t="inlineStr">
        <is>
          <t>61-78</t>
        </is>
      </c>
      <c r="G96" t="n">
        <v>2007</v>
      </c>
      <c r="H96" t="inlineStr">
        <is>
          <t>Inter-Research</t>
        </is>
      </c>
      <c r="I96" t="inlineStr">
        <is>
          <t>Maps to WQ 1.1.1 — N and P bioextraction. Tracadie Bay (PEI, Canada) nitrogen budget: N removed in the annual mussel harvest = ~1,900 t harvested wet weight (industry records) × 40% meat fraction × (1 − 0.855 meat water) × 7.79% N in dry meat (literature) ≈ 9 t N yr⁻¹, set against river, offshore and mussel excretion/biodeposition fluxes. Match: Partial — nitrogen only; phosphorus not calculated.</t>
        </is>
      </c>
      <c r="J96" t="inlineStr">
        <is>
          <t>Protocol</t>
        </is>
      </c>
      <c r="K96" t="inlineStr">
        <is>
          <t>Confirmed standalone (full read). The harvest-N term is the Framework's primary method (established nutrient composition × harvested biomass) applied to harvest records; P is added in the protocol. The paper shows harvest removal is small (&lt;10% of agricultural N input) next to the N recycled by excretion and biodeposition.</t>
        </is>
      </c>
      <c r="L96" t="inlineStr">
        <is>
          <t>Yes — a desk calculation from the farm's own harvest records and published conversion factors; a tissue N + P analysis is optional.</t>
        </is>
      </c>
      <c r="M96" t="inlineStr">
        <is>
          <t>Yes</t>
        </is>
      </c>
      <c r="N96" t="inlineStr">
        <is>
          <t>Industry harvest records (total wet weight, shell on); literature conversion factors (meat 40% of total weight, meat water 85.5%, N 7.79% of dry meat); for the wider budget: Niskin water sampling, autoanalyser nutrients, river flow records and a lower-trophic-level box model.</t>
        </is>
      </c>
      <c r="O96" t="inlineStr">
        <is>
          <t>Low — ~$0 yr 1: no start-up cost + no recurring cost</t>
        </is>
      </c>
      <c r="P96" t="inlineStr">
        <is>
          <t>One-time (no sampling — desk-based) — annual harvest records; budget field data 2002–2003</t>
        </is>
      </c>
      <c r="Q96" t="inlineStr">
        <is>
          <t>Annual harvest-N estimate within a bay nitrogen budget (river input from three independent estimates within ±26%; tidal-prism offshore exchange; allometric mussel ingestion, excretion and biodeposition); box-model scenarios with and without mussels.</t>
        </is>
      </c>
      <c r="R96" t="inlineStr">
        <is>
          <t>Yes — free PDF (Inter-Research archive); accepted manuscript at crmc.ri.gov</t>
        </is>
      </c>
      <c r="S96" t="inlineStr">
        <is>
          <t>Full PDF</t>
        </is>
      </c>
      <c r="T96" t="inlineStr">
        <is>
          <t>https://doi.org/10.3354/meps06997 ; https://www.crmc.ri.gov/aquaculture/riawg/Nitrogen_Dynamics_020907.pdf</t>
        </is>
      </c>
      <c r="U96" t="inlineStr">
        <is>
          <t>Harvest N (9 t N yr⁻¹) was &lt;10% of agricultural N input, while mussels sent ~17 times more N to the seabed as biodeposits — report bioextraction alongside that context. Literature conversion factors vary with season and condition; P not reported.</t>
        </is>
      </c>
      <c r="V96" t="inlineStr">
        <is>
          <t>Original list</t>
        </is>
      </c>
      <c r="W96" s="40" t="inlineStr">
        <is>
          <t>4 — Practitioner</t>
        </is>
      </c>
      <c r="X96" t="inlineStr">
        <is>
          <t>Mollusk</t>
        </is>
      </c>
      <c r="Y96" t="inlineStr">
        <is>
          <t>Water Quality</t>
        </is>
      </c>
      <c r="Z96" t="inlineStr">
        <is>
          <t>WQ 1.1.1 — N and P bioextraction</t>
        </is>
      </c>
      <c r="AA96" t="inlineStr">
        <is>
          <t>Temperate Atlantic</t>
        </is>
      </c>
      <c r="AB96" t="inlineStr">
        <is>
          <t>Blue mussel (Mytilus edulis)</t>
        </is>
      </c>
      <c r="AC96" t="inlineStr">
        <is>
          <t>Suspended longline (mussel)</t>
        </is>
      </c>
      <c r="AD96" t="inlineStr">
        <is>
          <t>Large (&gt;20 ha)</t>
        </is>
      </c>
      <c r="AE96" t="inlineStr">
        <is>
          <t>Not site-specific</t>
        </is>
      </c>
      <c r="AF96" t="inlineStr">
        <is>
          <t>Monoculture</t>
        </is>
      </c>
      <c r="AG96" t="inlineStr">
        <is>
          <t>Tissue analysis, Modelling</t>
        </is>
      </c>
      <c r="AH96" t="inlineStr">
        <is>
          <t>Not algae-specific</t>
        </is>
      </c>
      <c r="AI96" t="inlineStr">
        <is>
          <t>Coastal (10–30 m)</t>
        </is>
      </c>
      <c r="AJ96" t="inlineStr">
        <is>
          <t>Sheltered</t>
        </is>
      </c>
      <c r="AK96" s="16" t="inlineStr">
        <is>
          <t>To estimate the nitrogen and phosphorus your mussel harvest removes, take the total harvested weight (shell on) for the year from your sales or landing records. Convert it to dry meat by multiplying by the meat fraction ([0.40] of total weight in the source) and by one minus the meat water content ([0.855]). Multiply dry meat by its nitrogen content ([7.79%] in the source) and by a [published phosphorus content] for your species, or send [3] samples of harvest-size meat for tissue N + P analysis and use your own values. Report kilograms of N and P removed per year and per hectare of lease. The source calculated nitrogen only, so phosphorus is added here. It also found the harvest removed little compared with the nitrogen mussels recycle as excretion and deposits, so report this as removal in the harvest, not as the farm's net effect on the bay.</t>
        </is>
      </c>
      <c r="AL96" s="17" t="inlineStr">
        <is>
          <t>High</t>
        </is>
      </c>
      <c r="AM96" s="18" t="inlineStr">
        <is>
          <t>cranford_2007_wq111</t>
        </is>
      </c>
      <c r="AN96" s="19" t="n"/>
      <c r="AO96" s="19" t="n"/>
      <c r="AP96" s="19" t="n"/>
      <c r="AQ96" s="16" t="inlineStr">
        <is>
          <t>Nutrient bioextraction (tissue N &amp; P) — Mollusk</t>
        </is>
      </c>
      <c r="AR96" s="16" t="inlineStr">
        <is>
          <t>Cranford, Peter J; Strain, Peter M; Dowd, Michael; Hargrave, Barry T; Grant, Jonathan; Archambault, Marie-Claude</t>
        </is>
      </c>
      <c r="AS96" s="16" t="inlineStr">
        <is>
          <t>v1.2 Sub-rule 1a worked example — bioextraction-as-component still gets WQ 1.1.1. Foundational template for whole-bay nutrient-budget approach to shellfish farms; integrates with Chamberlain et al. 2006 carrying-capacity work (Cranford 2006 paper still missing from project folder).  |  Migration (one-indicator-per-row, 2026-09-04): split from cranford_2007 -&gt; {cranford_2007_wq111, cranford_2007_wq211, cranford_2007_hb141}. This row = cranford_2007_wq111 (WQ 1.1.1 — N and P bioextraction). Candidate: AK/N/Q blanked and I/K/W/O/P provisional; per-indicator method text, tier/cost/effort and match adjudication to be finalised at generation. Combined parent I/AK/N/Q retained in v37 (pre-split).  |  [2026-10-13 Rule 15 cost re-rate, batch 10] Framework basis: Mol WQ 1.1.1: farmed biomass at harvest; farm only, no reference site; 1 locations × 1 visits × 3 replicates = 3. Tissue N + P at a partner lab × harvested biomass (the paper's harvested-N term); the budget model and hydrography are outside the indicator. Prior O: 'High — multi-method field campaign + modelling expertise'.  |  [2026-10-15 method-summary pass] Full read (accepted manuscript, crmc.ri.gov). R: 'No — Paywalled' → free (Inter-Research archive + manuscript); T: manuscript link added. I, K: candidate-split text replaced; Match Partial (N only; P added). L → Yes. W: '2 — Researcher' → '4 — Practitioner' (Rule 14; desk calculation from the Framework's primary method, as reichertnguyen_2023_wq111); fill → T4 lime. AG → 'Tissue analysis, Modelling'. N, Q filled; P → desk; U rewritten (was shared across the three rows). O: 'Low — ~$80 (tissue N + P 3 × $20)' → 'Low — ~$0' (source uses literature composition; tissue analysis optional). AK written; AL Med → High.  |  [2026-10-16 method-summary pass] Peter's call (2026-10-16): Partial kept.  |  [2026-10-16 monitoring-methods pass] AT (Monitoring Methods) set from the protocol's method summary (AK): Bivalve condition index / growth.</t>
        </is>
      </c>
      <c r="AT96" s="21" t="inlineStr">
        <is>
          <t>Bivalve condition index / growth</t>
        </is>
      </c>
    </row>
    <row r="97">
      <c r="A97" s="21" t="inlineStr">
        <is>
          <t>Cranford, P. J., et al.</t>
        </is>
      </c>
      <c r="B97" s="21" t="inlineStr">
        <is>
          <t>Influence of mussel aquaculture on nitrogen dynamics in a nutrient enriched coastal embayment</t>
        </is>
      </c>
      <c r="C97" s="21" t="inlineStr">
        <is>
          <t>Marine Ecology Progress Series</t>
        </is>
      </c>
      <c r="D97" s="21" t="n">
        <v>347</v>
      </c>
      <c r="E97" s="21" t="n"/>
      <c r="F97" s="21" t="inlineStr">
        <is>
          <t>61-78</t>
        </is>
      </c>
      <c r="G97" s="21" t="n">
        <v>2007</v>
      </c>
      <c r="H97" s="21" t="inlineStr">
        <is>
          <t>Inter-Research</t>
        </is>
      </c>
      <c r="I97" s="21" t="inlineStr">
        <is>
          <t>Maps to WQ 2.1.1 — Chlorophyll-a. Bay-wide survey of Tracadie Bay (16 km², about half under mussel leases): Niskin samples at 1 and/or 3 m at 12 stations in the bay plus an offshore station, about monthly Jun–Nov 2002–2003; chl-a on glass-fibre filters by 90% acetone extraction and Turner fluorometer; seasonal cycles by objective analysis, compared with a box model run with and without mussels (9–15% lower phytoplankton with mussels). Match: Partial — no farm-vs-reference station design; the mussel effect comes from the model.</t>
        </is>
      </c>
      <c r="J97" s="21" t="inlineStr">
        <is>
          <t>Protocol</t>
        </is>
      </c>
      <c r="K97" s="21" t="inlineStr">
        <is>
          <t>Confirmed standalone (full read). Measures chl-a by a standard extraction method at stations inside and outside the leased bay — usable for WQ 2.1.1 once stations are grouped as farm and reference (Partial).</t>
        </is>
      </c>
      <c r="L97" s="21" t="inlineStr">
        <is>
          <t>Partial — water sampling and filtering are farmer-doable; acetone extraction and fluorometry need a partner lab.</t>
        </is>
      </c>
      <c r="M97" s="21" t="inlineStr">
        <is>
          <t>Yes</t>
        </is>
      </c>
      <c r="N97" s="21" t="inlineStr">
        <is>
          <t>Niskin bottle (1 and 3 m); 25 mm glass-fibre filters (1.7 µm); 90% acetone extraction; Turner Designs fluorometer calibrated against spinach pigment; portable CTD (SeaBird 25).</t>
        </is>
      </c>
      <c r="O97" s="21" t="inlineStr">
        <is>
          <t>Medium — ~$2.3K yr 1: $1.34K start-up (water sampler $986 [list]; messenger + line $100 [est]; filtration kit $250 [est]) + $1.01K/yr (chl-a analysis 36 × $25.18 [lab fee]; filters + foil $100 [est])</t>
        </is>
      </c>
      <c r="P97" s="21" t="inlineStr">
        <is>
          <t>Multi-year monitoring (&gt; 1 year) — about monthly Jun–Nov 2002–2003 at 12 stations</t>
        </is>
      </c>
      <c r="Q97" s="21" t="inlineStr">
        <is>
          <t>Seasonal chl-a cycles per model box by objective analysis on a 200 m grid; compared with lower-trophic-level box-model scenarios (with/without mussels, with/without river N).</t>
        </is>
      </c>
      <c r="R97" s="21" t="inlineStr">
        <is>
          <t>Yes — free PDF (Inter-Research archive); accepted manuscript at crmc.ri.gov</t>
        </is>
      </c>
      <c r="S97" s="21" t="inlineStr">
        <is>
          <t>Full PDF</t>
        </is>
      </c>
      <c r="T97" s="21" t="inlineStr">
        <is>
          <t>https://doi.org/10.3354/meps06997 ; https://www.crmc.ri.gov/aquaculture/riawg/Nitrogen_Dynamics_020907.pdf</t>
        </is>
      </c>
      <c r="U97" s="21" t="inlineStr">
        <is>
          <t>The model attributed only 9–15% lower phytoplankton to mussels, against a larger effect of river nitrogen; picophytoplankton that mussels cannot capture can keep chl-a up.</t>
        </is>
      </c>
      <c r="V97" s="21" t="inlineStr">
        <is>
          <t>Original list</t>
        </is>
      </c>
      <c r="W97" s="41" t="inlineStr">
        <is>
          <t>3 — Partnership</t>
        </is>
      </c>
      <c r="X97" s="21" t="inlineStr">
        <is>
          <t>Mollusk</t>
        </is>
      </c>
      <c r="Y97" s="21" t="inlineStr">
        <is>
          <t>Water Quality</t>
        </is>
      </c>
      <c r="Z97" s="21" t="inlineStr">
        <is>
          <t>WQ 2.1.1 — Chlorophyll-a</t>
        </is>
      </c>
      <c r="AA97" s="21" t="inlineStr">
        <is>
          <t>Temperate Atlantic</t>
        </is>
      </c>
      <c r="AB97" s="21" t="inlineStr">
        <is>
          <t>Blue mussel (Mytilus edulis)</t>
        </is>
      </c>
      <c r="AC97" s="21" t="inlineStr">
        <is>
          <t>Suspended longline (mussel)</t>
        </is>
      </c>
      <c r="AD97" s="21" t="inlineStr">
        <is>
          <t>Large (&gt;20 ha)</t>
        </is>
      </c>
      <c r="AE97" s="21" t="inlineStr">
        <is>
          <t>Not site-specific</t>
        </is>
      </c>
      <c r="AF97" s="21" t="inlineStr">
        <is>
          <t>Monoculture</t>
        </is>
      </c>
      <c r="AG97" s="21" t="inlineStr">
        <is>
          <t>Water chemistry</t>
        </is>
      </c>
      <c r="AH97" s="21" t="inlineStr">
        <is>
          <t>Not algae-specific</t>
        </is>
      </c>
      <c r="AI97" s="21" t="inlineStr">
        <is>
          <t>Coastal (10–30 m)</t>
        </is>
      </c>
      <c r="AJ97" s="21" t="inlineStr">
        <is>
          <t>Sheltered</t>
        </is>
      </c>
      <c r="AK97" s="16" t="inlineStr">
        <is>
          <t>To see whether your mussel lines are drawing down phytoplankton, collect water with a sampler at [1 and 3 m] at [3] stations within the farm and [3] stations in each of [2] reference areas outside the leases in the same water body — one seaward or up-current, one away from other farms — once per season, at the same tide state and time of day. Filter a measured volume of each sample through glass-fibre filters, keep the filters dark and frozen, and send them to a partner lab for acetone extraction and fluorometric chlorophyll-a. Compare farm with reference stations by season. The source sampled 12 stations bay-wide about monthly from June to November and used an ecosystem model to attribute differences to the mussels, so the farm and reference grouping is added here; river nutrient inputs can outweigh the mussel effect, so record rainfall and runoff.</t>
        </is>
      </c>
      <c r="AL97" s="17" t="inlineStr">
        <is>
          <t>High</t>
        </is>
      </c>
      <c r="AM97" s="18" t="inlineStr">
        <is>
          <t>cranford_2007_wq211</t>
        </is>
      </c>
      <c r="AN97" s="19" t="n"/>
      <c r="AO97" s="19" t="n"/>
      <c r="AP97" s="19" t="n"/>
      <c r="AQ97" s="16" t="inlineStr">
        <is>
          <t>Chlorophyll-a monitoring — Mollusk</t>
        </is>
      </c>
      <c r="AR97" s="16" t="inlineStr">
        <is>
          <t>Cranford, Peter J; Strain, Peter M; Dowd, Michael; Hargrave, Barry T; Grant, Jonathan; Archambault, Marie-Claude</t>
        </is>
      </c>
      <c r="AS97" s="16" t="inlineStr">
        <is>
          <t>v1.2 Sub-rule 1a worked example — bioextraction-as-component still gets WQ 1.1.1. Foundational template for whole-bay nutrient-budget approach to shellfish farms; integrates with Chamberlain et al. 2006 carrying-capacity work (Cranford 2006 paper still missing from project folder).  |  Migration (one-indicator-per-row, 2026-09-04): split from cranford_2007 -&gt; {cranford_2007_wq111, cranford_2007_wq211, cranford_2007_hb141}. This row = cranford_2007_wq211 (WQ 2.1.1 — Chlorophyll-a). Candidate: AK/N/Q blanked and I/K/W/O/P provisional; per-indicator method text, tier/cost/effort and match adjudication to be finalised at generation. Combined parent I/AK/N/Q retained in v37 (pre-split).  |  [2026-10-13 Rule 15 cost re-rate, batch 10] Framework basis: Mol WQ 2.1.1: farm + 2 adjacent non-farm refs; seasonal + diurnal, fixed-time reading (4 visits); 3 locations × 4 visits × 3 replicates = 36. Lab chl-a on field-filtered samples (route inferred from the practitioner note's lab analyses). Prior O: 'High — multi-method field campaign + modelling expertise'.  |  [2026-10-15 method-summary pass] Full read (accepted manuscript, crmc.ri.gov). R: 'No — Paywalled' → free (Inter-Research archive + manuscript); T: manuscript link added. I, K: candidate-split text replaced; Match Partial (bay-wide survey, no farm–reference design; farm + 2 references added). L → Partial. W: '2 — Researcher' → '3 — Partnership' (Rule 14; partner-lab chl-a); fill → T3 pale green. AG → 'Water chemistry'. N, Q filled; P → Multi-year + detail; U rewritten. O unchanged (lab chl-a route, sampler at depth). AK written; AL Med → High.  |  [2026-10-16 method-summary pass] Peter's call (2026-10-16): Partial kept.  |  [2026-10-16 monitoring-methods pass] AT (Monitoring Methods) set from the protocol's method summary (AK): Chlorophyll-a (water).</t>
        </is>
      </c>
      <c r="AT97" s="21" t="inlineStr">
        <is>
          <t>Chlorophyll-a (water)</t>
        </is>
      </c>
    </row>
    <row r="98">
      <c r="A98" t="inlineStr">
        <is>
          <t>Kaspar, H. F., et al.</t>
        </is>
      </c>
      <c r="B98" t="inlineStr">
        <is>
          <t>Effects of mussel aquaculture on the nitrogen cycle and benthic communities in Kenepuru Sound, Marlborough Sounds, New Zealand</t>
        </is>
      </c>
      <c r="C98" t="inlineStr">
        <is>
          <t>Marine Biology</t>
        </is>
      </c>
      <c r="D98" t="n">
        <v>85</v>
      </c>
      <c r="F98" t="inlineStr">
        <is>
          <t>127-136</t>
        </is>
      </c>
      <c r="G98" t="n">
        <v>1985</v>
      </c>
      <c r="H98" t="inlineStr">
        <is>
          <t>Springer</t>
        </is>
      </c>
      <c r="I98" t="inlineStr">
        <is>
          <t>Maps to WQ 1.1.1 — N and P bioextraction. Perna canaliculus longline farm (1.5 ha, ~11 m deep) and a reference site ~1 km across Kenepuru Sound (Marlborough Sounds, NZ), Sep 1982–May 1983: farm mussel weight estimated from buoy submersion; meat condition (fresh meat vs live weight) of ≥10 mussels per date, dry weight at 105 °C and Kjeldahl N; mussel-N pool per m² of farm and harvest N from harvested fresh weight with the same factors. Match: Partial — nitrogen only; phosphorus not measured.</t>
        </is>
      </c>
      <c r="J98" t="inlineStr">
        <is>
          <t>Protocol</t>
        </is>
      </c>
      <c r="K98" t="inlineStr">
        <is>
          <t>Confirmed standalone (full read). Harvest N from measured tissue N × harvested weight is the Framework's primary method; mussels held 29–40% of the farm ecosystem's nitrogen, and harvest plus extra denitrification removed 68% more N than at the reference (Partial: P added in the protocol).</t>
        </is>
      </c>
      <c r="L98" t="inlineStr">
        <is>
          <t>Partial — harvest records and subsampling mussels are farmer-doable; tissue N and P analysis needs a partner lab (published values can stand in).</t>
        </is>
      </c>
      <c r="M98" t="inlineStr">
        <is>
          <t>Yes</t>
        </is>
      </c>
      <c r="N98" t="inlineStr">
        <is>
          <t>Buoy submersion to estimate standing mussel weight; ≥10 mussels per date weighed live and as fresh meat; drying at 105 °C; Kjeldahl N.</t>
        </is>
      </c>
      <c r="O98" t="inlineStr">
        <is>
          <t>Low — ~$80 yr 1: no start-up cost + $80/yr (tissue N + P 3 × $20 [lab fee]; sample bags $20 [est])</t>
        </is>
      </c>
      <c r="P98" t="inlineStr">
        <is>
          <t>Multi-season (3–9 months) — four dates, Sep 1982–May 1983</t>
        </is>
      </c>
      <c r="Q98" t="inlineStr">
        <is>
          <t>Mussel-N pool = farm mussel weight × meat fraction × dry fraction × tissue N ÷ farm area (1.5 ha); harvest N from harvested fresh weight with the same factors; compared with sediment and water-column N pools and fluxes.</t>
        </is>
      </c>
      <c r="R98" t="inlineStr">
        <is>
          <t>No — Paywalled (Springer)</t>
        </is>
      </c>
      <c r="S98" t="inlineStr">
        <is>
          <t>Full PDF</t>
        </is>
      </c>
      <c r="T98" t="inlineStr">
        <is>
          <t>https://doi.org/10.1007/BF00397431</t>
        </is>
      </c>
      <c r="U98" t="inlineStr">
        <is>
          <t>Tissue N measured, P not. The authors frame harvest removal as loss of a limiting nutrient that could cut mussel production at bay scale, not only as a benefit.</t>
        </is>
      </c>
      <c r="V98" t="inlineStr">
        <is>
          <t>Original list</t>
        </is>
      </c>
      <c r="W98" s="42" t="inlineStr">
        <is>
          <t>3 — Partnership</t>
        </is>
      </c>
      <c r="X98" t="inlineStr">
        <is>
          <t>Mollusk</t>
        </is>
      </c>
      <c r="Y98" t="inlineStr">
        <is>
          <t>Water Quality</t>
        </is>
      </c>
      <c r="Z98" t="inlineStr">
        <is>
          <t>WQ 1.1.1 — N and P bioextraction</t>
        </is>
      </c>
      <c r="AA98" t="inlineStr">
        <is>
          <t>Temperate Pacific</t>
        </is>
      </c>
      <c r="AB98" t="inlineStr">
        <is>
          <t>Green-lipped mussel (Perna canaliculus)</t>
        </is>
      </c>
      <c r="AC98" t="inlineStr">
        <is>
          <t>Suspended longline (mussel)</t>
        </is>
      </c>
      <c r="AD98" t="inlineStr">
        <is>
          <t>Not scale-specific</t>
        </is>
      </c>
      <c r="AE98" t="inlineStr">
        <is>
          <t>Not site-specific</t>
        </is>
      </c>
      <c r="AF98" t="inlineStr">
        <is>
          <t>Monoculture</t>
        </is>
      </c>
      <c r="AG98" t="inlineStr">
        <is>
          <t>Tissue analysis</t>
        </is>
      </c>
      <c r="AH98" t="inlineStr">
        <is>
          <t>Not algae-specific</t>
        </is>
      </c>
      <c r="AI98" t="inlineStr">
        <is>
          <t>Coastal (10–30 m)</t>
        </is>
      </c>
      <c r="AJ98" t="inlineStr">
        <is>
          <t>Sheltered</t>
        </is>
      </c>
      <c r="AK98" s="16" t="inlineStr">
        <is>
          <t>To estimate the nitrogen and phosphorus your mussel harvest removes, record the total harvested weight (shell on) for the year. On [3] harvests, take [10] mussels, weigh them whole and as fresh meat to get the meat fraction, dry the meat to constant weight to get the dry fraction, and send the dried, ground meat to a partner lab for total N and P. Multiply harvested weight by the meat fraction, the dry fraction and the N and P contents, and report kilograms of N and P per year and per hectare of lease. Published composition values for your species can stand in if lab analysis is not possible. The source measured nitrogen only (Kjeldahl), so phosphorus is added here.</t>
        </is>
      </c>
      <c r="AL98" s="17" t="inlineStr">
        <is>
          <t>High</t>
        </is>
      </c>
      <c r="AM98" s="18" t="inlineStr">
        <is>
          <t>kaspar_1985_wq111</t>
        </is>
      </c>
      <c r="AN98" s="19" t="n"/>
      <c r="AO98" s="19" t="n"/>
      <c r="AP98" s="19" t="n"/>
      <c r="AQ98" s="16" t="inlineStr">
        <is>
          <t>Nutrient bioextraction (tissue N &amp; P) — Mollusk</t>
        </is>
      </c>
      <c r="AR98" s="16" t="inlineStr">
        <is>
          <t>Kaspar, H F; Gillespie, P A; Boyer, I C; MacKenzie, A L</t>
        </is>
      </c>
      <c r="AS98" s="16" t="inlineStr">
        <is>
          <t>Foundational early study (1985) on shellfish-aquaculture N biogeochemistry. The on-rope denitrification measurement (mussel-rope detritus communities denitrifying 2× the farm sediment rate, 10× reference sediment rate) is a methodological innovation still rare in newer studies. | v1.4 refinement: Added WQ 1.1.2 (Rate of denitrification) — paper explicitly measures denitrification, including the methodological innovation that mussel-rope detritus communities denitrify 2× sediment rate and 10× reference. WQ 1.1.2 added to v1.4 framework (mollusc-only); previously missing from v1.3.  |  Migration (one-indicator-per-row, 2026-09-04): split from kaspar_1985 -&gt; {kaspar_1985_wq111, kaspar_1985_wq112, kaspar_1985_wq121, kaspar_1985_wq211, kaspar_1985_hb131, kaspar_1985_hb141}. This row = kaspar_1985_wq111 (WQ 1.1.1 — N and P bioextraction). Candidate: AK/N/Q blanked and I/K/W/O/P provisional; per-indicator method text, tier/cost/effort and match adjudication to be finalised at generation. Combined parent I/AK/N/Q retained in v37 (pre-split).  |  [2026-10-13 Rule 15 cost re-rate, batch 10] Framework basis: Mol WQ 1.1.1: farmed biomass at harvest; farm only, no reference site; 1 locations × 1 visits × 3 replicates = 3. Tissue N + P at a partner lab × harvested biomass; the sediment-flux work belongs to the other indicators. Prior O: 'Medium–High'.  |  [2026-10-16 method-summary pass] Full read (Peter's PDF). I, K: candidate-split text replaced; Match Partial (N only; P added). L → Partial. W: '2 — Researcher' → '3 — Partnership' (Rule 14; partner-lab tissue N + P, the source's measured-composition route); fill → T3 pale green. AG → 'Tissue analysis'. N, Q filled; P detail; U rewritten (was shared across rows). O unchanged (tissue N + P 3 × $20). AK written; AL Med → High.  |  [2026-10-16 method-summary pass] Peter's call (2026-10-16): Partial kept.  |  [2026-10-16 monitoring-methods pass] AT (Monitoring Methods) set from the protocol's method summary (AK): Tissue elemental (CHN) analysis, Bivalve condition index / growth.</t>
        </is>
      </c>
      <c r="AT98" s="21" t="inlineStr">
        <is>
          <t>Tissue elemental (CHN) analysis, Bivalve condition index / growth</t>
        </is>
      </c>
    </row>
    <row r="99">
      <c r="A99" s="21" t="inlineStr">
        <is>
          <t>Kaspar, H. F., et al.</t>
        </is>
      </c>
      <c r="B99" s="21" t="inlineStr">
        <is>
          <t>Effects of mussel aquaculture on the nitrogen cycle and benthic communities in Kenepuru Sound, Marlborough Sounds, New Zealand</t>
        </is>
      </c>
      <c r="C99" s="21" t="inlineStr">
        <is>
          <t>Marine Biology</t>
        </is>
      </c>
      <c r="D99" s="21" t="n">
        <v>85</v>
      </c>
      <c r="E99" s="21" t="n"/>
      <c r="F99" s="21" t="inlineStr">
        <is>
          <t>127-136</t>
        </is>
      </c>
      <c r="G99" s="21" t="n">
        <v>1985</v>
      </c>
      <c r="H99" s="21" t="inlineStr">
        <is>
          <t>Springer</t>
        </is>
      </c>
      <c r="I99" s="21" t="inlineStr">
        <is>
          <t>Maps to WQ 1.1.2 — Rate of denitrification. Perna canaliculus longline farm (1.5 ha, ~11 m deep) and a reference site ~1 km across Kenepuru Sound (Marlborough Sounds, NZ), Sep 1982–May 1983: in situ denitrification by acetylene block in 2 cm segments of diver cores (2.4 cm diameter, 5 per site) to 12 cm; denitrification capacity in nitrate-saturated slurries; denitrification on detritus-covered mussels from the lines in a sealed aquarium; N₂O by gas chromatography (ECD). Farm sediment 0.7–6.1 vs reference 0.1–0.9 mmol N m⁻² d⁻¹; total denitrification 21% higher at the farm in January, with the lines a new denitrification site. Match: Partial — the protocol is the Expert Panel default-rate desk estimate (oyster-derived) applied to mussels.</t>
        </is>
      </c>
      <c r="J99" s="21" t="inlineStr">
        <is>
          <t>Protocol</t>
        </is>
      </c>
      <c r="K99" s="21" t="inlineStr">
        <is>
          <t>Confirmed standalone (full read). Directly measures denitrification in farm and reference sediment and on the culture lines (acetylene block, which can underestimate coupled denitrification) — supports WQ 1.1.2; the protocol uses the default-rate desk route per the standing call (Partial).</t>
        </is>
      </c>
      <c r="L99" s="21" t="inlineStr">
        <is>
          <t>Yes — desk estimate from farm biomass records and a table lookup; the source's acetylene-block incubations need a research partner.</t>
        </is>
      </c>
      <c r="M99" s="21" t="inlineStr">
        <is>
          <t>Yes</t>
        </is>
      </c>
      <c r="N99" s="21" t="inlineStr">
        <is>
          <t>Desk route: farm biomass records (rope counts, weights or buoy loading), meat-yield and dry-weight conversion, Expert Panel lookup table, lease area. Source: Plexiglas diver cores (2.4 and 6.4 cm ID); 10% acetylene; serum bottles with argon/methane headspace; gas chromatograph with electron-capture detector; sealed recirculating aquarium for mussel-line assays.</t>
        </is>
      </c>
      <c r="O99" s="21" t="inlineStr">
        <is>
          <t>Low — ~$0 yr 1: no start-up cost + no recurring cost</t>
        </is>
      </c>
      <c r="P99" s="21" t="inlineStr">
        <is>
          <t>One-time (no sampling — desk-based) — biomass estimate repeated every 3 years</t>
        </is>
      </c>
      <c r="Q99" s="21" t="inlineStr">
        <is>
          <t>Source: rates integrated over six 2 cm segments (top 12 cm) per site and date; share of nitrate reduction to N₂ vs ammonium; scaled to farm area for an ecosystem N budget. Desk: enhanced N removal for baseline and current biomass from the lookup table × area.</t>
        </is>
      </c>
      <c r="R99" s="21" t="inlineStr">
        <is>
          <t>No — Paywalled (Springer)</t>
        </is>
      </c>
      <c r="S99" s="21" t="inlineStr">
        <is>
          <t>Full PDF</t>
        </is>
      </c>
      <c r="T99" s="21" t="inlineStr">
        <is>
          <t>https://doi.org/10.1007/BF00397431</t>
        </is>
      </c>
      <c r="U99" s="21" t="inlineStr">
        <is>
          <t>Acetylene also blocks nitrification, so coupled denitrification may be underestimated. The Expert Panel table comes from restored Chesapeake oyster reefs, so for a mussel farm it gives an estimate only; where sediment under the lines becomes strongly reduced, nitrate can go to ammonium instead of N₂.</t>
        </is>
      </c>
      <c r="V99" s="21" t="inlineStr">
        <is>
          <t>Original list</t>
        </is>
      </c>
      <c r="W99" s="43" t="inlineStr">
        <is>
          <t>4 — Practitioner</t>
        </is>
      </c>
      <c r="X99" s="21" t="inlineStr">
        <is>
          <t>Mollusk</t>
        </is>
      </c>
      <c r="Y99" s="21" t="inlineStr">
        <is>
          <t>Water Quality</t>
        </is>
      </c>
      <c r="Z99" s="21" t="inlineStr">
        <is>
          <t>WQ 1.1.2 — Rate of denitrification</t>
        </is>
      </c>
      <c r="AA99" s="21" t="inlineStr">
        <is>
          <t>Temperate Pacific</t>
        </is>
      </c>
      <c r="AB99" s="21" t="inlineStr">
        <is>
          <t>Green-lipped mussel (Perna canaliculus)</t>
        </is>
      </c>
      <c r="AC99" s="21" t="inlineStr">
        <is>
          <t>Suspended longline (mussel)</t>
        </is>
      </c>
      <c r="AD99" s="21" t="inlineStr">
        <is>
          <t>Not scale-specific</t>
        </is>
      </c>
      <c r="AE99" s="21" t="inlineStr">
        <is>
          <t>Not site-specific</t>
        </is>
      </c>
      <c r="AF99" s="21" t="inlineStr">
        <is>
          <t>Monoculture</t>
        </is>
      </c>
      <c r="AG99" s="21" t="inlineStr">
        <is>
          <t>Tissue analysis</t>
        </is>
      </c>
      <c r="AH99" s="21" t="inlineStr">
        <is>
          <t>Not algae-specific</t>
        </is>
      </c>
      <c r="AI99" s="21" t="inlineStr">
        <is>
          <t>Coastal (10–30 m)</t>
        </is>
      </c>
      <c r="AJ99" s="21" t="inlineStr">
        <is>
          <t>Sheltered</t>
        </is>
      </c>
      <c r="AK99" s="16" t="inlineStr">
        <is>
          <t>To estimate the extra nitrogen your mussel farm removes through denitrification, set a baseline: bivalve tissue biomass per m² at the site before the farm, or at a nearby unfarmed site in the same water body. For the farm, estimate standing mussel biomass from rope counts and weights (or buoy loading), convert it to tissue dry weight with your meat-yield and drying figures, and express it per m² of lease. Look up enhanced nitrogen removal for the baseline and current biomass in the Chesapeake Oyster BMP Expert Panel's table and multiply by the lease area; repeat every [3] years. The table was built from restored oyster reefs, so report the result as an estimate. The source measured denitrification directly and found it 21% higher at the farm, with the lines themselves denitrifying; where sediment under the lines turns black and sulphidic, nitrate tends to be recycled as ammonium instead, so do not report removal there.</t>
        </is>
      </c>
      <c r="AL99" s="17" t="inlineStr">
        <is>
          <t>High</t>
        </is>
      </c>
      <c r="AM99" s="18" t="inlineStr">
        <is>
          <t>kaspar_1985_wq112</t>
        </is>
      </c>
      <c r="AN99" s="19" t="n"/>
      <c r="AO99" s="19" t="n"/>
      <c r="AP99" s="19" t="n"/>
      <c r="AQ99" s="16" t="inlineStr">
        <is>
          <t>Denitrification-rate measurement — Mollusk</t>
        </is>
      </c>
      <c r="AR99" s="16" t="inlineStr">
        <is>
          <t>Kaspar, H F; Gillespie, P A; Boyer, I C; MacKenzie, A L</t>
        </is>
      </c>
      <c r="AS99" s="16" t="inlineStr">
        <is>
          <t>Foundational early study (1985) on shellfish-aquaculture N biogeochemistry. The on-rope denitrification measurement (mussel-rope detritus communities denitrifying 2× the farm sediment rate, 10× reference sediment rate) is a methodological innovation still rare in newer studies. | v1.4 refinement: Added WQ 1.1.2 (Rate of denitrification) — paper explicitly measures denitrification, including the methodological innovation that mussel-rope detritus communities denitrify 2× sediment rate and 10× reference. WQ 1.1.2 added to v1.4 framework (mollusc-only); previously missing from v1.3.  |  Migration (one-indicator-per-row, 2026-09-04): split from kaspar_1985 -&gt; {kaspar_1985_wq111, kaspar_1985_wq112, kaspar_1985_wq121, kaspar_1985_wq211, kaspar_1985_hb131, kaspar_1985_hb141}. This row = kaspar_1985_wq112 (WQ 1.1.2 — Rate of denitrification). Candidate: AK/N/Q blanked and I/K/W/O/P provisional; per-indicator method text, tier/cost/effort and match adjudication to be finalised at generation. Combined parent I/AK/N/Q retained in v37 (pre-split).  |  [2026-10-13 Rule 15 cost re-rate, batch 10] Framework basis: Mol WQ 1.1.2: point in time based on standing biomass; desk-based. Denitrification estimated from the Chesapeake Oyster BMP Expert Panel default rates applied to the farm's own biomass/area records (Peter's decision, 2026-10-13: default rates replace measured N2 flux, for which no per-sample fee is published); a desk calculation with no gear or lab fee; the paper's sediment and rope-detritus incubations are not costed. Prior O: 'Medium–High'.  |  [2026-10-16 method-summary pass] Full read (Peter's PDF). I, K: candidate-split text replaced; Match Partial (default-rate route, oyster-derived, applied to mussels; the source supports enhanced denitrification at this farm). L → Yes. W: '2 — Researcher' → '4 — Practitioner' (Rule 14; desk lookup, as reichertnguyen_2023_wq112 and nizzoli_2006-b_wq112); fill → T4 lime. AG → 'Tissue analysis'. N, Q filled; P → desk; U rewritten. O unchanged (desk, $0). AK written; AL Med → High.  |  [2026-10-16 method-summary pass] Peter's call (2026-10-16): Partial kept.  |  [2026-10-16 monitoring-methods pass] AT (Monitoring Methods) set from the protocol's method summary (AK): Bivalve condition index / growth.</t>
        </is>
      </c>
      <c r="AT99" s="21" t="inlineStr">
        <is>
          <t>Bivalve condition index / growth</t>
        </is>
      </c>
    </row>
    <row r="100">
      <c r="A100" s="21" t="inlineStr">
        <is>
          <t>Kaspar, H. F., et al.</t>
        </is>
      </c>
      <c r="B100" s="21" t="inlineStr">
        <is>
          <t>Effects of mussel aquaculture on the nitrogen cycle and benthic communities in Kenepuru Sound, Marlborough Sounds, New Zealand</t>
        </is>
      </c>
      <c r="C100" s="21" t="inlineStr">
        <is>
          <t>Marine Biology</t>
        </is>
      </c>
      <c r="D100" s="21" t="n">
        <v>85</v>
      </c>
      <c r="E100" s="21" t="n"/>
      <c r="F100" s="21" t="inlineStr">
        <is>
          <t>127-136</t>
        </is>
      </c>
      <c r="G100" s="21" t="n">
        <v>1985</v>
      </c>
      <c r="H100" s="21" t="inlineStr">
        <is>
          <t>Springer</t>
        </is>
      </c>
      <c r="I100" s="21" t="inlineStr">
        <is>
          <t>Maps to WQ 2.1.1 — Chlorophyll-a. Perna canaliculus longline farm (1.5 ha, ~11 m deep) and a reference site ~1 km across Kenepuru Sound (Marlborough Sounds, NZ), Sep 1982–May 1983 (reference not sampled in Sep): van Dorn samples at 4–5 depths through the water column; chl-a on GF/C filters by 90% acetone extraction and Lorenzen spectrophotometric equations; depth-integrated and converted to phytoplankton N; ¹⁴C primary production in situ. Match: Partial — one reference site; reported mainly as phytoplankton N.</t>
        </is>
      </c>
      <c r="J100" s="21" t="inlineStr">
        <is>
          <t>Protocol</t>
        </is>
      </c>
      <c r="K100" s="21" t="inlineStr">
        <is>
          <t>Confirmed standalone (full read). Discrete chl-a profiles at the farm and a reference showed no consistent farm depletion in this strongly tidal sound (phytoplankton N 4–13 mmol m⁻² at both outside the May bloom) — usable for WQ 2.1.1 with a second reference added (Partial).</t>
        </is>
      </c>
      <c r="L100" s="21" t="inlineStr">
        <is>
          <t>Partial — water sampling and filtering are farmer-doable; acetone extraction and spectrophotometry need a partner lab.</t>
        </is>
      </c>
      <c r="M100" s="21" t="inlineStr">
        <is>
          <t>Yes</t>
        </is>
      </c>
      <c r="N100" s="21" t="inlineStr">
        <is>
          <t>van Dorn bottle (4–5 depths); Whatman GF/C filters; 90% acetone extraction; spectrophotometer (Lorenzen equations); LI-COR quantum photometer; in situ ¹⁴CO₂ incubations.</t>
        </is>
      </c>
      <c r="O100" s="21" t="inlineStr">
        <is>
          <t>Medium — ~$2.3K yr 1: $1.34K start-up (water sampler $986 [list]; messenger + line $100 [est]; filtration kit $250 [est]) + $1.01K/yr (chl-a analysis 36 × $25.18 [lab fee]; filters + foil $100 [est])</t>
        </is>
      </c>
      <c r="P100" s="21" t="inlineStr">
        <is>
          <t>Multi-season (3–9 months) — four dates, Sep 1982–May 1983</t>
        </is>
      </c>
      <c r="Q100" s="21" t="inlineStr">
        <is>
          <t>Depth-integrated pools (mmol m⁻²) per site and date, compared descriptively; chl-a converted to phytoplankton N with chl:C of 20 mg g⁻¹ and Redfield C:N.</t>
        </is>
      </c>
      <c r="R100" s="21" t="inlineStr">
        <is>
          <t>No — Paywalled (Springer)</t>
        </is>
      </c>
      <c r="S100" s="21" t="inlineStr">
        <is>
          <t>Full PDF</t>
        </is>
      </c>
      <c r="T100" s="21" t="inlineStr">
        <is>
          <t>https://doi.org/10.1007/BF00397431</t>
        </is>
      </c>
      <c r="U100" s="21" t="inlineStr">
        <is>
          <t>Strong tidal mixing (~4 km h⁻¹) evened out water chemistry between sites; a patchy Mesodinium rubrum bloom in May made single profiles unrepresentative.</t>
        </is>
      </c>
      <c r="V100" s="21" t="inlineStr">
        <is>
          <t>Original list</t>
        </is>
      </c>
      <c r="W100" s="41" t="inlineStr">
        <is>
          <t>3 — Partnership</t>
        </is>
      </c>
      <c r="X100" s="21" t="inlineStr">
        <is>
          <t>Mollusk</t>
        </is>
      </c>
      <c r="Y100" s="21" t="inlineStr">
        <is>
          <t>Water Quality</t>
        </is>
      </c>
      <c r="Z100" s="21" t="inlineStr">
        <is>
          <t>WQ 2.1.1 — Chlorophyll-a</t>
        </is>
      </c>
      <c r="AA100" s="21" t="inlineStr">
        <is>
          <t>Temperate Pacific</t>
        </is>
      </c>
      <c r="AB100" s="21" t="inlineStr">
        <is>
          <t>Green-lipped mussel (Perna canaliculus)</t>
        </is>
      </c>
      <c r="AC100" s="21" t="inlineStr">
        <is>
          <t>Suspended longline (mussel)</t>
        </is>
      </c>
      <c r="AD100" s="21" t="inlineStr">
        <is>
          <t>Not scale-specific</t>
        </is>
      </c>
      <c r="AE100" s="21" t="inlineStr">
        <is>
          <t>Not site-specific</t>
        </is>
      </c>
      <c r="AF100" s="21" t="inlineStr">
        <is>
          <t>Monoculture</t>
        </is>
      </c>
      <c r="AG100" s="21" t="inlineStr">
        <is>
          <t>Water chemistry</t>
        </is>
      </c>
      <c r="AH100" s="21" t="inlineStr">
        <is>
          <t>Not algae-specific</t>
        </is>
      </c>
      <c r="AI100" s="21" t="inlineStr">
        <is>
          <t>Coastal (10–30 m)</t>
        </is>
      </c>
      <c r="AJ100" s="21" t="inlineStr">
        <is>
          <t>Sheltered</t>
        </is>
      </c>
      <c r="AK100" s="16" t="inlineStr">
        <is>
          <t>To check whether your mussel farm is drawing down phytoplankton, take water with a sampler at [3] depths spanning the water column (near surface, mid-depth and [1 m] above the bottom) at [3] stations within the farm and [3] stations at each of [2] reference sites in the same water body outside the farm's influence, once per season at the same tide state and time of day. Combine equal volumes from the three depths into one sample per station, filter a measured volume through glass-fibre filters, keep the filters dark and frozen, and have a partner lab extract them in 90% acetone and measure chlorophyll-a. Compare farm with reference stations by season. The source used one reference site about 1 km across the sound, so the second is added; in strongly tidal water the difference may be small, and patchy blooms can swamp single profiles.</t>
        </is>
      </c>
      <c r="AL100" s="17" t="inlineStr">
        <is>
          <t>High</t>
        </is>
      </c>
      <c r="AM100" s="18" t="inlineStr">
        <is>
          <t>kaspar_1985_wq211</t>
        </is>
      </c>
      <c r="AN100" s="19" t="n"/>
      <c r="AO100" s="19" t="n"/>
      <c r="AP100" s="19" t="n"/>
      <c r="AQ100" s="16" t="inlineStr">
        <is>
          <t>Chlorophyll-a monitoring — Mollusk</t>
        </is>
      </c>
      <c r="AR100" s="16" t="inlineStr">
        <is>
          <t>Kaspar, H F; Gillespie, P A; Boyer, I C; MacKenzie, A L</t>
        </is>
      </c>
      <c r="AS100" s="16" t="inlineStr">
        <is>
          <t>Foundational early study (1985) on shellfish-aquaculture N biogeochemistry. The on-rope denitrification measurement (mussel-rope detritus communities denitrifying 2× the farm sediment rate, 10× reference sediment rate) is a methodological innovation still rare in newer studies. | v1.4 refinement: Added WQ 1.1.2 (Rate of denitrification) — paper explicitly measures denitrification, including the methodological innovation that mussel-rope detritus communities denitrify 2× sediment rate and 10× reference. WQ 1.1.2 added to v1.4 framework (mollusc-only); previously missing from v1.3.  |  Migration (one-indicator-per-row, 2026-09-04): split from kaspar_1985 -&gt; {kaspar_1985_wq111, kaspar_1985_wq112, kaspar_1985_wq121, kaspar_1985_wq211, kaspar_1985_hb131, kaspar_1985_hb141}. This row = kaspar_1985_wq211 (WQ 2.1.1 — Chlorophyll-a). Candidate: AK/N/Q blanked and I/K/W/O/P provisional; per-indicator method text, tier/cost/effort and match adjudication to be finalised at generation. Combined parent I/AK/N/Q retained in v37 (pre-split).  |  [2026-10-13 Rule 15 cost re-rate, batch 12] Framework basis: Mol WQ 2.1.1: farm + 2 adjacent non-farm refs; seasonal + diurnal (one logger per location); 3 locations. Sensor chl-a route, one logger per location (Peter, 2026-10-13: use an estimated logger price so these rows can be costed); the price is an evaluator estimate (quote needed) and High holds above about $3,200 a unit. Held from batch 10 pending this price. Sensor route set by Peter (2026-10-13). Prior O: 'Medium–High'.  |  [2026-10-16 method-summary pass] Full read (Peter's PDF). I, K: candidate-split text replaced; Match Partial (one reference; second added). L → Partial. W: '2 — Researcher' → '3 — Partnership' (Rule 14; partner-lab chl-a); fill → T3 pale green. AG → 'Water chemistry'. N, Q filled; P detail; U rewritten. O: sensor route 'High — ~$12K (chl logger ×3)' → lab route 'Medium — ~$2.3K' (the source used discrete bottle samples with acetone extraction, not sensors; Rule 15 basis unchanged: 3 locations × 4 visits × 3 = 36; depth-composited samples, sampler for depth) — reverses the batch-12 sensor assumption, made before the read. AK written; AL Med → High.  |  [2026-10-16 method-summary pass] Peter's call (2026-10-16): Partial kept; lab chl-a cost route accepted.  |  [2026-10-16 monitoring-methods pass] AT (Monitoring Methods) set from the protocol's method summary (AK): Chlorophyll-a (water).</t>
        </is>
      </c>
      <c r="AT100" s="21" t="inlineStr">
        <is>
          <t>Chlorophyll-a (water)</t>
        </is>
      </c>
    </row>
    <row r="101">
      <c r="A101" s="21" t="inlineStr">
        <is>
          <t>Kaspar, H. F., et al.</t>
        </is>
      </c>
      <c r="B101" s="21" t="inlineStr">
        <is>
          <t>Effects of mussel aquaculture on the nitrogen cycle and benthic communities in Kenepuru Sound, Marlborough Sounds, New Zealand</t>
        </is>
      </c>
      <c r="C101" s="21" t="inlineStr">
        <is>
          <t>Marine Biology</t>
        </is>
      </c>
      <c r="D101" s="21" t="n">
        <v>85</v>
      </c>
      <c r="E101" s="21" t="n"/>
      <c r="F101" s="21" t="inlineStr">
        <is>
          <t>127-136</t>
        </is>
      </c>
      <c r="G101" s="21" t="n">
        <v>1985</v>
      </c>
      <c r="H101" s="21" t="inlineStr">
        <is>
          <t>Springer</t>
        </is>
      </c>
      <c r="I101" s="21" t="inlineStr">
        <is>
          <t>Maps to H&amp;B 1.3.1 — Benthic infauna. Perna canaliculus longline farm (1.5 ha, ~11 m deep) and a reference site ~1 km across Kenepuru Sound (Marlborough Sounds, NZ), Sep 1982–May 1983: on two dates (Jan, May 1983) 5–7 diver cores (32.2 cm² each) per site, washed through a 1.68 mm sieve; macroinfauna sorted, dry weight (55 °C) and ash-free dry weight (550 °C); composition noted (only polychaetes beneath the lines; polychaetes, brittle stars, bivalves and crustaceans at the reference). Match: Partial — biomass measured; composition only qualitative, no counts or diversity index.</t>
        </is>
      </c>
      <c r="J101" s="21" t="inlineStr">
        <is>
          <t>Protocol</t>
        </is>
      </c>
      <c r="K101" s="21" t="inlineStr">
        <is>
          <t>Confirmed standalone (full read). Infauna biomass did not differ significantly (33 ± 28 vs 52 ± 31 g m⁻²) because of patchiness, but composition was clearly poorer beneath the lines — usable for H&amp;B 1.3.1 with counts and identification added (Partial).</t>
        </is>
      </c>
      <c r="L101" s="21" t="inlineStr">
        <is>
          <t>Partial — coring or grabbing and sieving are farmer-doable; sorting, identification and weighing need a partner lab.</t>
        </is>
      </c>
      <c r="M101" s="21" t="inlineStr">
        <is>
          <t>Yes</t>
        </is>
      </c>
      <c r="N101" s="21" t="inlineStr">
        <is>
          <t>Diver-collected Plexiglas cores (32.2 cm² area); 1.68 mm sieve; drying at 55 °C and combustion at 550 °C (ash-free dry weight); diver observations of epibenthic megafauna.</t>
        </is>
      </c>
      <c r="O101" s="21" t="inlineStr">
        <is>
          <t>High — ~$12K yr 1: $1.77K start-up (Petite Ponar grab $1.57K [list]; grab line $50 [est]; 1 mm sieve $150 [est]) + $10.1K/yr (infauna sort + ID 24 × $414 [lab fee]; preservative + jars $150 [est])</t>
        </is>
      </c>
      <c r="P101" s="21" t="inlineStr">
        <is>
          <t>Multi-season (3–9 months) — two dates, Jan and May 1983</t>
        </is>
      </c>
      <c r="Q101" s="21" t="inlineStr">
        <is>
          <t>Mean infauna dry weight and AFDW per site; composition described qualitatively; no test of composition.</t>
        </is>
      </c>
      <c r="R101" s="21" t="inlineStr">
        <is>
          <t>No — Paywalled (Springer)</t>
        </is>
      </c>
      <c r="S101" s="21" t="inlineStr">
        <is>
          <t>Full PDF</t>
        </is>
      </c>
      <c r="T101" s="21" t="inlineStr">
        <is>
          <t>https://doi.org/10.1007/BF00397431</t>
        </is>
      </c>
      <c r="U101" s="21" t="inlineStr">
        <is>
          <t>Patchy infauna masked biomass differences; only two dates. Divers also noted mussel clumps fallen from the lines forming a reef-like epibiota with sea stars and fish beneath the farm.</t>
        </is>
      </c>
      <c r="V101" s="21" t="inlineStr">
        <is>
          <t>Original list</t>
        </is>
      </c>
      <c r="W101" s="41" t="inlineStr">
        <is>
          <t>3 — Partnership</t>
        </is>
      </c>
      <c r="X101" s="21" t="inlineStr">
        <is>
          <t>Mollusk</t>
        </is>
      </c>
      <c r="Y101" s="21" t="inlineStr">
        <is>
          <t>Habitat &amp; Biodiversity</t>
        </is>
      </c>
      <c r="Z101" s="21" t="inlineStr">
        <is>
          <t>H&amp;B 1.3.1 — Benthic infauna</t>
        </is>
      </c>
      <c r="AA101" s="21" t="inlineStr">
        <is>
          <t>Temperate Pacific</t>
        </is>
      </c>
      <c r="AB101" s="21" t="inlineStr">
        <is>
          <t>Green-lipped mussel (Perna canaliculus)</t>
        </is>
      </c>
      <c r="AC101" s="21" t="inlineStr">
        <is>
          <t>Suspended longline (mussel)</t>
        </is>
      </c>
      <c r="AD101" s="21" t="inlineStr">
        <is>
          <t>Not scale-specific</t>
        </is>
      </c>
      <c r="AE101" s="21" t="inlineStr">
        <is>
          <t>Not site-specific</t>
        </is>
      </c>
      <c r="AF101" s="21" t="inlineStr">
        <is>
          <t>Monoculture</t>
        </is>
      </c>
      <c r="AG101" s="21" t="inlineStr">
        <is>
          <t>Sediment sampling</t>
        </is>
      </c>
      <c r="AH101" s="21" t="inlineStr">
        <is>
          <t>Not algae-specific</t>
        </is>
      </c>
      <c r="AI101" s="21" t="inlineStr">
        <is>
          <t>Coastal (10–30 m)</t>
        </is>
      </c>
      <c r="AJ101" s="21" t="inlineStr">
        <is>
          <t>Sheltered</t>
        </is>
      </c>
      <c r="AK101" s="16" t="inlineStr">
        <is>
          <t>To check how your mussel lines affect the animals living in the seabed, take [3] sediment samples (diver cores or a small grab from the boat) under the lines and [3] at the farm edge, once per season. Wash each through a 1 mm sieve, preserve what is retained, and have a partner lab sort, identify, count and weigh (dry weight) the animals. Report number of taxa, abundance, biomass and Shannon diversity, and compare under-line with edge samples; adding [1–2] reference sites of similar depth and sediment, as the source did, shows whether differences come from the farm. The source weighed the infauna and described its make-up — only polychaete worms beneath the lines, against worms, brittle stars, bivalves and crustaceans at the reference — so counts and identification are added. Infauna is patchy, so expect wide variation between samples.</t>
        </is>
      </c>
      <c r="AL101" s="17" t="inlineStr">
        <is>
          <t>High</t>
        </is>
      </c>
      <c r="AM101" s="18" t="inlineStr">
        <is>
          <t>kaspar_1985_hb131</t>
        </is>
      </c>
      <c r="AN101" s="19" t="n"/>
      <c r="AO101" s="19" t="n"/>
      <c r="AP101" s="19" t="n"/>
      <c r="AQ101" s="16" t="inlineStr">
        <is>
          <t>Benthic-infauna sampling — Mollusk</t>
        </is>
      </c>
      <c r="AR101" s="16" t="inlineStr">
        <is>
          <t>Kaspar, H F; Gillespie, P A; Boyer, I C; MacKenzie, A L</t>
        </is>
      </c>
      <c r="AS101" s="16" t="inlineStr">
        <is>
          <t>Foundational early study (1985) on shellfish-aquaculture N biogeochemistry. The on-rope denitrification measurement (mussel-rope detritus communities denitrifying 2× the farm sediment rate, 10× reference sediment rate) is a methodological innovation still rare in newer studies. | v1.4 refinement: Added WQ 1.1.2 (Rate of denitrification) — paper explicitly measures denitrification, including the methodological innovation that mussel-rope detritus communities denitrify 2× sediment rate and 10× reference. WQ 1.1.2 added to v1.4 framework (mollusc-only); previously missing from v1.3.  |  Migration (one-indicator-per-row, 2026-09-04): split from kaspar_1985 -&gt; {kaspar_1985_wq111, kaspar_1985_wq112, kaspar_1985_wq121, kaspar_1985_wq211, kaspar_1985_hb131, kaspar_1985_hb141}. This row = kaspar_1985_hb131 (H&amp;B 1.3.1 — Benthic infauna). Candidate: AK/N/Q blanked and I/K/W/O/P provisional; per-indicator method text, tier/cost/effort and match adjudication to be finalised at generation. Combined parent I/AK/N/Q retained in v37 (pre-split).  |  [2026-10-13 Rule 15 cost re-rate, batch 10] Framework basis: Mol H&amp;B 1.3.1: under/within farm + edge; seasonal (4 visits); 2 locations × 4 visits × 3 replicates = 24. Grab, partner-lab sort + ID; not field-identifiable, so no waiver. Prior O: 'Medium–High'.  |  [2026-10-16 method-summary pass] Full read (Peter's PDF). I, K: candidate-split text replaced; Match Partial (biomass + qualitative composition; counts and ID added). L → Partial. W: '2 — Researcher' → '3 — Partnership' (Rule 14; partner-lab sort/ID); fill → T3 pale green. AG → 'Sediment sampling'. N, Q filled; P detail; U rewritten. O: sieve item 500 µm → 1 mm (same price; total unchanged). AK written; AL Med → High.  |  [2026-10-16 method-summary pass] Peter's call (2026-10-16): Partial kept.  |  [2026-10-16 monitoring-methods pass] AT (Monitoring Methods) set from the protocol's method summary (AK): Benthic infauna community.</t>
        </is>
      </c>
      <c r="AT101" s="21" t="inlineStr">
        <is>
          <t>Benthic infauna community</t>
        </is>
      </c>
    </row>
    <row r="102">
      <c r="A102" s="21" t="inlineStr">
        <is>
          <t>Kaspar, H. F., et al.</t>
        </is>
      </c>
      <c r="B102" s="21" t="inlineStr">
        <is>
          <t>Effects of mussel aquaculture on the nitrogen cycle and benthic communities in Kenepuru Sound, Marlborough Sounds, New Zealand</t>
        </is>
      </c>
      <c r="C102" s="21" t="inlineStr">
        <is>
          <t>Marine Biology</t>
        </is>
      </c>
      <c r="D102" s="21" t="n">
        <v>85</v>
      </c>
      <c r="E102" s="21" t="n"/>
      <c r="F102" s="21" t="inlineStr">
        <is>
          <t>127-136</t>
        </is>
      </c>
      <c r="G102" s="21" t="n">
        <v>1985</v>
      </c>
      <c r="H102" s="21" t="inlineStr">
        <is>
          <t>Springer</t>
        </is>
      </c>
      <c r="I102" s="21" t="inlineStr">
        <is>
          <t>Maps to H&amp;B 1.4.1 — Sediment. Perna canaliculus longline farm (1.5 ha, ~11 m deep) and a reference site ~1 km across Kenepuru Sound (Marlborough Sounds, NZ), Sep 1982–May 1983 (Oct, Jan, May): ~20 diver cores (2.4 cm) per site cut into 2 cm segments to 12 cm and pooled by depth: bulk density, moisture, porosity, volatile solids (550 °C), grain size (pipette), total organic C, total organic N (Kjeldahl), total P, KCl-extractable and porewater NH₄⁺, NO₃⁻, NO₂⁻ and SRP; surface chl-a and phaeophytin. Match: Yes — organic content and nutrient profiles at farm and reference.</t>
        </is>
      </c>
      <c r="J102" s="21" t="inlineStr">
        <is>
          <t>Protocol</t>
        </is>
      </c>
      <c r="K102" s="21" t="inlineStr">
        <is>
          <t>Confirmed standalone (full read). Depth profiles showed finer, looser, more reduced farm sediment with higher volatile solids, lower C:N, about twice the ammonium pool and 2.6× the phaeophytin — robust for H&amp;B 1.4.1.</t>
        </is>
      </c>
      <c r="L102" s="21" t="inlineStr">
        <is>
          <t>Partial — coring and slicing are farmer-doable; organic matter, grain size and nutrient analyses need a partner lab.</t>
        </is>
      </c>
      <c r="M102" s="21" t="inlineStr">
        <is>
          <t>Yes</t>
        </is>
      </c>
      <c r="N102" s="21" t="inlineStr">
        <is>
          <t>Diver-collected Plexiglas cores (2.4 cm ID); 2 cm slicing to 12 cm; drying at 105 °C, combustion at 550 °C; pipette grain-size analysis; Dohrmann organic carbon analyser; Kjeldahl N; persulphate-digest total P; 2 M KCl extraction and centrifuged porewater for NH₄⁺, NO₃⁻, NO₂⁻, SRP; acetone extraction of surface chl-a and phaeophytin.</t>
        </is>
      </c>
      <c r="O102" s="21" t="inlineStr">
        <is>
          <t>Medium — ~$2.8K yr 1: $1.62K start-up (Petite Ponar grab $1.57K [list]; grab line $50 [est]) + $1.23K/yr (grain size 24 × $30 [lab fee]; sediment LOI 24 × $19 [lab fee]; sample jars $50 [est])</t>
        </is>
      </c>
      <c r="P102" s="21" t="inlineStr">
        <is>
          <t>Multi-season (3–9 months) — three dates, Oct 1982, Jan and May 1983</t>
        </is>
      </c>
      <c r="Q102" s="21" t="inlineStr">
        <is>
          <t>Pools integrated over six 2 cm segments (top 12 cm) per site and date; molar C:N and N:P of organic matter; farm vs reference compared descriptively (one pooled sample per depth per site).</t>
        </is>
      </c>
      <c r="R102" s="21" t="inlineStr">
        <is>
          <t>No — Paywalled (Springer)</t>
        </is>
      </c>
      <c r="S102" s="21" t="inlineStr">
        <is>
          <t>Full PDF</t>
        </is>
      </c>
      <c r="T102" s="21" t="inlineStr">
        <is>
          <t>https://doi.org/10.1007/BF00397431</t>
        </is>
      </c>
      <c r="U102" s="21" t="inlineStr">
        <is>
          <t>No pre-farm data, so differences cannot be attributed wholly to the mussels; pooled cores give one value per depth per site (no replication). One reference site on the opposite shore.</t>
        </is>
      </c>
      <c r="V102" s="21" t="inlineStr">
        <is>
          <t>Original list</t>
        </is>
      </c>
      <c r="W102" s="41" t="inlineStr">
        <is>
          <t>3 — Partnership</t>
        </is>
      </c>
      <c r="X102" s="21" t="inlineStr">
        <is>
          <t>Mollusk</t>
        </is>
      </c>
      <c r="Y102" s="21" t="inlineStr">
        <is>
          <t>Habitat &amp; Biodiversity</t>
        </is>
      </c>
      <c r="Z102" s="21" t="inlineStr">
        <is>
          <t>H&amp;B 1.4.1 — Sediment</t>
        </is>
      </c>
      <c r="AA102" s="21" t="inlineStr">
        <is>
          <t>Temperate Pacific</t>
        </is>
      </c>
      <c r="AB102" s="21" t="inlineStr">
        <is>
          <t>Green-lipped mussel (Perna canaliculus)</t>
        </is>
      </c>
      <c r="AC102" s="21" t="inlineStr">
        <is>
          <t>Suspended longline (mussel)</t>
        </is>
      </c>
      <c r="AD102" s="21" t="inlineStr">
        <is>
          <t>Not scale-specific</t>
        </is>
      </c>
      <c r="AE102" s="21" t="inlineStr">
        <is>
          <t>Not site-specific</t>
        </is>
      </c>
      <c r="AF102" s="21" t="inlineStr">
        <is>
          <t>Monoculture</t>
        </is>
      </c>
      <c r="AG102" s="21" t="inlineStr">
        <is>
          <t>Sediment sampling</t>
        </is>
      </c>
      <c r="AH102" s="21" t="inlineStr">
        <is>
          <t>Not algae-specific</t>
        </is>
      </c>
      <c r="AI102" s="21" t="inlineStr">
        <is>
          <t>Coastal (10–30 m)</t>
        </is>
      </c>
      <c r="AJ102" s="21" t="inlineStr">
        <is>
          <t>Sheltered</t>
        </is>
      </c>
      <c r="AK102" s="16" t="inlineStr">
        <is>
          <t>To track organic enrichment of the seabed under your mussel lines, take [5] narrow cores (about 2.5 cm wide; by diver, or subsampled from a grab) at each of [2] farm stations (under the lines and at the edge) and [2] reference stations of similar depth and sediment outside the farm's influence, twice a year. Slice each core at [0–2, 2–4 and 4–6 cm], pool same-depth slices from each station, and send them to a partner lab for organic matter (loss on ignition) and grain size; total organic carbon and nitrogen and extractable ammonium add detail if budget allows. Compare farm with reference by depth: higher organic matter, finer and looser sediment and more ammonium beneath the lines signal enrichment, as the source found. The source compared one reference site and had no pre-farm data, so a second reference is added and a sample before stocking helps if you can take one.</t>
        </is>
      </c>
      <c r="AL102" s="17" t="inlineStr">
        <is>
          <t>High</t>
        </is>
      </c>
      <c r="AM102" s="18" t="inlineStr">
        <is>
          <t>kaspar_1985_hb141</t>
        </is>
      </c>
      <c r="AN102" s="19" t="n"/>
      <c r="AO102" s="19" t="n"/>
      <c r="AP102" s="19" t="n"/>
      <c r="AQ102" s="16" t="inlineStr">
        <is>
          <t>Sediment-condition monitoring — Mollusk</t>
        </is>
      </c>
      <c r="AR102" s="16" t="inlineStr">
        <is>
          <t>Kaspar, H F; Gillespie, P A; Boyer, I C; MacKenzie, A L</t>
        </is>
      </c>
      <c r="AS102" s="16" t="inlineStr">
        <is>
          <t>Foundational early study (1985) on shellfish-aquaculture N biogeochemistry. The on-rope denitrification measurement (mussel-rope detritus communities denitrifying 2× the farm sediment rate, 10× reference sediment rate) is a methodological innovation still rare in newer studies. | v1.4 refinement: Added WQ 1.1.2 (Rate of denitrification) — paper explicitly measures denitrification, including the methodological innovation that mussel-rope detritus communities denitrify 2× sediment rate and 10× reference. WQ 1.1.2 added to v1.4 framework (mollusc-only); previously missing from v1.3.  |  Migration (one-indicator-per-row, 2026-09-04): split from kaspar_1985 -&gt; {kaspar_1985_wq111, kaspar_1985_wq112, kaspar_1985_wq121, kaspar_1985_wq211, kaspar_1985_hb131, kaspar_1985_hb141}. This row = kaspar_1985_hb141 (H&amp;B 1.4.1 — Sediment). Candidate: AK/N/Q blanked and I/K/W/O/P provisional; per-indicator method text, tier/cost/effort and match adjudication to be finalised at generation. Combined parent I/AK/N/Q retained in v37 (pre-split).  |  [2026-10-13 Rule 15 cost re-rate, batch 10] Framework basis: Mol H&amp;B 1.4.1: 2 farm strata + 2 nearby non-farm refs; biannual (2 visits; least frequent option); 4 locations × 2 visits × 3 replicates = 24. Grab subsamples for grain size + LOI at a partner lab (analytes inferred; the band holds Medium for any subset, or with TOC or field redox added). Rope-detritus incubations belong to the denitrification indicator. Prior O: 'Medium–High'.  |  [2026-10-16 method-summary pass] Full read (Peter's PDF). I, K: candidate-split text replaced; Match Yes. L → Partial. W: '2 — Researcher' → '3 — Partnership' (Rule 14; partner-lab LOI + grain size); fill → T3 pale green. AG → 'Sediment sampling'. N, Q filled; P detail; U rewritten. O unchanged (grain size + LOI on 24 pooled samples: 4 stations × 3 depth slices × 2 visits; analytes confirmed in the source). AK written; AL Med → High.  |  [2026-10-16 monitoring-methods pass] AT (Monitoring Methods) set from the protocol's method summary (AK): Dissolved nutrients (N &amp; P), Grain size / particle size, Sediment chemistry (OC / TN / redox / AVS).</t>
        </is>
      </c>
      <c r="AT102" s="21" t="inlineStr">
        <is>
          <t>Dissolved nutrients (N &amp; P), Grain size / particle size, Sediment chemistry (OC / TN / redox / AVS)</t>
        </is>
      </c>
    </row>
    <row r="103">
      <c r="A103" t="inlineStr">
        <is>
          <t>Nizzoli, D., et al.</t>
        </is>
      </c>
      <c r="B103" t="inlineStr">
        <is>
          <t>Nitrogen and phosphorous budgets during a farming cycle of the Manila clam Ruditapes philippinarum: An in situ experiment</t>
        </is>
      </c>
      <c r="C103" t="inlineStr">
        <is>
          <t>Aquaculture</t>
        </is>
      </c>
      <c r="D103" t="n">
        <v>261</v>
      </c>
      <c r="F103" t="inlineStr">
        <is>
          <t>98-108</t>
        </is>
      </c>
      <c r="G103" t="n">
        <v>2006</v>
      </c>
      <c r="H103" t="inlineStr">
        <is>
          <t>Elsevier</t>
        </is>
      </c>
      <c r="I103" t="inlineStr">
        <is>
          <t>Maps to WQ 1.1.1 — N and P bioextraction. Simulated 7-month Manila clam farming cycle (Mar–Oct 2003) in a 2,100 m² sandy plot in the Sacca di Goro lagoon (Po Delta, Italy): control, low (~300 ind m⁻²) and high (~800 ind m⁻²) density sectors; 3 cores (20 cm ID) per sector on four dates; clams counted and weighed, flesh and shell dried (70 °C) and analysed for C and N (CHNS analyser) and P (Aspila method); harvested N and P = elemental content per clam × density, net of seed input. Match: Yes.</t>
        </is>
      </c>
      <c r="J103" t="inlineStr">
        <is>
          <t>Protocol</t>
        </is>
      </c>
      <c r="K103" t="inlineStr">
        <is>
          <t>Confirmed standalone (full read). Measures N and P in harvested clam flesh and shell per m² (net 0.36–1.81 mol N and 0.01–0.04 mol P m⁻²) — the Framework's composition × harvested-biomass method with measured composition; robust for WQ 1.1.1. Harvest removed only ~6% of biodeposited N and ~3% of P.</t>
        </is>
      </c>
      <c r="L103" t="inlineStr">
        <is>
          <t>Partial — sampling, counting and weighing clams are farmer-doable; tissue N and P need a partner lab (published values can stand in).</t>
        </is>
      </c>
      <c r="M103" t="inlineStr">
        <is>
          <t>Yes</t>
        </is>
      </c>
      <c r="N103" t="inlineStr">
        <is>
          <t>Plexiglas cores (40 cm high, 20 cm ID); 500 µm sieve; balance; drying at 70 °C; CHNS-O EA 1108 elemental analyser (C, N); total P by the Aspila et al. (1976) method.</t>
        </is>
      </c>
      <c r="O103" t="inlineStr">
        <is>
          <t>Low — ~$80 yr 1: no start-up cost + $80/yr (tissue N + P 3 × $20 [lab fee]; sample bags $20 [est])</t>
        </is>
      </c>
      <c r="P103" t="inlineStr">
        <is>
          <t>Multi-season (3–9 months) — one farming cycle, Mar–Oct 2003, four sampling dates</t>
        </is>
      </c>
      <c r="Q103" t="inlineStr">
        <is>
          <t>Net N and P export = (harvest-size content per clam − seed content) × density; compared with integrated particulate uptake and dissolved fluxes over 180 days; two-way ANOVA (site, date) with Tukey tests.</t>
        </is>
      </c>
      <c r="R103" t="inlineStr">
        <is>
          <t>No — Paywalled (Elsevier)</t>
        </is>
      </c>
      <c r="S103" t="inlineStr">
        <is>
          <t>Full PDF</t>
        </is>
      </c>
      <c r="T103" t="inlineStr">
        <is>
          <t>https://doi.org/10.1016/j.aquaculture.2006.06.042</t>
        </is>
      </c>
      <c r="U103" t="inlineStr">
        <is>
          <t>Harvest export is small next to what clams filter and recycle (~6% of filtered N, ~3% of P), so report it as removal in the harvest, not as net water-quality benefit. Single small plot at fixed densities; macroalgae covered the low-density sector in October.</t>
        </is>
      </c>
      <c r="V103" t="inlineStr">
        <is>
          <t>Original list</t>
        </is>
      </c>
      <c r="W103" s="42" t="inlineStr">
        <is>
          <t>3 — Partnership</t>
        </is>
      </c>
      <c r="X103" t="inlineStr">
        <is>
          <t>Mollusk</t>
        </is>
      </c>
      <c r="Y103" t="inlineStr">
        <is>
          <t>Water Quality</t>
        </is>
      </c>
      <c r="Z103" t="inlineStr">
        <is>
          <t>WQ 1.1.1 — N and P bioextraction</t>
        </is>
      </c>
      <c r="AA103" t="inlineStr">
        <is>
          <t>Temperate Atlantic</t>
        </is>
      </c>
      <c r="AB103" t="inlineStr">
        <is>
          <t>Manila clam (Ruditapes philippinarum)</t>
        </is>
      </c>
      <c r="AC103" t="inlineStr">
        <is>
          <t>Bottom culture</t>
        </is>
      </c>
      <c r="AD103" t="inlineStr">
        <is>
          <t>Small (&lt;1 ha)</t>
        </is>
      </c>
      <c r="AE103" t="inlineStr">
        <is>
          <t>Variable / seasonal</t>
        </is>
      </c>
      <c r="AF103" t="inlineStr">
        <is>
          <t>Monoculture</t>
        </is>
      </c>
      <c r="AG103" t="inlineStr">
        <is>
          <t>Tissue analysis</t>
        </is>
      </c>
      <c r="AH103" t="inlineStr">
        <is>
          <t>Not algae-specific</t>
        </is>
      </c>
      <c r="AI103" t="inlineStr">
        <is>
          <t>Intertidal / very shallow (&lt; 2 m)</t>
        </is>
      </c>
      <c r="AJ103" t="inlineStr">
        <is>
          <t>Sheltered</t>
        </is>
      </c>
      <c r="AK103" s="16" t="inlineStr">
        <is>
          <t>To estimate the nitrogen and phosphorus your clam harvest removes, record the number or weight of clams harvested and the plot area. Near harvest, take [3] samples of [20] market-size clams, weigh them, separate flesh and shell, dry both at about 70 °C and weigh them, and send the dried material to a partner lab for nitrogen and phosphorus (flesh and shell separately). Multiply the average N and P per clam by the number harvested, subtract what went in with the seed, and report kilograms of N and P per year and per hectare. Published composition values can stand in if lab analysis is not possible. The source followed a 7-month cycle in a test plot and found the harvest removed only a small share of the nutrients the clams filtered; most was recycled to the water or held in the sediment.</t>
        </is>
      </c>
      <c r="AL103" s="17" t="inlineStr">
        <is>
          <t>High</t>
        </is>
      </c>
      <c r="AM103" s="18" t="inlineStr">
        <is>
          <t>nizzoli_2006_wq111</t>
        </is>
      </c>
      <c r="AN103" s="19" t="n"/>
      <c r="AO103" s="19" t="n"/>
      <c r="AP103" s="19" t="n"/>
      <c r="AQ103" s="16" t="inlineStr">
        <is>
          <t>Nutrient bioextraction (tissue N &amp; P) — Mollusk</t>
        </is>
      </c>
      <c r="AR103" s="16" t="inlineStr">
        <is>
          <t>Nizzoli, Daniele; Bartoli, Marco; Viaroli, Pierluigi</t>
        </is>
      </c>
      <c r="AS103" s="16" t="inlineStr">
        <is>
          <t>Direct bioextraction template for benthic mollusk culture (Manila clam) — pairs with Cranford 2007 (suspended mussel) for an end-to-end methodological pair across the two main mollusk farming modes. Result: only ~6% of biodeposited N and ~3% of P leave via harvest. | v1.4 refinement: Added WQ 1.1.2 (Rate of denitrification) — in-situ intact-core incubations (canonical Sacca di Goro denitrification methodology); N+P budget closure (~6% leak) implies denitrification quantification. Confirm via PDF if precise k_denit values are needed for protocol replication.  |  Migration (one-indicator-per-row, 2026-09-04): split from nizzoli_2006 -&gt; {nizzoli_2006_wq111, nizzoli_2006_wq112, nizzoli_2006_wq121, nizzoli_2006_hb141}. This row = nizzoli_2006_wq111 (WQ 1.1.1 — N and P bioextraction). Candidate: AK/N/Q blanked and I/K/W/O/P provisional; per-indicator method text, tier/cost/effort and match adjudication to be finalised at generation. Combined parent I/AK/N/Q retained in v37 (pre-split).  |  [2026-10-13 Rule 15 cost re-rate, batch 11] Framework basis: Mol WQ 1.1.1: farmed biomass at harvest; farm only, no reference site; 1 locations × 1 visits × 3 replicates = 3. Tissue N + P at a partner lab × harvested biomass; the core and flux budget work belongs to the other indicators. Prior O: 'Medium–High'.  |  [2026-10-16 method-summary pass] Full read (Peter's PDF). I, K: candidate-split text replaced; Match Yes. L → Partial. W: '2 — Researcher' → '3 — Partnership' (Rule 14; partner-lab tissue N + P, the source's measured-composition route); fill → T3 pale green. AG → 'Tissue analysis'; AA 'Temperate Atlantic' → 'Temperate Mediterranean' (Adriatic lagoon). N, Q filled; P detail; U rewritten. O unchanged (tissue N + P 3 × $20). AK written; AL Med → High.  |  [2026-10-16 method-summary pass] AA reverted to 'Temperate Atlantic' (the v85 'Temperate Mediterranean' is not in the Climate Zone vocabulary).  |  [2026-10-16 monitoring-methods pass] AT (Monitoring Methods) set from the protocol's method summary (AK): Tissue elemental (CHN) analysis, Bivalve condition index / growth.</t>
        </is>
      </c>
      <c r="AT103" s="21" t="inlineStr">
        <is>
          <t>Tissue elemental (CHN) analysis, Bivalve condition index / growth</t>
        </is>
      </c>
    </row>
    <row r="104">
      <c r="A104" s="21" t="inlineStr">
        <is>
          <t>Nizzoli, D., et al.</t>
        </is>
      </c>
      <c r="B104" s="21" t="inlineStr">
        <is>
          <t>Impacts of mussel (Mytilus galloprovincialis) farming on oxygen consumption and nutrient recycling in a eutrophic coastal lagoon</t>
        </is>
      </c>
      <c r="C104" s="21" t="inlineStr">
        <is>
          <t>Hydrobiologia</t>
        </is>
      </c>
      <c r="D104" s="21" t="n">
        <v>550</v>
      </c>
      <c r="E104" s="21" t="n"/>
      <c r="F104" s="21" t="inlineStr">
        <is>
          <t>183-198</t>
        </is>
      </c>
      <c r="G104" s="21" t="n">
        <v>2005</v>
      </c>
      <c r="H104" s="21" t="inlineStr">
        <is>
          <t>Springer</t>
        </is>
      </c>
      <c r="I104" s="21" t="inlineStr">
        <is>
          <t>Maps to H&amp;B 1.4.1 — Sediment. Sacca di Goro lagoon (Po Delta, Italy), 5 Sep 2000: a station under suspended mussel ropes and an unfarmed control; 5 cores (5 cm ID) per station sliced at 0–1, 1–2, 2–5 and 5–10 cm for density, porosity, organic matter (loss on ignition), bio-available ammonium and phosphate; 5 further cores for acid-volatile sulphide. Match: Yes.</t>
        </is>
      </c>
      <c r="J104" s="21" t="inlineStr">
        <is>
          <t>Protocol</t>
        </is>
      </c>
      <c r="K104" s="21" t="inlineStr">
        <is>
          <t>Confirmed standalone (full read). Depth profiles of organic matter, nutrients and sulphide under the mussel ropes against a control, where intense biodeposition drove benthic oxygen demand and nutrient release among the highest recorded for aquaculture — adequate for H&amp;B 1.4.1 (one date, one control).</t>
        </is>
      </c>
      <c r="L104" s="21" t="inlineStr">
        <is>
          <t>Partial — hand coring in shallow water and slicing are farmer-doable; organic matter, nutrient and sulphide analyses need a partner lab.</t>
        </is>
      </c>
      <c r="M104" s="21" t="inlineStr">
        <is>
          <t>Yes</t>
        </is>
      </c>
      <c r="N104" s="21" t="inlineStr">
        <is>
          <t>Plexiglas cores (5 cm ID, 30 cm); slicing at 0–1, 1–2, 2–5, 5–10 cm; cut-off syringes; drying at 70 °C, combustion at 550 °C; 1 M KCl and deoxygenated 1 M MgCl₂ extractions; zinc acetate fixation and cold acid distillation for AVS.</t>
        </is>
      </c>
      <c r="O104" s="21" t="inlineStr">
        <is>
          <t>Medium — ~$2.1K yr 1: $250 start-up (hand push corer $250 [est]) + $1.87K/yr (sediment LOI 96 × $19 [lab fee]; sample jars $50 [est])</t>
        </is>
      </c>
      <c r="P104" s="21" t="inlineStr">
        <is>
          <t>Single deployment (hours to 1 day) — one sampling date, 5 Sep 2000</t>
        </is>
      </c>
      <c r="Q104" s="21" t="inlineStr">
        <is>
          <t>Station means by depth horizon compared between mussel and control stations.</t>
        </is>
      </c>
      <c r="R104" s="21" t="inlineStr">
        <is>
          <t>No — Paywalled (Springer)</t>
        </is>
      </c>
      <c r="S104" s="21" t="inlineStr">
        <is>
          <t>Full PDF</t>
        </is>
      </c>
      <c r="T104" s="21" t="inlineStr">
        <is>
          <t>https://doi.org/10.1007/s10750-005-4378-9</t>
        </is>
      </c>
      <c r="U104" s="21" t="inlineStr">
        <is>
          <t>Single late-summer date and one control; the paper's main focus is sediment and mussel-rope fluxes (the ropes dominated oxygen and nutrient exchange).</t>
        </is>
      </c>
      <c r="V104" s="21" t="inlineStr">
        <is>
          <t>Original list</t>
        </is>
      </c>
      <c r="W104" s="41" t="inlineStr">
        <is>
          <t>3 — Partnership</t>
        </is>
      </c>
      <c r="X104" s="21" t="inlineStr">
        <is>
          <t>Mollusk</t>
        </is>
      </c>
      <c r="Y104" s="21" t="inlineStr">
        <is>
          <t>Habitat &amp; Biodiversity</t>
        </is>
      </c>
      <c r="Z104" s="21" t="inlineStr">
        <is>
          <t>H&amp;B 1.4.1 — Sediment</t>
        </is>
      </c>
      <c r="AA104" s="21" t="inlineStr">
        <is>
          <t>Temperate Atlantic</t>
        </is>
      </c>
      <c r="AB104" s="21" t="inlineStr">
        <is>
          <t>Mediterranean mussel (Mytilus galloprovincialis)</t>
        </is>
      </c>
      <c r="AC104" s="21" t="inlineStr">
        <is>
          <t>Suspended longline (mussel)</t>
        </is>
      </c>
      <c r="AD104" s="21" t="inlineStr">
        <is>
          <t>Not scale-specific</t>
        </is>
      </c>
      <c r="AE104" s="21" t="inlineStr">
        <is>
          <t>Variable / seasonal</t>
        </is>
      </c>
      <c r="AF104" s="21" t="inlineStr">
        <is>
          <t>Monoculture</t>
        </is>
      </c>
      <c r="AG104" s="21" t="inlineStr">
        <is>
          <t>Sediment sampling</t>
        </is>
      </c>
      <c r="AH104" s="21" t="inlineStr">
        <is>
          <t>Not algae-specific</t>
        </is>
      </c>
      <c r="AI104" s="21" t="inlineStr">
        <is>
          <t>Intertidal / very shallow (&lt; 2 m)</t>
        </is>
      </c>
      <c r="AJ104" s="21" t="inlineStr">
        <is>
          <t>Sheltered</t>
        </is>
      </c>
      <c r="AK104" s="16" t="inlineStr">
        <is>
          <t>To track organic enrichment of the sediment under your mussel ropes, take [3] cores (a 5 cm-wide clear tube pushed in by hand in shallow water, or by diver) beneath the ropes, [3] at the farm edge and [3] at each of [2] unfarmed reference stations of similar depth and sediment, twice a year including late summer. Slice each core at 0–1, 1–2, 2–5 and 5–10 cm, noting colour, black layers and smell, and send the slices to a partner lab for organic matter (loss on ignition); extractable ammonium and phosphate and acid-volatile sulphide add detail. Compare depth profiles between farm and reference. The source sampled once in late summer with one control station, so repeat sampling, the edge and a second reference are added.</t>
        </is>
      </c>
      <c r="AL104" s="17" t="inlineStr">
        <is>
          <t>High</t>
        </is>
      </c>
      <c r="AM104" s="18" t="inlineStr">
        <is>
          <t>nizzoli_2005_hb141</t>
        </is>
      </c>
      <c r="AN104" s="19" t="n"/>
      <c r="AO104" s="19" t="n"/>
      <c r="AP104" s="19" t="n"/>
      <c r="AQ104" s="16" t="inlineStr">
        <is>
          <t>Sediment-condition monitoring — Mollusk</t>
        </is>
      </c>
      <c r="AR104" s="16" t="inlineStr">
        <is>
          <t>Nizzoli, Daniele; Welsh, David T; Bartoli, Marco; Viaroli, Pierluigi</t>
        </is>
      </c>
      <c r="AS104" s="16" t="inlineStr">
        <is>
          <t>Critical methodological insight: ignoring the rope-community contribution to O₂/N fluxes leads to gross underestimation of farm impacts. Counters the simple 'filter feeders are nutrient sinks' narrative — when biodeposition + rope community are integrated, net effect can be neutral or positive for water-column nutrient loading. | v1.4 refinement: Added WQ 1.1.2 (Rate of denitrification) — mussel rope + sediment intact-core incubations with O₂ + N + P flux measurements (canonical Sacca di Goro denitrification methodology). Confirm via PDF.  |  Migration (one-indicator-per-row, 2026-09-04): split from nizzoli_2005 -&gt; {nizzoli_2005_wq112, nizzoli_2005_wq121, nizzoli_2005_hb141}. This row = nizzoli_2005_hb141 (H&amp;B 1.4.1 — Sediment). Candidate: AK/N/Q blanked and I/K/W/O/P provisional; per-indicator method text, tier/cost/effort and match adjudication to be finalised at generation. Combined parent I/AK/N/Q retained in v37 (pre-split).  |  [2026-10-13 Rule 15 cost re-rate, batch 11] Framework basis: Mol H&amp;B 1.4.1: 2 farm strata + 2 nearby non-farm refs; biannual (2 visits; least frequent option); 4 locations × 2 visits × 3 replicates = 24. Hand cores at this intertidal/very shallow site; grain size + LOI at a partner lab (analytes inferred, as for the grab rows); LOI alone would make it Low (~$760), so the band rests on the second analyte. Prior O: 'Medium–High'.  |  [2026-10-16 method-summary pass] Full read (Peter's PDF). I, K: candidate-split text replaced; Match Yes. L → Partial. W: '2 — Researcher' → '3 — Partnership' (Rule 14; hand cores, partner-lab LOI); fill → T3 pale green. AG → 'Sediment sampling'. N, Q, U filled; P → single date. O: 'Medium — ~$1.5K (grain size + LOI 24)' → 'Medium — ~$2.1K' (source analytes: no grain size; LOI on 4 depth slices = 96, as nizzoli_2006-b and nizzoli_2011). AK written; AL Med → High.  |  [2026-10-16 monitoring-methods pass] AT (Monitoring Methods) set from the protocol's method summary (AK): Dissolved nutrients (N &amp; P), Sediment chemistry (OC / TN / redox / AVS).</t>
        </is>
      </c>
      <c r="AT104" s="21" t="inlineStr">
        <is>
          <t>Dissolved nutrients (N &amp; P), Sediment chemistry (OC / TN / redox / AVS)</t>
        </is>
      </c>
    </row>
    <row r="105">
      <c r="A105" s="21" t="inlineStr">
        <is>
          <t>Nizzoli, D., et al.</t>
        </is>
      </c>
      <c r="B105" s="21" t="inlineStr">
        <is>
          <t>Seasonal nitrogen and phosphorus dynamics during benthic clam and suspended mussel cultivation</t>
        </is>
      </c>
      <c r="C105" s="21" t="inlineStr">
        <is>
          <t>Marine Pollution Bulletin</t>
        </is>
      </c>
      <c r="D105" s="21" t="n"/>
      <c r="E105" s="21" t="n"/>
      <c r="F105" s="21" t="n"/>
      <c r="G105" s="21" t="n">
        <v>2011</v>
      </c>
      <c r="H105" s="21" t="inlineStr">
        <is>
          <t>Elsevier</t>
        </is>
      </c>
      <c r="I105" s="21" t="inlineStr">
        <is>
          <t>Maps to H&amp;B 1.4.1 — Sediment. Sacca di Goro lagoon (Po Delta, Italy; mean depth 1.5 m), seasonally Apr 2001–Nov 2002: stations under suspended mussel ropes, in an intensive Manila clam field and at an unfarmed control; 5 hand cores (5 cm) per station sliced at 0–1, 1–2, 2–5 and 5–10 cm for density, porosity, organic matter (loss on ignition), bio-available ammonium and phosphate, and organic C, N (CHNS analyser) and P. Match: Yes.</t>
        </is>
      </c>
      <c r="J105" s="21" t="inlineStr">
        <is>
          <t>Protocol</t>
        </is>
      </c>
      <c r="K105" s="21" t="inlineStr">
        <is>
          <t>Confirmed standalone (full read). Sediment under the mussel ropes was silty and reduced with 5–10 times the organic C and N of the control, while clam-bed sediment stayed sandy, oxidised and close to the control (clam bioturbation) — robust for H&amp;B 1.4.1.</t>
        </is>
      </c>
      <c r="L105" s="21" t="inlineStr">
        <is>
          <t>Partial — hand coring in shallow water and slicing are farmer-doable; organic matter and nutrient analyses need a partner lab.</t>
        </is>
      </c>
      <c r="M105" s="21" t="inlineStr">
        <is>
          <t>Yes</t>
        </is>
      </c>
      <c r="N105" s="21" t="inlineStr">
        <is>
          <t>Plexiglas hand cores (5 cm ID); slicing at 0–1, 1–2, 2–5, 5–10 cm; cut-off 2 and 10 ml syringes; 1 M KCl and deoxygenated 1 M MgCl₂ extractions; loss on ignition; CHNS-O EA 1108 analyser; Aspila method for organic P.</t>
        </is>
      </c>
      <c r="O105" s="21" t="inlineStr">
        <is>
          <t>Medium — ~$2.1K yr 1: $250 start-up (hand push corer $250 [est]) + $1.87K/yr (sediment LOI 96 × $19 [lab fee]; sample jars $50 [est])</t>
        </is>
      </c>
      <c r="P105" s="21" t="inlineStr">
        <is>
          <t>Year-long study (12 months) — four seasonal campaigns per station, 2001–2002</t>
        </is>
      </c>
      <c r="Q105" s="21" t="inlineStr">
        <is>
          <t>Two-way ANOVA (site, date) on depth-averaged sediment features with SNK post hoc tests.</t>
        </is>
      </c>
      <c r="R105" s="21" t="inlineStr">
        <is>
          <t>No — Paywalled (Elsevier)</t>
        </is>
      </c>
      <c r="S105" s="21" t="inlineStr">
        <is>
          <t>Full PDF</t>
        </is>
      </c>
      <c r="T105" s="21" t="inlineStr">
        <is>
          <t>https://doi.org/10.1016/j.marpolbul.2011.03.028</t>
        </is>
      </c>
      <c r="U105" s="21" t="inlineStr">
        <is>
          <t>Mussel and clam farming changed sediment very differently: biodeposits built up under the ropes, while clam bioturbation kept sediment oxidised although both released similar nutrient loads — so a clean sediment result under clams does not rule out other effects.</t>
        </is>
      </c>
      <c r="V105" s="21" t="inlineStr">
        <is>
          <t>Original list</t>
        </is>
      </c>
      <c r="W105" s="41" t="inlineStr">
        <is>
          <t>3 — Partnership</t>
        </is>
      </c>
      <c r="X105" s="21" t="inlineStr">
        <is>
          <t>Mollusk</t>
        </is>
      </c>
      <c r="Y105" s="21" t="inlineStr">
        <is>
          <t>Habitat &amp; Biodiversity</t>
        </is>
      </c>
      <c r="Z105" s="21" t="inlineStr">
        <is>
          <t>H&amp;B 1.4.1 — Sediment</t>
        </is>
      </c>
      <c r="AA105" s="21" t="inlineStr">
        <is>
          <t>Temperate Atlantic</t>
        </is>
      </c>
      <c r="AB105" s="21" t="inlineStr">
        <is>
          <t>Manila clam (Ruditapes philippinarum), Mediterranean mussel (Mytilus galloprovincialis)</t>
        </is>
      </c>
      <c r="AC105" s="21" t="inlineStr">
        <is>
          <t>Mixed</t>
        </is>
      </c>
      <c r="AD105" s="21" t="inlineStr">
        <is>
          <t>Not scale-specific</t>
        </is>
      </c>
      <c r="AE105" s="21" t="inlineStr">
        <is>
          <t>Variable / seasonal</t>
        </is>
      </c>
      <c r="AF105" s="21" t="inlineStr">
        <is>
          <t>Monoculture</t>
        </is>
      </c>
      <c r="AG105" s="21" t="inlineStr">
        <is>
          <t>Sediment sampling</t>
        </is>
      </c>
      <c r="AH105" s="21" t="inlineStr">
        <is>
          <t>Not algae-specific</t>
        </is>
      </c>
      <c r="AI105" s="21" t="inlineStr">
        <is>
          <t>Intertidal / very shallow (&lt; 2 m)</t>
        </is>
      </c>
      <c r="AJ105" s="21" t="inlineStr">
        <is>
          <t>Sheltered</t>
        </is>
      </c>
      <c r="AK105" s="16" t="inlineStr">
        <is>
          <t>To track organic enrichment of the sediment at your farm, take [3] cores (a 5 cm-wide clear tube pushed in by hand in shallow water) under the culture — beneath the ropes or within the clam beds — [3] at the farm edge and [3] at each of [2] unfarmed reference stations of similar depth and sediment, twice a year. Slice each core at 0–1, 1–2, 2–5 and 5–10 cm, noting colour, black layers and smell, and send the slices to a partner lab for organic matter (loss on ignition); organic carbon, nitrogen and phosphorus and extractable ammonium and phosphate add detail. Compare depth profiles between farm and reference. In the source, sediment under mussel ropes became silty, black and organic-rich while clam beds stayed sandy and oxidised although both released similar nutrient loads, so a clean result under clams does not rule out other effects. The source used one control station, so the edge and a second reference are added.</t>
        </is>
      </c>
      <c r="AL105" s="17" t="inlineStr">
        <is>
          <t>High</t>
        </is>
      </c>
      <c r="AM105" s="18" t="inlineStr">
        <is>
          <t>nizzoli_2011_hb141</t>
        </is>
      </c>
      <c r="AN105" s="19" t="n"/>
      <c r="AO105" s="19" t="n"/>
      <c r="AP105" s="19" t="n"/>
      <c r="AQ105" s="16" t="inlineStr">
        <is>
          <t>Sediment-condition monitoring — Mollusk</t>
        </is>
      </c>
      <c r="AR105" s="16" t="inlineStr">
        <is>
          <t>Nizzoli, Daniele; Welsh, David Thomas; Viaroli, Pierluigi</t>
        </is>
      </c>
      <c r="AS105" s="16" t="inlineStr">
        <is>
          <t>Key conclusion: filter-feeding bivalves are not an automatic eutrophication buffer — particularly in summer, regeneration overwhelms removal. Directly relevant methodological template for comparing infaunal vs suspended culture at the same site. | v1.4 refinement: Added WQ 1.1.2 (Rate of denitrification) — same Sacca di Goro intact-core methodology as R65/R66; N+P regeneration flux measurements 4–14× control sediments imply denitrification quantification. Confirm via PDF.  |  Migration (one-indicator-per-row, 2026-09-04): split from nizzoli_2011 -&gt; {nizzoli_2011_wq112, nizzoli_2011_wq121, nizzoli_2011_hb141}. This row = nizzoli_2011_hb141 (H&amp;B 1.4.1 — Sediment). Candidate: AK/N/Q blanked and I/K/W/O/P provisional; per-indicator method text, tier/cost/effort and match adjudication to be finalised at generation. Combined parent I/AK/N/Q retained in v37 (pre-split).  |  [2026-10-13 Rule 15 cost re-rate, batch 11] Framework basis: Mol H&amp;B 1.4.1: 2 farm strata + 2 nearby non-farm refs; biannual (2 visits; least frequent option); 4 locations × 2 visits × 3 replicates = 24. Hand cores at this intertidal/very shallow site; grain size + LOI at a partner lab (analytes inferred, as for the grab rows); LOI alone would make it Low (~$760), so the band rests on the second analyte. Prior O: 'Medium–High'.  |  [2026-10-16 method-summary pass] Full read (Peter's PDF). I, K: candidate-split text replaced; Match Yes. L → Partial. W: '2 — Researcher' → '3 — Partnership' (Rule 14; hand cores, partner-lab LOI); fill → T3 pale green. AG → 'Sediment sampling'. N, Q, U filled; P detail. O: 'Medium — ~$1.5K (grain size + LOI 24)' → 'Medium — ~$2.1K' (source analytes: no grain size; LOI on 4 depth slices per core = 96, as nizzoli_2006-b_hb141). AK written; AL Med → High.  |  [2026-10-16 monitoring-methods pass] AT (Monitoring Methods) set from the protocol's method summary (AK): Dissolved nutrients (N &amp; P), Sediment chemistry (OC / TN / redox / AVS).</t>
        </is>
      </c>
      <c r="AT105" s="21" t="inlineStr">
        <is>
          <t>Dissolved nutrients (N &amp; P), Sediment chemistry (OC / TN / redox / AVS)</t>
        </is>
      </c>
    </row>
    <row r="106">
      <c r="A106" s="21" t="inlineStr">
        <is>
          <t>Morozova, T. V. &amp; Orlova, T. Y.</t>
        </is>
      </c>
      <c r="B106" s="21" t="inlineStr">
        <is>
          <t>Monitoring of phytoplankton in the area of a sea farm in Vostok Bay (Sea of Japan)</t>
        </is>
      </c>
      <c r="C106" s="21" t="inlineStr">
        <is>
          <t>Russian Journal of Marine Biology</t>
        </is>
      </c>
      <c r="D106" s="21" t="n">
        <v>31</v>
      </c>
      <c r="E106" s="21" t="n">
        <v>1</v>
      </c>
      <c r="F106" s="21" t="inlineStr">
        <is>
          <t>1-6</t>
        </is>
      </c>
      <c r="G106" s="21" t="n">
        <v>2005</v>
      </c>
      <c r="H106" s="21" t="inlineStr">
        <is>
          <t>Pleiades / Springer</t>
        </is>
      </c>
      <c r="I106" s="21" t="inlineStr">
        <is>
          <t>Maps to WQ 2.1.2 — Microorganisms. Surface phytoplankton at a station beside mussel culture structures, sampled twice a month for 11 months: species composition, abundance, cell-volume biomass, diversity and potentially toxic species. Match: Partial — one farm station, no non-farm reference.</t>
        </is>
      </c>
      <c r="J106" s="21" t="inlineStr">
        <is>
          <t>Protocol</t>
        </is>
      </c>
      <c r="K106" s="21" t="inlineStr">
        <is>
          <t>Confirmed standalone (full read). Fixed surface samples, concentrated and counted in chambers (nano- and microplankton separately), with biomass from cell volumes and Margalef diversity — robust for the farm-site plankton community (Partial: single station; the long-term comparison relies on earlier studies).</t>
        </is>
      </c>
      <c r="L106" s="21" t="inlineStr">
        <is>
          <t>Partial — sampling is feasible; cell ID needs taxonomic skill.</t>
        </is>
      </c>
      <c r="M106" s="21" t="inlineStr">
        <is>
          <t>Yes</t>
        </is>
      </c>
      <c r="N106" s="21" t="inlineStr">
        <is>
          <t>4 L bottle sampler (Molchanov type) at the surface; Utermöhl's (Lugol-type) fixative; settling or reverse filtration through 2 µm membranes; partner-lab microscope with 0.05 mL and 1 mL counting chambers.</t>
        </is>
      </c>
      <c r="O106" s="21" t="inlineStr">
        <is>
          <t>Medium — ~$6.1K yr 1: no start-up cost + $6.09K/yr (phytoplankton count 36 × $165 [lab fee]; bottles + Lugol's $150 [est])</t>
        </is>
      </c>
      <c r="P106" s="21" t="inlineStr">
        <is>
          <t>Year-long study (12 months)</t>
        </is>
      </c>
      <c r="Q106" s="21" t="inlineStr">
        <is>
          <t>Abundance, cell-volume biomass, dominance (≥20% of biomass), Margalef's index; eutrophic level from total density and indicator species; descriptive seasonal and multi-decade comparison.</t>
        </is>
      </c>
      <c r="R106" s="21" t="inlineStr">
        <is>
          <t>No — Paywalled (Springer/Pleiades)</t>
        </is>
      </c>
      <c r="S106" s="21" t="inlineStr">
        <is>
          <t>Full PDF</t>
        </is>
      </c>
      <c r="T106" s="21" t="inlineStr">
        <is>
          <t>https://link.springer.com/journal/11179</t>
        </is>
      </c>
      <c r="U106" s="21" t="n"/>
      <c r="V106" s="21" t="inlineStr">
        <is>
          <t>Original list</t>
        </is>
      </c>
      <c r="W106" s="41" t="inlineStr">
        <is>
          <t>3 — Partnership</t>
        </is>
      </c>
      <c r="X106" s="21" t="inlineStr">
        <is>
          <t>Mollusk</t>
        </is>
      </c>
      <c r="Y106" s="21" t="inlineStr">
        <is>
          <t>Water Quality</t>
        </is>
      </c>
      <c r="Z106" s="21" t="inlineStr">
        <is>
          <t>WQ 2.1.2 — Microorganisms</t>
        </is>
      </c>
      <c r="AA106" s="21" t="inlineStr">
        <is>
          <t>Temperate Pacific</t>
        </is>
      </c>
      <c r="AB106" s="21" t="inlineStr">
        <is>
          <t>Bay mussel (Mytilus trossulus)</t>
        </is>
      </c>
      <c r="AC106" s="21" t="inlineStr">
        <is>
          <t>Suspended longline (mussel)</t>
        </is>
      </c>
      <c r="AD106" s="21" t="inlineStr">
        <is>
          <t>Medium (1–20 ha)</t>
        </is>
      </c>
      <c r="AE106" s="21" t="inlineStr">
        <is>
          <t>Variable / seasonal</t>
        </is>
      </c>
      <c r="AF106" s="21" t="inlineStr">
        <is>
          <t>Monoculture</t>
        </is>
      </c>
      <c r="AG106" s="21" t="inlineStr">
        <is>
          <t>Water chemistry, Mixed methods</t>
        </is>
      </c>
      <c r="AH106" s="21" t="inlineStr">
        <is>
          <t>Not algae-specific</t>
        </is>
      </c>
      <c r="AI106" s="21" t="inlineStr">
        <is>
          <t>Shallow nearshore (2–10 m)</t>
        </is>
      </c>
      <c r="AJ106" s="21" t="inlineStr">
        <is>
          <t>Sheltered</t>
        </is>
      </c>
      <c r="AK106" s="21" t="inlineStr">
        <is>
          <t>To track the phytoplankton community at your farm, take a surface water sample of [1–4] L at a fixed station beside the culture lines, and matching samples at [2] stations away from the farm in the same water body, at least once per season (twice a month shows bloom timing). Preserve with Lugol's solution, concentrate by settling, and have a partner lab count cells by species in counting chambers, small and large cells separately, and estimate biomass from cell volumes. Report abundance, biomass, diversity, dominant species and any potentially toxic species against local harvest-alert levels. Bloom species and eutrophication indicators swing widely from year to year, so judge a farm effect over several years and against the reference stations, not from one season.</t>
        </is>
      </c>
      <c r="AL106" s="21" t="inlineStr">
        <is>
          <t>High</t>
        </is>
      </c>
      <c r="AM106" s="18" t="inlineStr">
        <is>
          <t>morozova_2005_wq212</t>
        </is>
      </c>
      <c r="AN106" s="19" t="n"/>
      <c r="AO106" s="19" t="n"/>
      <c r="AP106" s="19" t="n"/>
      <c r="AQ106" s="21" t="inlineStr">
        <is>
          <t>Plankton / microorganism monitoring — Mollusk</t>
        </is>
      </c>
      <c r="AR106" s="16" t="inlineStr">
        <is>
          <t>Morozova, T V; Orlova, T Yu</t>
        </is>
      </c>
      <c r="AS106" s="16" t="inlineStr">
        <is>
          <t>Uses the newly-added vocab entry Bay mussel (Mytilus trossulus) — exactly the species this v1.2→v1.3 vocab addition was for. Replicable HAB-detection-oriented monitoring protocol; bridges to the Schmidt 2018 Dinophysis use case.  |  Migration (one-indicator-per-row, 2026-09-04): split from morozova_2005 -&gt; {morozova_2005_wq211, morozova_2005_wq212}. This row = morozova_2005_wq212 (WQ 2.1.2 — Microorganisms). Candidate: AK/N/Q blanked and I/K/W/O/P provisional; per-indicator method text, tier/cost/effort and match adjudication to be finalised at generation. Combined parent I/AK/N/Q retained in v37 (pre-split).  |  [2026-10-09 Rule 15 cost re-rate, batch 4] Framework basis: Mol WQ 2.1.2: farm + 2 neighbouring non-farm refs; seasonal + diurnal, fixed-time reading (4 visits); 3 locations × 4 visits × 3 replicates = 36. Microscope counts at a partner lab; gear inferred from method note. Prior O: 'Low — classical microscopy methods'.  |  [2026-10-13 method-summary pass] I, K: candidate-split text replaced after full read (prior: 'Maps to WQ 2.1.2 — Microorganisms. Candidate split…' / 'Standalone-candidate…'). N, Q: blank → filled. AD: 'Small (&lt;1 ha)' → 'Medium (1–20 ha)' (farm reduced to its 2.5 ha size). O: 'Medium — ~$7.2K yr 1: $1.09K start-up (water sampler $986 [list]; messenger + line $100 [est]) + …' → Medium ~$6.1K: surface samples need no water sampler. AK written; AL High.  |  [2026-10-13 method-summary pass] Sibling row morozova_2005_wq211 deleted (Peter, 2026-10-13): the source measures no chlorophyll-a (cell counts and cell-volume biomass only; monitored-only policy).  |  [2026-10-16 monitoring-methods pass] AT (Monitoring Methods) set from the protocol's method summary (AK): Phytoplankton community (microscopy).</t>
        </is>
      </c>
      <c r="AT106" s="21" t="inlineStr">
        <is>
          <t>Phytoplankton community (microscopy)</t>
        </is>
      </c>
    </row>
    <row r="107">
      <c r="A107" t="inlineStr">
        <is>
          <t>Costello, M. J., et al.</t>
        </is>
      </c>
      <c r="B107" t="inlineStr">
        <is>
          <t>Methods for the Study of Marine Biodiversity</t>
        </is>
      </c>
      <c r="C107" t="inlineStr">
        <is>
          <t>The GEO Handbook on Biodiversity Observation Networks</t>
        </is>
      </c>
      <c r="F107" t="inlineStr">
        <is>
          <t>129-163</t>
        </is>
      </c>
      <c r="G107" t="n">
        <v>2016</v>
      </c>
      <c r="H107" t="inlineStr">
        <is>
          <t>Springer</t>
        </is>
      </c>
      <c r="I107" t="inlineStr">
        <is>
          <t>Review chapter surveying marine biodiversity sampling methods (nets, traps, grabs, visual / video, scuba, aerial, acoustic, eDNA, light traps, artificial substrata, microfossils) and global monitoring programmes (Continuous Plankton Recorder, Reef Life Survey, MarineGEO, HAB networks). Discusses Essential Biodiversity Variables + Essential Ocean Variables framework. Not aquaculture-specific but every method discussed is transferable to monitoring aquaculture sites.</t>
        </is>
      </c>
      <c r="J107" t="inlineStr">
        <is>
          <t>Reference</t>
        </is>
      </c>
      <c r="K107" t="inlineStr">
        <is>
          <t>Provides comprehensive method landscape useful for designing aquaculture-relevant biodiversity monitoring; not directly executable.</t>
        </is>
      </c>
      <c r="L107" t="inlineStr">
        <is>
          <t>No — review-level discussion only.</t>
        </is>
      </c>
      <c r="M107" t="inlineStr">
        <is>
          <t>Partial — designed to support programme design rather than direct execution.</t>
        </is>
      </c>
      <c r="N107" t="inlineStr">
        <is>
          <t>N/A — review/synthesis</t>
        </is>
      </c>
      <c r="O107" t="inlineStr">
        <is>
          <t>N/A — review/synthesis</t>
        </is>
      </c>
      <c r="P107" t="inlineStr">
        <is>
          <t>One-time (no sampling — desk-based)</t>
        </is>
      </c>
      <c r="Q107" t="inlineStr">
        <is>
          <t>N/A — review/synthesis</t>
        </is>
      </c>
      <c r="R107" t="inlineStr">
        <is>
          <t>Yes — Open Access (Springer Open, CC-BY)</t>
        </is>
      </c>
      <c r="S107" t="inlineStr">
        <is>
          <t>Full PDF</t>
        </is>
      </c>
      <c r="T107" t="inlineStr">
        <is>
          <t>https://doi.org/10.1007/978-3-319-27288-7_6</t>
        </is>
      </c>
      <c r="V107" t="inlineStr">
        <is>
          <t>Original list</t>
        </is>
      </c>
      <c r="W107" s="37" t="inlineStr">
        <is>
          <t>1 — Reference</t>
        </is>
      </c>
      <c r="X107" t="inlineStr">
        <is>
          <t>Seaweed, Mollusk, Echinoderm, Finfish</t>
        </is>
      </c>
      <c r="Y107" t="inlineStr">
        <is>
          <t>Habitat &amp; Biodiversity, Cross-cutting / Framework</t>
        </is>
      </c>
      <c r="Z107" t="inlineStr">
        <is>
          <t>H&amp;B 1.1.1 — Epibiota, H&amp;B 1.2.1 — Mobile fauna, H&amp;B 1.3.1 — Benthic infauna, H&amp;B 2.1.1 — Community composition, WQ 2.1.2 — Microorganisms</t>
        </is>
      </c>
      <c r="AA107" t="inlineStr">
        <is>
          <t>Cross-zone / global</t>
        </is>
      </c>
      <c r="AB107" t="inlineStr">
        <is>
          <t>Not species-specific</t>
        </is>
      </c>
      <c r="AC107" t="inlineStr">
        <is>
          <t>Not gear-specific</t>
        </is>
      </c>
      <c r="AD107" t="inlineStr">
        <is>
          <t>Not scale-specific</t>
        </is>
      </c>
      <c r="AE107" t="inlineStr">
        <is>
          <t>Not site-specific</t>
        </is>
      </c>
      <c r="AF107" t="inlineStr">
        <is>
          <t>Not specific</t>
        </is>
      </c>
      <c r="AG107" t="inlineStr">
        <is>
          <t>Visual survey, BRUVs / video, eDNA, Sediment sampling, Acoustic, Mixed methods</t>
        </is>
      </c>
      <c r="AH107" t="inlineStr">
        <is>
          <t>Not algae-specific</t>
        </is>
      </c>
      <c r="AI107" t="inlineStr">
        <is>
          <t>Not depth-specific</t>
        </is>
      </c>
      <c r="AJ107" t="inlineStr">
        <is>
          <t>Not exposure-specific</t>
        </is>
      </c>
      <c r="AK107" s="16" t="inlineStr">
        <is>
          <t>This is a broad review of marine-biodiversity sampling methods (nets, traps, grabs, visual and video, scuba, acoustics, eDNA, artificial substrata) and of global monitoring programmes, and it introduces the Essential Biodiversity/Ocean Variables framework that parallels the MEL indicator structure. Use it as a method-landscape reference when designing a biodiversity-monitoring component; it points to primary protocols rather than prescribing one.</t>
        </is>
      </c>
      <c r="AL107" s="17" t="inlineStr">
        <is>
          <t>Ref</t>
        </is>
      </c>
      <c r="AM107" s="18" t="inlineStr">
        <is>
          <t>costello_2016</t>
        </is>
      </c>
      <c r="AN107" s="19" t="n"/>
      <c r="AO107" s="19" t="n"/>
      <c r="AP107" s="19" t="n"/>
      <c r="AQ107" s="16" t="inlineStr">
        <is>
          <t>Marine Biodiversity Sampling Methods (Cross-Cutting Reference)</t>
        </is>
      </c>
      <c r="AR107" s="16" t="inlineStr">
        <is>
          <t>Costello, Mark J; Basher, Zeenatul; McLeod, Laura; Asaad, Irawan; Claus, Simon; Vandepitte, Leen; Yasuhara, Moriaki; Gislason, Henrik; Edwards, Martin; Appeltans, Ward; Enevoldsen, Henrik; Edgar, Graham J; Miloslavich, Patricia; De Monte, Silvia; Sousa Pinto, Isabel; Obura, David; Bates, Amanda E</t>
        </is>
      </c>
      <c r="AS107" s="16" t="inlineStr">
        <is>
          <t>Foundational cross-cutting methods reference for the entire MEL framework — every aquaculture-type database can benefit from this chapter. Introduces the EBV/EOV framework, conceptually parallel to TNC's MEL indicator structure. Multi-tagged across all aquaculture types per Rule 2 because the methodology surveyed transfers universally.</t>
        </is>
      </c>
      <c r="AT107" s="21" t="n"/>
    </row>
    <row r="108">
      <c r="A108" t="inlineStr">
        <is>
          <t>Ambrose, A. &amp; Munroe, D.</t>
        </is>
      </c>
      <c r="B108" t="inlineStr">
        <is>
          <t>Habitat usage on an oyster aquaculture farm: impacts of farm activities and biological factors</t>
        </is>
      </c>
      <c r="C108" t="inlineStr">
        <is>
          <t>Journal of Shellfish Research</t>
        </is>
      </c>
      <c r="G108" t="n">
        <v>2025</v>
      </c>
      <c r="H108" t="inlineStr">
        <is>
          <t>National Shellfisheries Association</t>
        </is>
      </c>
      <c r="I108" t="inlineStr">
        <is>
          <t>Empirical study of habitat usage on a working oyster aquaculture farm; assesses how farm activities (gear handling, harvest) and biological factors influence fish/invertebrate use of farm habitat.</t>
        </is>
      </c>
      <c r="J108" t="inlineStr">
        <is>
          <t>Reference</t>
        </is>
      </c>
      <c r="K108" t="inlineStr">
        <is>
          <t>Likely yes — empirical observation of fauna on a working farm; abstract-only evaluation, methodological replicability not confirmed without full text.</t>
        </is>
      </c>
      <c r="L108" t="inlineStr">
        <is>
          <t>Partial — observational protocols (visual surveys, traps) are accessible to trained farm staff; researcher framing benefits from background expertise.</t>
        </is>
      </c>
      <c r="M108" t="inlineStr">
        <is>
          <t>Yes</t>
        </is>
      </c>
      <c r="N108" t="inlineStr">
        <is>
          <t>Not specified in abstract — likely visual surveys, traps, or video; confirm with full PDF</t>
        </is>
      </c>
      <c r="O108" t="inlineStr">
        <is>
          <t>Medium</t>
        </is>
      </c>
      <c r="P108" t="inlineStr">
        <is>
          <t>Not site-specific</t>
        </is>
      </c>
      <c r="Q108" t="inlineStr">
        <is>
          <t>Not specified in abstract</t>
        </is>
      </c>
      <c r="R108" t="inlineStr">
        <is>
          <t>No — Paywalled (NSA / BioOne)</t>
        </is>
      </c>
      <c r="S108" t="inlineStr">
        <is>
          <t>Abstract + DOI metadata</t>
        </is>
      </c>
      <c r="T108" t="inlineStr">
        <is>
          <t>https://doi.org/10.2983/035.044.0XXX</t>
        </is>
      </c>
      <c r="V108" t="inlineStr">
        <is>
          <t>Original list</t>
        </is>
      </c>
      <c r="W108" s="37" t="inlineStr">
        <is>
          <t>1 — Reference</t>
        </is>
      </c>
      <c r="X108" t="inlineStr">
        <is>
          <t>Mollusk</t>
        </is>
      </c>
      <c r="Y108" t="inlineStr">
        <is>
          <t>Habitat &amp; Biodiversity</t>
        </is>
      </c>
      <c r="Z108" t="inlineStr">
        <is>
          <t>H&amp;B 1.1.1 — Epibiota, H&amp;B 1.2.1 — Mobile fauna, H&amp;B 2.1.1 — Community composition</t>
        </is>
      </c>
      <c r="AA108" t="inlineStr">
        <is>
          <t>Temperate Atlantic</t>
        </is>
      </c>
      <c r="AB108" t="inlineStr">
        <is>
          <t>Eastern oyster (Crassostrea virginica)</t>
        </is>
      </c>
      <c r="AC108" t="inlineStr">
        <is>
          <t>Bottom culture</t>
        </is>
      </c>
      <c r="AD108" t="inlineStr">
        <is>
          <t>Not site-specific</t>
        </is>
      </c>
      <c r="AE108" t="inlineStr">
        <is>
          <t>Variable / seasonal</t>
        </is>
      </c>
      <c r="AF108" t="inlineStr">
        <is>
          <t>Monoculture</t>
        </is>
      </c>
      <c r="AG108" t="inlineStr">
        <is>
          <t>Visual survey, Diver/video sampling</t>
        </is>
      </c>
      <c r="AH108" t="inlineStr">
        <is>
          <t>Not algae-specific</t>
        </is>
      </c>
      <c r="AI108" t="inlineStr">
        <is>
          <t>Shallow nearshore (2–10 m)</t>
        </is>
      </c>
      <c r="AJ108" t="inlineStr">
        <is>
          <t>Sheltered</t>
        </is>
      </c>
      <c r="AK108" s="16" t="inlineStr">
        <is>
          <t>This is an empirical account of how fish and invertebrates use the habitat on a working oyster farm and how gear-handling and harvest activity affect that use. The abstract does not specify the survey methods, so treat it as directional evidence on farm habitat value and confirm the sampling approach (visual, trap or video) from the full text before replicating.</t>
        </is>
      </c>
      <c r="AL108" s="17" t="inlineStr">
        <is>
          <t>Ref</t>
        </is>
      </c>
      <c r="AM108" s="18" t="inlineStr">
        <is>
          <t>ambrose_2025</t>
        </is>
      </c>
      <c r="AN108" s="19" t="n"/>
      <c r="AO108" s="19" t="n"/>
      <c r="AP108" s="19" t="n"/>
      <c r="AQ108" s="16" t="inlineStr">
        <is>
          <t>Fish &amp; Invertebrate Habitat Use on an Oyster Farm (Reference)</t>
        </is>
      </c>
      <c r="AR108" s="16" t="inlineStr">
        <is>
          <t>Ambrose, Alexandria; Munroe, Daphne</t>
        </is>
      </c>
      <c r="AS108" s="16" t="inlineStr">
        <is>
          <t>Abstract-only evaluation; J/AB/AC inferred from title + author affiliation (Munroe = Rutgers/NJ oyster ecologist). Confirm gear type and fauna methods from full text. Mid-Atlantic US oyster context highly likely.</t>
        </is>
      </c>
      <c r="AT108" s="21" t="n"/>
    </row>
    <row r="109">
      <c r="A109" t="inlineStr">
        <is>
          <t>Cranford, P. J., et al.</t>
        </is>
      </c>
      <c r="B109" t="inlineStr">
        <is>
          <t>Indicators and thresholds for use in assessing shellfish aquaculture impacts on fish habitat</t>
        </is>
      </c>
      <c r="C109" t="inlineStr">
        <is>
          <t>DFO Canadian Science Advisory Secretariat Research Document</t>
        </is>
      </c>
      <c r="D109" t="inlineStr">
        <is>
          <t>2006/034</t>
        </is>
      </c>
      <c r="G109" t="n">
        <v>2006</v>
      </c>
      <c r="H109" t="inlineStr">
        <is>
          <t>Fisheries and Oceans Canada</t>
        </is>
      </c>
      <c r="I109" t="inlineStr">
        <is>
          <t>DFO CSAS synthesis on indicators and thresholds for assessing shellfish-aquaculture impacts on coastal habitat. Companion piece to McKindsey et al. 2006 (CSAS RD 2006/011); intended to operationalise the indicator framework that piece outlined. Likely reviews monitoring indicators across WQ + H&amp;B with discussion of threshold concepts.</t>
        </is>
      </c>
      <c r="J109" t="inlineStr">
        <is>
          <t>Reference</t>
        </is>
      </c>
      <c r="K109" t="inlineStr">
        <is>
          <t>No — gray-literature synthesis at the framework level; primary measurement protocols are by reference to source literature.</t>
        </is>
      </c>
      <c r="L109" t="inlineStr">
        <is>
          <t>No — framework / synthesis document, not directly executable by farmers.</t>
        </is>
      </c>
      <c r="M109" t="inlineStr">
        <is>
          <t>Partial — useful for researchers framing a monitoring programme; primary methodology references must be consulted.</t>
        </is>
      </c>
      <c r="N109" t="inlineStr">
        <is>
          <t>N/A — review/synthesis</t>
        </is>
      </c>
      <c r="O109" t="inlineStr">
        <is>
          <t>N/A — review/synthesis</t>
        </is>
      </c>
      <c r="P109" t="inlineStr">
        <is>
          <t>One-time (no sampling — desk-based)</t>
        </is>
      </c>
      <c r="Q109" t="inlineStr">
        <is>
          <t>N/A — review/synthesis</t>
        </is>
      </c>
      <c r="R109" t="inlineStr">
        <is>
          <t>Yes — Free (DFO CSAS open publication)</t>
        </is>
      </c>
      <c r="S109" t="inlineStr">
        <is>
          <t>Abstract + DOI metadata</t>
        </is>
      </c>
      <c r="T109" t="inlineStr">
        <is>
          <t>https://www.dfo-mpo.gc.ca/csas-sccs/Publications/ResDocs-DocRech/2006/2006_034-eng.htm</t>
        </is>
      </c>
      <c r="V109" t="inlineStr">
        <is>
          <t>Original list</t>
        </is>
      </c>
      <c r="W109" s="37" t="inlineStr">
        <is>
          <t>1 — Reference</t>
        </is>
      </c>
      <c r="X109" t="inlineStr">
        <is>
          <t>Mollusk</t>
        </is>
      </c>
      <c r="Y109" t="inlineStr">
        <is>
          <t>Water Quality, Habitat &amp; Biodiversity, Cross-cutting / Framework</t>
        </is>
      </c>
      <c r="Z109" t="inlineStr">
        <is>
          <t>WQ 1.1.1 — N and P bioextraction, WQ 1.2.1 — Dissolved oxygen, WQ 2.1.1 — Chlorophyll-a, H&amp;B 1.3.1 — Benthic infauna, H&amp;B 1.4.1 — Sediment</t>
        </is>
      </c>
      <c r="AA109" t="inlineStr">
        <is>
          <t>Cross-zone / global</t>
        </is>
      </c>
      <c r="AB109" t="inlineStr">
        <is>
          <t>Not species-specific (review)</t>
        </is>
      </c>
      <c r="AC109" t="inlineStr">
        <is>
          <t>Not site-specific</t>
        </is>
      </c>
      <c r="AD109" t="inlineStr">
        <is>
          <t>Not site-specific</t>
        </is>
      </c>
      <c r="AE109" t="inlineStr">
        <is>
          <t>Not site-specific</t>
        </is>
      </c>
      <c r="AF109" t="inlineStr">
        <is>
          <t>Monoculture</t>
        </is>
      </c>
      <c r="AG109" t="inlineStr">
        <is>
          <t>N/A — review/synthesis</t>
        </is>
      </c>
      <c r="AH109" t="inlineStr">
        <is>
          <t>Not algae-specific</t>
        </is>
      </c>
      <c r="AI109" t="inlineStr">
        <is>
          <t>Not site-specific</t>
        </is>
      </c>
      <c r="AJ109" t="inlineStr">
        <is>
          <t>Not site-specific</t>
        </is>
      </c>
      <c r="AK109" s="16" t="inlineStr">
        <is>
          <t>This is a framework-level synthesis of indicators and thresholds for assessing shellfish-aquaculture impacts on coastal habitat, and the companion to the McKindsey methods review. It operationalises which indicators to track across water quality and habitat rather than giving a measurement procedure; use it to select indicators and threshold benchmarks, then draw the methods from the primary literature it cites.</t>
        </is>
      </c>
      <c r="AL109" s="17" t="inlineStr">
        <is>
          <t>Ref</t>
        </is>
      </c>
      <c r="AM109" s="18" t="inlineStr">
        <is>
          <t>cranford_2006</t>
        </is>
      </c>
      <c r="AN109" s="19" t="n"/>
      <c r="AO109" s="19" t="n"/>
      <c r="AP109" s="19" t="n"/>
      <c r="AQ109" s="16" t="inlineStr">
        <is>
          <t>Indicators &amp; Thresholds for Shellfish-Aquaculture Impact (Synthesis)</t>
        </is>
      </c>
      <c r="AR109" s="16" t="inlineStr">
        <is>
          <t>Cranford, Peter J; Anderson, Robin; Archambault, Philippe; Balch, Tim; Bates, Suzanne S; Bugden, Gary; Callier, Myriam D; Carver, Clare; Comeau, Luc; Hargrave, Barry; Harrison, W Glen; Horne, Edward; Kepkay, Paul E; Li, William K W; Mallet, Andre; Ouellette, Marc; Strain, Peter</t>
        </is>
      </c>
      <c r="AS109" s="16" t="inlineStr">
        <is>
          <t>PDF not present in project folder at chat 2 evaluation; values evaluated from DOI + title + sibling document (McKindsey 2006, row 58) context. WQ 1.1.1 inferred from broad 'indicators' scope (bioextraction routinely included in DFO framework) — confirm from full PDF when obtained. Companion to row 58.</t>
        </is>
      </c>
      <c r="AT109" s="21" t="n"/>
    </row>
    <row r="110">
      <c r="A110" t="inlineStr">
        <is>
          <t>Edgar, G. J., et al.</t>
        </is>
      </c>
      <c r="B110" t="inlineStr">
        <is>
          <t>Broad-scale effects of marine salmonid aquaculture on macrobenthos and the sediment environment in southeastern Tasmania</t>
        </is>
      </c>
      <c r="C110" t="inlineStr">
        <is>
          <t>Journal of Experimental Marine Biology and Ecology</t>
        </is>
      </c>
      <c r="D110" t="n">
        <v>327</v>
      </c>
      <c r="F110" t="inlineStr">
        <is>
          <t>70-90</t>
        </is>
      </c>
      <c r="G110" t="n">
        <v>2005</v>
      </c>
      <c r="H110" t="inlineStr">
        <is>
          <t>Elsevier</t>
        </is>
      </c>
      <c r="I110" t="inlineStr">
        <is>
          <t>Maps to H&amp;B 1.3.1 — Benthic infauna. Salmonid cage farms on 20 leases across southeastern Tasmania (7–47 m), 1997–1999, sampled under government monitoring conditions: sites &lt;10 m from cages, within the lease &gt;20 m from cages, 35 m outside the lease boundary (compliance) and 1–2 km outside (reference); triplicate 0.07 m² Van Veen grabs per site sieved at 1 mm in the field, sorted to species and counted, biomass estimated from sieve size classes. Match: Yes — finfish-farm monitoring design that transfers to shellfish farms.</t>
        </is>
      </c>
      <c r="J110" t="inlineStr">
        <is>
          <t>Protocol</t>
        </is>
      </c>
      <c r="K110" t="inlineStr">
        <is>
          <t>Confirmed standalone (full read). Graded farm-distance design across 20 leases: low richness and capitellid/dorvilleid dominance next to cages, subtler community change across leases and minor effects 35 m outside — robust for H&amp;B 1.3.1; the ratio of bivalves to total molluscs was a sensitive, location-stable metric.</t>
        </is>
      </c>
      <c r="L110" t="inlineStr">
        <is>
          <t>Partial — coring (by diver) or a grab from the boat and sieving are farmer-doable; sorting and species identification need a partner lab.</t>
        </is>
      </c>
      <c r="M110" t="inlineStr">
        <is>
          <t>Yes</t>
        </is>
      </c>
      <c r="N110" t="inlineStr">
        <is>
          <t>Van Veen grab (0.07 m²), triplicate per site; 1 mm field sieve; 5% buffered formalin; stacked sieves (1, 1.4, 2, 2.8, 4 mm) for size-class AFDW estimates; reference collection for consistent identification.</t>
        </is>
      </c>
      <c r="O110" t="inlineStr">
        <is>
          <t>High — ~$12K yr 1: $1.77K start-up (Petite Ponar grab $1.57K [list]; grab line $50 [est]; 1 mm sieve $150 [est]) + $10.1K/yr (infauna sort + ID 24 × $414 [lab fee]; preservative + jars $150 [est])</t>
        </is>
      </c>
      <c r="P110" t="inlineStr">
        <is>
          <t>Multi-year monitoring (&gt; 1 year) — lease surveys 1997–1999</t>
        </is>
      </c>
      <c r="Q110" t="inlineStr">
        <is>
          <t>ANOVA by impact category and location on univariate metrics (richness, abundance, biomass, taxon ratios); multivariate comparison of communities.</t>
        </is>
      </c>
      <c r="R110" t="inlineStr">
        <is>
          <t>No — Paywalled (Elsevier)</t>
        </is>
      </c>
      <c r="S110" t="inlineStr">
        <is>
          <t>Full PDF</t>
        </is>
      </c>
      <c r="T110" t="inlineStr">
        <is>
          <t>https://doi.org/10.1016/j.jembe.2005.06.003</t>
        </is>
      </c>
      <c r="U110" t="inlineStr">
        <is>
          <t>Salmon farms load the seabed far more heavily than shellfish farms, so use the design and metrics, not the effect sizes; a strong natural regional gradient means references must be local.</t>
        </is>
      </c>
      <c r="V110" t="inlineStr">
        <is>
          <t>Original list</t>
        </is>
      </c>
      <c r="W110" s="42" t="inlineStr">
        <is>
          <t>3 — Partnership</t>
        </is>
      </c>
      <c r="X110" t="inlineStr">
        <is>
          <t>Mollusk, Finfish</t>
        </is>
      </c>
      <c r="Y110" t="inlineStr">
        <is>
          <t>Habitat &amp; Biodiversity</t>
        </is>
      </c>
      <c r="Z110" t="inlineStr">
        <is>
          <t>H&amp;B 1.3.1 — Benthic infauna</t>
        </is>
      </c>
      <c r="AA110" t="inlineStr">
        <is>
          <t>Temperate Pacific</t>
        </is>
      </c>
      <c r="AB110" t="inlineStr">
        <is>
          <t>Not species-specific</t>
        </is>
      </c>
      <c r="AC110" t="inlineStr">
        <is>
          <t>Not gear-specific</t>
        </is>
      </c>
      <c r="AD110" t="inlineStr">
        <is>
          <t>Not site-specific</t>
        </is>
      </c>
      <c r="AE110" t="inlineStr">
        <is>
          <t>Variable / seasonal</t>
        </is>
      </c>
      <c r="AF110" t="inlineStr">
        <is>
          <t>Monoculture</t>
        </is>
      </c>
      <c r="AG110" t="inlineStr">
        <is>
          <t>Sediment sampling</t>
        </is>
      </c>
      <c r="AH110" t="inlineStr">
        <is>
          <t>Not algae-specific</t>
        </is>
      </c>
      <c r="AI110" t="inlineStr">
        <is>
          <t>Shallow nearshore (2–10 m)</t>
        </is>
      </c>
      <c r="AJ110" t="inlineStr">
        <is>
          <t>Sheltered</t>
        </is>
      </c>
      <c r="AK110" s="16" t="inlineStr">
        <is>
          <t>To check how your farm affects the animals in the seabed, take [3] grab samples (e.g. a 0.07–0.1 m² van Veen) at each of four distances: under or next to the farm structures, within the farm away from them, just outside the farm boundary ([35 m]) and at [2] reference sites [1–2 km] away in similar depth and sediment, once per season. Sieve each through a 1 mm mesh in the field, preserve, and have a partner lab sort, identify and count the animals. Report number of species, abundance, biomass and the share of bivalves among molluscs, and compare across distances. The source used this graded design to monitor salmon farms, where effects are much stronger than under shellfish; it found redox at 4 cm and the bivalve share of molluscs the most sensitive measures.</t>
        </is>
      </c>
      <c r="AL110" s="17" t="inlineStr">
        <is>
          <t>High</t>
        </is>
      </c>
      <c r="AM110" s="18" t="inlineStr">
        <is>
          <t>edgar_2005_hb131</t>
        </is>
      </c>
      <c r="AN110" s="19" t="n"/>
      <c r="AO110" s="19" t="n"/>
      <c r="AP110" s="19" t="n"/>
      <c r="AQ110" s="16" t="inlineStr">
        <is>
          <t>Benthic-infauna sampling — Mollusk, Finfish</t>
        </is>
      </c>
      <c r="AR110" s="16" t="inlineStr">
        <is>
          <t>Edgar, Graham J; Macleod, Catriona K; Mawbey, Ron B; Shields, Derek</t>
        </is>
      </c>
      <c r="AS110" s="16" t="inlineStr">
        <is>
          <t>Original system is Atlantic salmon (Finfish); benthic-impact methodology is directly transferable to mollusk farm monitoring (Rule 2). Multi-tagged Mollusk + Finfish — applies to both aquaculture types. Strong methodological template for broad-scale benthic + sediment monitoring at farm vs reference sites.  |  Migration (one-indicator-per-row, 2026-09-04): split from edgar_2005 -&gt; {edgar_2005_hb131, edgar_2005_hb141}. This row = edgar_2005_hb131 (H&amp;B 1.3.1 — Benthic infauna). Candidate: AK/N/Q blanked and I/K/W/O/P provisional; per-indicator method text, tier/cost/effort and match adjudication to be finalised at generation. Combined parent I/AK/N/Q retained in v37 (pre-split).  |  [2026-10-16 method-summary pass] Full read (Peter's PDF). Citation: DOI 10.1016/j.jembe.2005.05.005 → 10.1016/j.jembe.2005.06.003 (T); AR: 'Shields, Damien' → 'Shields, Derek'. S: 'Abstract + DOI metadata' → 'Full PDF'. AB, AC → vocabulary values ('Not species-specific', 'Not gear-specific'). I, K: candidate-split text replaced; Match Yes (finfish-farm design and metrics, transferable — Rule 2). L → Partial. W: '2 — Researcher' → '3 — Partnership' (Rule 14); fill → T3 pale green. N, Q, U filled; P → Multi-year + detail. O: 'Medium' (never re-rated) → 'High — ~$12K' (Rule 15: Mol H&amp;B 1.3.1, 24 samples; grab + partner-lab sort/ID; 1 mm sieve as the source). AK written; AL → High.  |  [2026-10-16 monitoring-methods pass] AT (Monitoring Methods) set from the protocol's method summary (AK): Benthic infauna community.</t>
        </is>
      </c>
      <c r="AT110" s="21" t="inlineStr">
        <is>
          <t>Benthic infauna community</t>
        </is>
      </c>
    </row>
    <row r="111">
      <c r="A111" s="21" t="inlineStr">
        <is>
          <t>Edgar, G. J., et al.</t>
        </is>
      </c>
      <c r="B111" s="21" t="inlineStr">
        <is>
          <t>Broad-scale effects of marine salmonid aquaculture on macrobenthos and the sediment environment in southeastern Tasmania</t>
        </is>
      </c>
      <c r="C111" s="21" t="inlineStr">
        <is>
          <t>Journal of Experimental Marine Biology and Ecology</t>
        </is>
      </c>
      <c r="D111" s="21" t="n">
        <v>327</v>
      </c>
      <c r="E111" s="21" t="n"/>
      <c r="F111" s="21" t="inlineStr">
        <is>
          <t>70-90</t>
        </is>
      </c>
      <c r="G111" s="21" t="n">
        <v>2005</v>
      </c>
      <c r="H111" s="21" t="inlineStr">
        <is>
          <t>Elsevier</t>
        </is>
      </c>
      <c r="I111" s="21" t="inlineStr">
        <is>
          <t>Maps to H&amp;B 1.4.1 — Sediment. Same graded design: triplicate Craib cores (43 mm) per site; redox at the surface and at 10 and 40 mm within 3 h of collection (Ag/AgCl probe, buffer-checked); top 30 mm for organic content (loss on ignition, 450 °C), %C, %N and δ¹³C/δ¹⁵N; top 100 mm for particle size by wet sieving (4 mm–63 µm). Match: Yes.</t>
        </is>
      </c>
      <c r="J111" s="21" t="inlineStr">
        <is>
          <t>Protocol</t>
        </is>
      </c>
      <c r="K111" s="21" t="inlineStr">
        <is>
          <t>Confirmed standalone (full read). Redox at 40 mm was depressed next to cages and across leases and was one of the two most sensitive farm indicators — robust for H&amp;B 1.4.1 (finfish system).</t>
        </is>
      </c>
      <c r="L111" s="21" t="inlineStr">
        <is>
          <t>Partial — cores and redox readings with a probe are farmer-doable; organic matter, C/N and grain size need a partner lab.</t>
        </is>
      </c>
      <c r="M111" s="21" t="inlineStr">
        <is>
          <t>Yes</t>
        </is>
      </c>
      <c r="N111" s="21" t="inlineStr">
        <is>
          <t>Craib corer (43 mm cores); redox probe with Ag/AgCl reference and 220 mV check buffer; muffle furnace (450 °C); elemental analyser and isotope-ratio mass spectrometry (CSIRO); sieve stack (4 mm–63 µm) and measuring cylinder for volumetric grain size.</t>
        </is>
      </c>
      <c r="O111" s="21" t="inlineStr">
        <is>
          <t>Medium — ~$3.8K yr 1: $2.6K start-up (Petite Ponar grab $1.57K [list]; grab line $50 [est]; portable pH/ORP meter $760 [list]; platinum ORP electrode $220 [list]) + $1.23K/yr (grain size 24 × $30 [lab fee]; sediment LOI 24 × $19 [lab fee]; sample jars $50 [est])</t>
        </is>
      </c>
      <c r="P111" s="21" t="inlineStr">
        <is>
          <t>Multi-year monitoring (&gt; 1 year) — lease surveys 1997–1999</t>
        </is>
      </c>
      <c r="Q111" s="21" t="inlineStr">
        <is>
          <t>ANOVA by impact category and location on redox, organic content, C, N, isotopes and grain size.</t>
        </is>
      </c>
      <c r="R111" s="21" t="inlineStr">
        <is>
          <t>No — Paywalled (Elsevier)</t>
        </is>
      </c>
      <c r="S111" s="21" t="inlineStr">
        <is>
          <t>Full PDF</t>
        </is>
      </c>
      <c r="T111" s="21" t="inlineStr">
        <is>
          <t>https://doi.org/10.1016/j.jembe.2005.06.003</t>
        </is>
      </c>
      <c r="U111" s="21" t="inlineStr">
        <is>
          <t>Salmon farms load the seabed far more heavily than shellfish farms, so use the design and metrics, not the effect sizes; a strong natural regional gradient means references must be local.</t>
        </is>
      </c>
      <c r="V111" s="21" t="inlineStr">
        <is>
          <t>Original list</t>
        </is>
      </c>
      <c r="W111" s="41" t="inlineStr">
        <is>
          <t>3 — Partnership</t>
        </is>
      </c>
      <c r="X111" s="21" t="inlineStr">
        <is>
          <t>Mollusk, Finfish</t>
        </is>
      </c>
      <c r="Y111" s="21" t="inlineStr">
        <is>
          <t>Habitat &amp; Biodiversity</t>
        </is>
      </c>
      <c r="Z111" s="21" t="inlineStr">
        <is>
          <t>H&amp;B 1.4.1 — Sediment</t>
        </is>
      </c>
      <c r="AA111" s="21" t="inlineStr">
        <is>
          <t>Temperate Pacific</t>
        </is>
      </c>
      <c r="AB111" s="21" t="inlineStr">
        <is>
          <t>Not species-specific</t>
        </is>
      </c>
      <c r="AC111" s="21" t="inlineStr">
        <is>
          <t>Not gear-specific</t>
        </is>
      </c>
      <c r="AD111" s="21" t="inlineStr">
        <is>
          <t>Not site-specific</t>
        </is>
      </c>
      <c r="AE111" s="21" t="inlineStr">
        <is>
          <t>Variable / seasonal</t>
        </is>
      </c>
      <c r="AF111" s="21" t="inlineStr">
        <is>
          <t>Monoculture</t>
        </is>
      </c>
      <c r="AG111" s="21" t="inlineStr">
        <is>
          <t>Sediment sampling</t>
        </is>
      </c>
      <c r="AH111" s="21" t="inlineStr">
        <is>
          <t>Not algae-specific</t>
        </is>
      </c>
      <c r="AI111" s="21" t="inlineStr">
        <is>
          <t>Shallow nearshore (2–10 m)</t>
        </is>
      </c>
      <c r="AJ111" s="21" t="inlineStr">
        <is>
          <t>Sheltered</t>
        </is>
      </c>
      <c r="AK111" s="16" t="inlineStr">
        <is>
          <t>To track organic enrichment of the seabed around your farm, take [3] short cores (by diver, a small corer, or subsampled from a grab) under or next to the farm structures, within the farm, just outside its boundary ([35 m]) and at [2] reference sites [1–2 km] away in similar depth and sediment, twice a year including late summer. Within 3 hours, push a calibrated redox probe into each core at the surface and at 1 and 4 cm and record millivolts; then send the top 3 cm to a partner lab for organic matter (loss on ignition) and grain size. Compare across distances: redox falling at 4 cm is an early sign of enrichment. The source monitored salmon farms, where loading is far heavier than under shellfish, so expect smaller differences.</t>
        </is>
      </c>
      <c r="AL111" s="17" t="inlineStr">
        <is>
          <t>High</t>
        </is>
      </c>
      <c r="AM111" s="18" t="inlineStr">
        <is>
          <t>edgar_2005_hb141</t>
        </is>
      </c>
      <c r="AN111" s="19" t="n"/>
      <c r="AO111" s="19" t="n"/>
      <c r="AP111" s="19" t="n"/>
      <c r="AQ111" s="16" t="inlineStr">
        <is>
          <t>Sediment-condition monitoring — Mollusk, Finfish</t>
        </is>
      </c>
      <c r="AR111" s="16" t="inlineStr">
        <is>
          <t>Edgar, Graham J; Macleod, Catriona K; Mawbey, Ron B; Shields, Derek</t>
        </is>
      </c>
      <c r="AS111" s="16" t="inlineStr">
        <is>
          <t>Original system is Atlantic salmon (Finfish); benthic-impact methodology is directly transferable to mollusk farm monitoring (Rule 2). Multi-tagged Mollusk + Finfish — applies to both aquaculture types. Strong methodological template for broad-scale benthic + sediment monitoring at farm vs reference sites.  |  Migration (one-indicator-per-row, 2026-09-04): split from edgar_2005 -&gt; {edgar_2005_hb131, edgar_2005_hb141}. This row = edgar_2005_hb141 (H&amp;B 1.4.1 — Sediment). Candidate: AK/N/Q blanked and I/K/W/O/P provisional; per-indicator method text, tier/cost/effort and match adjudication to be finalised at generation. Combined parent I/AK/N/Q retained in v37 (pre-split).  |  [2026-10-16 method-summary pass] Full read (Peter's PDF). Citation: DOI 10.1016/j.jembe.2005.05.005 → 10.1016/j.jembe.2005.06.003 (T); AR: 'Shields, Damien' → 'Shields, Derek'. S: 'Abstract + DOI metadata' → 'Full PDF'. AB, AC → vocabulary values ('Not species-specific', 'Not gear-specific'). I, K: candidate-split text replaced; Match Yes (finfish-farm design and metrics, transferable — Rule 2). L → Partial. W: '2 — Researcher' → '3 — Partnership' (Rule 14); fill → T3 pale green. N, Q, U filled; P → Multi-year + detail. O: 'Medium' (never re-rated) → 'Medium — ~$3.8K' (Rule 15: Mol H&amp;B 1.4.1, 24 samples; field redox + LOI + grain size, as borja_2009_hb141). AK written; AL → High.  |  [2026-10-16 monitoring-methods pass] AT (Monitoring Methods) set from the protocol's method summary (AK): Grain size / particle size, Sediment chemistry (OC / TN / redox / AVS).</t>
        </is>
      </c>
      <c r="AT111" s="21" t="inlineStr">
        <is>
          <t>Grain size / particle size, Sediment chemistry (OC / TN / redox / AVS)</t>
        </is>
      </c>
    </row>
    <row r="112">
      <c r="A112" t="inlineStr">
        <is>
          <t>Sanchez-Jerez, P., et al.</t>
        </is>
      </c>
      <c r="B112" t="inlineStr">
        <is>
          <t>Mollusk shell debris accumulation in the seabed derived from coastal fish farming</t>
        </is>
      </c>
      <c r="C112" t="inlineStr">
        <is>
          <t>Journal of Marine Science and Engineering</t>
        </is>
      </c>
      <c r="D112" t="n">
        <v>7</v>
      </c>
      <c r="E112" t="inlineStr">
        <is>
          <t>9</t>
        </is>
      </c>
      <c r="F112" t="inlineStr">
        <is>
          <t>335</t>
        </is>
      </c>
      <c r="G112" t="n">
        <v>2019</v>
      </c>
      <c r="H112" t="inlineStr">
        <is>
          <t>MDPI</t>
        </is>
      </c>
      <c r="I112" t="inlineStr">
        <is>
          <t>Documents accumulation of mollusk shell debris on the seabed beneath coastal fish farms. Mediterranean context; examines how fish-farm presence alters benthic substrate composition through accumulation of wild bivalve shells (likely from cage-attached fauna or fall-off).</t>
        </is>
      </c>
      <c r="J112" t="inlineStr">
        <is>
          <t>Reference</t>
        </is>
      </c>
      <c r="K112" t="inlineStr">
        <is>
          <t>Yes — observational study of sediment shell-debris distribution; design is replicable but framing is descriptive.</t>
        </is>
      </c>
      <c r="L112" t="inlineStr">
        <is>
          <t>Partial — visual/sediment surveys accessible; quantification typically lab-based.</t>
        </is>
      </c>
      <c r="M112" t="inlineStr">
        <is>
          <t>Yes</t>
        </is>
      </c>
      <c r="N112" t="inlineStr">
        <is>
          <t>Sediment grabs / cores, visual survey, shell-debris identification</t>
        </is>
      </c>
      <c r="O112" t="inlineStr">
        <is>
          <t>Medium</t>
        </is>
      </c>
      <c r="P112" t="inlineStr">
        <is>
          <t>One-time / discrete campaign</t>
        </is>
      </c>
      <c r="Q112" t="inlineStr">
        <is>
          <t>Spatial gradient analysis, descriptive stats</t>
        </is>
      </c>
      <c r="R112" t="inlineStr">
        <is>
          <t>Yes — Open access (MDPI CC BY)</t>
        </is>
      </c>
      <c r="S112" t="inlineStr">
        <is>
          <t>Abstract + DOI metadata</t>
        </is>
      </c>
      <c r="T112" t="inlineStr">
        <is>
          <t>https://doi.org/10.3390/jmse7090335</t>
        </is>
      </c>
      <c r="U112" t="inlineStr">
        <is>
          <t>Transfers by analogy to monitoring benthic-substrate change around bivalve farms.</t>
        </is>
      </c>
      <c r="V112" t="inlineStr">
        <is>
          <t>Original list</t>
        </is>
      </c>
      <c r="W112" s="37" t="inlineStr">
        <is>
          <t>1 — Reference</t>
        </is>
      </c>
      <c r="X112" t="inlineStr">
        <is>
          <t>Mollusk, Finfish</t>
        </is>
      </c>
      <c r="Y112" t="inlineStr">
        <is>
          <t>Habitat &amp; Biodiversity</t>
        </is>
      </c>
      <c r="Z112" t="inlineStr">
        <is>
          <t>H&amp;B 1.4.1 — Sediment, H&amp;B 1.3.1 — Benthic infauna</t>
        </is>
      </c>
      <c r="AA112" t="inlineStr">
        <is>
          <t>Temperate Atlantic</t>
        </is>
      </c>
      <c r="AB112" t="inlineStr">
        <is>
          <t>Not species-specific (wild mollusk debris under fish cages)</t>
        </is>
      </c>
      <c r="AC112" t="inlineStr">
        <is>
          <t>Not site-specific</t>
        </is>
      </c>
      <c r="AD112" t="inlineStr">
        <is>
          <t>Not site-specific</t>
        </is>
      </c>
      <c r="AE112" t="inlineStr">
        <is>
          <t>Variable / seasonal</t>
        </is>
      </c>
      <c r="AF112" t="inlineStr">
        <is>
          <t>Monoculture</t>
        </is>
      </c>
      <c r="AG112" t="inlineStr">
        <is>
          <t>Sediment sampling, Visual survey</t>
        </is>
      </c>
      <c r="AH112" t="inlineStr">
        <is>
          <t>Not algae-specific</t>
        </is>
      </c>
      <c r="AI112" t="inlineStr">
        <is>
          <t>Shallow nearshore (2–10 m)</t>
        </is>
      </c>
      <c r="AJ112" t="inlineStr">
        <is>
          <t>Sheltered</t>
        </is>
      </c>
      <c r="AK112" s="16" t="inlineStr">
        <is>
          <t>This observational study documents how mollusc shell debris accumulates on the seabed beneath coastal cages, altering benthic substrate composition. It is descriptive rather than a hypothesis-testing protocol, but the approach - sediment grabs/cores and visual survey along a distance gradient to map shell-debris distribution - transfers by analogy to monitoring benthic-substrate change around bivalve farms.</t>
        </is>
      </c>
      <c r="AL112" s="17" t="inlineStr">
        <is>
          <t>Ref</t>
        </is>
      </c>
      <c r="AM112" s="18" t="inlineStr">
        <is>
          <t>sanchezjerez_2019</t>
        </is>
      </c>
      <c r="AN112" s="19" t="n"/>
      <c r="AO112" s="19" t="n"/>
      <c r="AP112" s="19" t="n"/>
      <c r="AQ112" s="16" t="inlineStr">
        <is>
          <t>Shell-Debris Accumulation on the Seabed (Observational Reference)</t>
        </is>
      </c>
      <c r="AR112" s="16" t="inlineStr">
        <is>
          <t>Sanchez-Jerez, Pablo; Krüger, Lotte; Casado-Coy, Nuria; Valle, Carlos; Carratalá, Adoración; Sanz-Lazaro, Carlos</t>
        </is>
      </c>
      <c r="AS112" s="16" t="inlineStr">
        <is>
          <t>Original system is finfish aquaculture; documents shell-debris accumulation under fish cages — methodologically informs benthic-substrate monitoring around bivalve farms by analogy. Multi-tagged Mollusk + Finfish per Rule 2 (transferable methodology).  |  [2026-10-16 monitoring-methods pass] AT (Monitoring Methods) set from the protocol's method summary (AK): Visual census / belt transects.</t>
        </is>
      </c>
      <c r="AT112" s="21" t="inlineStr">
        <is>
          <t>Visual census / belt transects</t>
        </is>
      </c>
    </row>
    <row r="113">
      <c r="A113" t="inlineStr">
        <is>
          <t>Murray, L., et al.</t>
        </is>
      </c>
      <c r="B113" t="inlineStr">
        <is>
          <t>Changes in the biodiversity of mussel assemblages induced by two methods of cultivation</t>
        </is>
      </c>
      <c r="C113" t="inlineStr">
        <is>
          <t>Journal of Shellfish Research</t>
        </is>
      </c>
      <c r="D113" t="n">
        <v>26</v>
      </c>
      <c r="E113" t="inlineStr">
        <is>
          <t>1</t>
        </is>
      </c>
      <c r="F113" t="inlineStr">
        <is>
          <t>153-162</t>
        </is>
      </c>
      <c r="G113" t="n">
        <v>2007</v>
      </c>
      <c r="H113" t="inlineStr">
        <is>
          <t>National Shellfisheries Association</t>
        </is>
      </c>
      <c r="I113" t="inlineStr">
        <is>
          <t>Compares biodiversity of mussel assemblages cultivated by two different methods (likely bottom vs suspended, or two suspended variants). H&amp;B focus on epibiont + associated infauna communities.</t>
        </is>
      </c>
      <c r="J113" t="inlineStr">
        <is>
          <t>Reference</t>
        </is>
      </c>
      <c r="K113" t="inlineStr">
        <is>
          <t>Yes — paired culture-method comparison; observational design replicable.</t>
        </is>
      </c>
      <c r="L113" t="inlineStr">
        <is>
          <t>Partial — visual + sample-based biodiversity surveys accessible to trained staff.</t>
        </is>
      </c>
      <c r="M113" t="inlineStr">
        <is>
          <t>Yes</t>
        </is>
      </c>
      <c r="N113" t="inlineStr">
        <is>
          <t>Diver/video sampling, sample sorting, taxonomic identification</t>
        </is>
      </c>
      <c r="O113" t="inlineStr">
        <is>
          <t>Medium</t>
        </is>
      </c>
      <c r="P113" t="inlineStr">
        <is>
          <t>Multi-season (3–9 months)</t>
        </is>
      </c>
      <c r="Q113" t="inlineStr">
        <is>
          <t>Diversity indices (Shannon, evenness), community analysis</t>
        </is>
      </c>
      <c r="R113" t="inlineStr">
        <is>
          <t>No — Paywalled (NSA / BioOne)</t>
        </is>
      </c>
      <c r="S113" t="inlineStr">
        <is>
          <t>Abstract + DOI metadata</t>
        </is>
      </c>
      <c r="T113" t="inlineStr">
        <is>
          <t>https://doi.org/10.2983/0730-8000(2007)26[153:CITBOM]2.0.CO;2</t>
        </is>
      </c>
      <c r="V113" t="inlineStr">
        <is>
          <t>Original list</t>
        </is>
      </c>
      <c r="W113" s="38" t="inlineStr">
        <is>
          <t>2 — Researcher</t>
        </is>
      </c>
      <c r="X113" t="inlineStr">
        <is>
          <t>Mollusk</t>
        </is>
      </c>
      <c r="Y113" t="inlineStr">
        <is>
          <t>Habitat &amp; Biodiversity</t>
        </is>
      </c>
      <c r="Z113" t="inlineStr">
        <is>
          <t>H&amp;B 1.1.1 — Epibiota, H&amp;B 2.1.1 — Community composition</t>
        </is>
      </c>
      <c r="AA113" t="inlineStr">
        <is>
          <t>Temperate Atlantic</t>
        </is>
      </c>
      <c r="AB113" t="inlineStr">
        <is>
          <t>Blue mussel (Mytilus edulis)</t>
        </is>
      </c>
      <c r="AC113" t="inlineStr">
        <is>
          <t>Mixed</t>
        </is>
      </c>
      <c r="AD113" t="inlineStr">
        <is>
          <t>Not site-specific</t>
        </is>
      </c>
      <c r="AE113" t="inlineStr">
        <is>
          <t>Variable / seasonal</t>
        </is>
      </c>
      <c r="AF113" t="inlineStr">
        <is>
          <t>Monoculture</t>
        </is>
      </c>
      <c r="AG113" t="inlineStr">
        <is>
          <t>Visual survey, Diver/video sampling</t>
        </is>
      </c>
      <c r="AH113" t="inlineStr">
        <is>
          <t>Not algae-specific</t>
        </is>
      </c>
      <c r="AI113" t="inlineStr">
        <is>
          <t>Shallow nearshore (2–10 m)</t>
        </is>
      </c>
      <c r="AJ113" t="inlineStr">
        <is>
          <t>Sheltered</t>
        </is>
      </c>
      <c r="AK113" s="16" t="inlineStr">
        <is>
          <t>This paper compares the biodiversity of mussel assemblages under two cultivation methods, focusing on epibiont and associated infaunal communities via diver/video sampling, sorting and taxonomy with standard diversity indices. Use it as a template and comparator for culture-method contrasts; confirm the exact structures compared from the full text.</t>
        </is>
      </c>
      <c r="AL113" s="17" t="inlineStr">
        <is>
          <t>Ref</t>
        </is>
      </c>
      <c r="AM113" s="18" t="inlineStr">
        <is>
          <t>murray_2007</t>
        </is>
      </c>
      <c r="AN113" s="19" t="n"/>
      <c r="AO113" s="19" t="n"/>
      <c r="AP113" s="19" t="n"/>
      <c r="AQ113" s="16" t="inlineStr">
        <is>
          <t>Biodiversity Under Two Mussel-Cultivation Methods (Reference)</t>
        </is>
      </c>
      <c r="AR113" s="16" t="inlineStr">
        <is>
          <t>Murray, LG; Newell, CR; Seed, R</t>
        </is>
      </c>
      <c r="AS113" s="16" t="inlineStr">
        <is>
          <t>Two-method comparison; confirm exact structures (bottom vs longline vs bouchot) and species from full PDF. UK / Ireland mussel context highly likely (Seed = UK mussel ecologist).  |  [2026-10-16 monitoring-methods pass] AT (Monitoring Methods) set from the protocol's method summary (AK): Benthic infauna community, Visual census / belt transects, Time-lapse / GoPro cameras, Epibiota on lines / structures.</t>
        </is>
      </c>
      <c r="AT113" s="21" t="inlineStr">
        <is>
          <t>Benthic infauna community, Visual census / belt transects, Time-lapse / GoPro cameras, Epibiota on lines / structures</t>
        </is>
      </c>
    </row>
    <row r="114">
      <c r="A114" t="inlineStr">
        <is>
          <t>Ysebaert, T., et al.</t>
        </is>
      </c>
      <c r="B114" t="inlineStr">
        <is>
          <t>Impacts of bottom and suspended cultures of mussels Mytilus spp. on the surrounding sedimentary environment and macrobenthic biodiversity</t>
        </is>
      </c>
      <c r="C114" t="inlineStr">
        <is>
          <t>Helgoland Marine Research</t>
        </is>
      </c>
      <c r="D114" t="n">
        <v>63</v>
      </c>
      <c r="E114" t="inlineStr">
        <is>
          <t>Suppl. 1</t>
        </is>
      </c>
      <c r="F114" t="inlineStr">
        <is>
          <t>59-74</t>
        </is>
      </c>
      <c r="G114" t="n">
        <v>2009</v>
      </c>
      <c r="H114" t="inlineStr">
        <is>
          <t>Springer</t>
        </is>
      </c>
      <c r="I114" t="inlineStr">
        <is>
          <t>Maps to H&amp;B 1.3.1 — Benthic infauna. Three European mussel systems, each a single mussel site vs a culture-free control 300–950 m away with measured similar hydrodynamics: Limfjorden (Denmark; patchy dredged bottom beds, 5–7 m; 25 box cores per site), Oosterschelde (Netherlands; 4.5 ha seeded bottom-culture plot, 6–8 m; 10 cores per site) and Ria de Vigo (Spain; Mytilus galloprovincialis raft polygon, 12–34 m; transects of 6 box cores 100 m apart, 18 in and at the edge of the polygon and 12 at the reference). Cores sieved at 1 mm on board, formaldehyde-fixed, identified to lowest taxon, AFDW biomass and feeding groups. Match: Yes.</t>
        </is>
      </c>
      <c r="J114" t="inlineStr">
        <is>
          <t>Protocol</t>
        </is>
      </c>
      <c r="K114" t="inlineStr">
        <is>
          <t>Confirmed standalone (full read). Box-core macrofauna shifted from sand-dwelling species to small opportunistic deposit feeders (Capitella capitata, oligochaetes, Prionospio) under both bottom beds and rafts (ANOSIM p &lt; 0.05 in all three systems), with lower diversity under the rafts and more epibenthic species in the dense Oosterschelde bed — robust for H&amp;B 1.3.1.</t>
        </is>
      </c>
      <c r="L114" t="inlineStr">
        <is>
          <t>Partial — grabbing or coring from a boat and sieving are farmer-doable; sorting, species identification and biomass need a partner lab.</t>
        </is>
      </c>
      <c r="M114" t="inlineStr">
        <is>
          <t>Yes</t>
        </is>
      </c>
      <c r="N114" t="inlineStr">
        <is>
          <t>Box corers (0.0117, 0.0774 and 0.019 m² surface area by system); 1 mm sieve on board; formaldehyde; identification to lowest taxon; wet weight to AFDW regressions; diver or towed video transects for mussel cover; PRIMER 5.</t>
        </is>
      </c>
      <c r="O114" t="inlineStr">
        <is>
          <t>High — ~$12K yr 1: $1.77K start-up (Petite Ponar grab $1.57K [list]; grab line $50 [est]; 1 mm sieve $150 [est]) + $10.1K/yr (infauna sort + ID 24 × $414 [lab fee]; preservative + jars $150 [est])</t>
        </is>
      </c>
      <c r="P114" t="inlineStr">
        <is>
          <t>Single deployment (hours to 1 day) — one survey per system: Limfjorden 1 Jun 2003, Oosterschelde 28 Apr 2004, Ria de Vigo 28 Jul 2004</t>
        </is>
      </c>
      <c r="Q114" t="inlineStr">
        <is>
          <t>Student's t-tests on log-transformed abundance and biomass, mussel vs control within each system; nMDS on double-square-root Bray–Curtis, ANOSIM and SIMPER (PRIMER 5); feeding-group comparisons; cross-system comparison qualitative only.</t>
        </is>
      </c>
      <c r="R114" t="inlineStr">
        <is>
          <t>Yes — Open access (CC BY-NC, Springer)</t>
        </is>
      </c>
      <c r="S114" t="inlineStr">
        <is>
          <t>Full PDF</t>
        </is>
      </c>
      <c r="T114" t="inlineStr">
        <is>
          <t>https://doi.org/10.1007/s10152-008-0136-5</t>
        </is>
      </c>
      <c r="U114" t="inlineStr">
        <is>
          <t>One mussel site and one control per system, each sampled once (pseudoreplicated, as the authors acknowledge). The Limfjorden site is a dredged wild mussel bed rather than seeded culture; the Ria de Vigo transects run down a 12–34 m depth gradient that also changes the sediment. Core sizes differed among systems, so cross-system comparisons are qualitative; effects were very local.</t>
        </is>
      </c>
      <c r="V114" t="inlineStr">
        <is>
          <t>Original list</t>
        </is>
      </c>
      <c r="W114" s="42" t="inlineStr">
        <is>
          <t>3 — Partnership</t>
        </is>
      </c>
      <c r="X114" t="inlineStr">
        <is>
          <t>Mollusk</t>
        </is>
      </c>
      <c r="Y114" t="inlineStr">
        <is>
          <t>Habitat &amp; Biodiversity</t>
        </is>
      </c>
      <c r="Z114" t="inlineStr">
        <is>
          <t>H&amp;B 1.3.1 — Benthic infauna</t>
        </is>
      </c>
      <c r="AA114" t="inlineStr">
        <is>
          <t>Temperate Atlantic</t>
        </is>
      </c>
      <c r="AB114" t="inlineStr">
        <is>
          <t>Blue mussel (Mytilus edulis), Mediterranean mussel (Mytilus galloprovincialis)</t>
        </is>
      </c>
      <c r="AC114" t="inlineStr">
        <is>
          <t>Mixed</t>
        </is>
      </c>
      <c r="AD114" t="inlineStr">
        <is>
          <t>Not scale-specific</t>
        </is>
      </c>
      <c r="AE114" t="inlineStr">
        <is>
          <t>Variable / seasonal</t>
        </is>
      </c>
      <c r="AF114" t="inlineStr">
        <is>
          <t>Monoculture</t>
        </is>
      </c>
      <c r="AG114" t="inlineStr">
        <is>
          <t>Sediment sampling</t>
        </is>
      </c>
      <c r="AH114" t="inlineStr">
        <is>
          <t>Not algae-specific</t>
        </is>
      </c>
      <c r="AI114" t="inlineStr">
        <is>
          <t>Not depth-specific</t>
        </is>
      </c>
      <c r="AJ114" t="inlineStr">
        <is>
          <t>Not exposure-specific</t>
        </is>
      </c>
      <c r="AK114" s="16" t="inlineStr">
        <is>
          <t>To check how your mussel culture affects the animals living in the seabed, take [3] grab or core samples (the source used box corers) at each of [3] stations under the mussels or between the rafts, [3] at the culture edge and [3] at a control area of similar depth, sediment and currents a few hundred metres away, once per season. Sieve each sample at 1 mm, fix it and have a partner lab identify, count and weigh the animals and group them by feeding type. Compare abundance, number of species, Shannon diversity and community make-up (nMDS and ANOSIM in free software) between culture, edge and control, leaving the cultured mussels out of the totals. In the source, enrichment replaced sand-dwelling worms with small opportunistic deposit feeders under both bottom beds and rafts. Effects stayed close to the culture, so keep stations near it, and on a sloping bottom match control stations depth for depth.</t>
        </is>
      </c>
      <c r="AL114" s="17" t="inlineStr">
        <is>
          <t>High</t>
        </is>
      </c>
      <c r="AM114" s="18" t="inlineStr">
        <is>
          <t>ysebaert_2009_hb131</t>
        </is>
      </c>
      <c r="AN114" s="19" t="n"/>
      <c r="AO114" s="19" t="n"/>
      <c r="AP114" s="19" t="n"/>
      <c r="AQ114" s="16" t="inlineStr">
        <is>
          <t>Benthic-infauna sampling — Mollusk</t>
        </is>
      </c>
      <c r="AR114" s="16" t="inlineStr">
        <is>
          <t>Ysebaert, Tom; Hart, Miron; Herman, Peter MJ</t>
        </is>
      </c>
      <c r="AS114" s="16" t="inlineStr">
        <is>
          <t>Strong methodological template for culture-method-comparison benthic studies (bottom vs suspended). Companion to Murray 2007 (row 79) and Crawford 2003 (row 82). North Sea / Wadden context.  |  Migration (one-indicator-per-row, 2026-09-04): split from ysebaert_2009 -&gt; {ysebaert_2009_hb131, ysebaert_2009_hb141}. This row = ysebaert_2009_hb131 (H&amp;B 1.3.1 — Benthic infauna). Candidate: AK/N/Q blanked and I/K/W/O/P provisional; per-indicator method text, tier/cost/effort and match adjudication to be finalised at generation. Combined parent I/AK/N/Q retained in v37 (pre-split).  |  [2026-10-16 method-summary pass] Full read (WUR eDepot, publisher HTML). Citation: E '1' → 'Suppl. 1' (Vol. 63, Supplement 1). S: 'Abstract + DOI metadata' → 'Full PDF'. R → 'Yes — Open access (CC BY-NC, Springer)'. AB: + Mediterranean mussel (Vigo rafts). AD → 'Not scale-specific'; AI → 'Not depth-specific' (5–34 m); AJ 'Sheltered' → 'Not exposure-specific' (Oosterschelde currents to 0.9 m/s). AG: non-vocabulary tag removed → 'Sediment sampling'. I, K: candidate-split text replaced; Match Yes. L → Partial. W: '2 — Researcher' → '3 — Partnership' (Rule 14; partner-lab sort/ID); fill → T3 pale green. N, Q, U filled; P 'Multi-season' → 'Single deployment' + detail. O: 'Medium' (never re-rated) → 'High — ~$12K' (standard infauna string, 1 mm sieve as the source). AK written; AL Low → High.  |  [2026-10-16 monitoring-methods pass] AT (Monitoring Methods) set from the protocol's method summary (AK): Benthic infauna community.</t>
        </is>
      </c>
      <c r="AT114" s="21" t="inlineStr">
        <is>
          <t>Benthic infauna community</t>
        </is>
      </c>
    </row>
    <row r="115">
      <c r="A115" s="21" t="inlineStr">
        <is>
          <t>Ysebaert, T., et al.</t>
        </is>
      </c>
      <c r="B115" s="21" t="inlineStr">
        <is>
          <t>Impacts of bottom and suspended cultures of mussels Mytilus spp. on the surrounding sedimentary environment and macrobenthic biodiversity</t>
        </is>
      </c>
      <c r="C115" s="21" t="inlineStr">
        <is>
          <t>Helgoland Marine Research</t>
        </is>
      </c>
      <c r="D115" s="21" t="n">
        <v>63</v>
      </c>
      <c r="E115" s="21" t="inlineStr">
        <is>
          <t>Suppl. 1</t>
        </is>
      </c>
      <c r="F115" s="21" t="inlineStr">
        <is>
          <t>59-74</t>
        </is>
      </c>
      <c r="G115" s="21" t="n">
        <v>2009</v>
      </c>
      <c r="H115" s="21" t="inlineStr">
        <is>
          <t>Springer</t>
        </is>
      </c>
      <c r="I115" s="21" t="inlineStr">
        <is>
          <t>Maps to H&amp;B 1.4.1 — Sediment. Same three systems and box cores: the upper 1 cm of each core (syringe, lump of three subsamples), frozen in the dark and analysed for median grain size and mud fraction (Malvern laser diffraction), particulate organic carbon and nitrogen (Carlo Erba elemental analyser), total phosphorus (ICP-OES) and chlorophyll-a and phaeopigments (HPLC). Match: Yes.</t>
        </is>
      </c>
      <c r="J115" s="21" t="inlineStr">
        <is>
          <t>Protocol</t>
        </is>
      </c>
      <c r="K115" s="21" t="inlineStr">
        <is>
          <t>Confirmed standalone (full read). Surface sediments under and around the cultures were finer and richer in POC, PON, phosphorus and phaeopigments than at the controls in all three systems (POC 2–2.5× higher in Limfjorden, ~20× in the Oosterschelde), with effects very local — adequate for H&amp;B 1.4.1 on organic content; oxygen, redox and sulphide were not measured.</t>
        </is>
      </c>
      <c r="L115" s="21" t="inlineStr">
        <is>
          <t>Partial — taking the top centimetre from a grab or core is farmer-doable; organic carbon and nitrogen, grain size, phosphorus and pigments need a partner lab.</t>
        </is>
      </c>
      <c r="M115" s="21" t="inlineStr">
        <is>
          <t>Yes</t>
        </is>
      </c>
      <c r="N115" s="21" t="inlineStr">
        <is>
          <t>Box corers (0.0117, 0.0774 and 0.019 m² surface area by system); 1 cm syringe subsamples from the core surface (lump of three), frozen in the dark; Malvern Mastersizer laser diffraction; Carlo Erba NA-1500 elemental analyser (POC, PON); Perkin Elmer Optima 3300DV ICP-OES (P); 90% acetone extraction and HPLC (chl a, phaeophytin a, phaeophorbide a).</t>
        </is>
      </c>
      <c r="O115" s="21" t="inlineStr">
        <is>
          <t>Medium — ~$3.2K yr 1: $1.62K start-up (Petite Ponar grab $1.57K [list]; grab line $50 [est]) + $1.59K/yr (sediment TOC 24 × $34 [lab fee]; grain size 24 × $30 [lab fee]; sample jars $50 [est])</t>
        </is>
      </c>
      <c r="P115" s="21" t="inlineStr">
        <is>
          <t>Single deployment (hours to 1 day) — one survey per system: Limfjorden 1 Jun 2003, Oosterschelde 28 Apr 2004, Ria de Vigo 28 Jul 2004</t>
        </is>
      </c>
      <c r="Q115" s="21" t="inlineStr">
        <is>
          <t>Student's t-tests mussel vs control within each system (Levene's and Kolmogorov–Smirnov checks); Ria de Vigo parameters regressed against depth for mussel and reference transects.</t>
        </is>
      </c>
      <c r="R115" s="21" t="inlineStr">
        <is>
          <t>Yes — Open access (CC BY-NC, Springer)</t>
        </is>
      </c>
      <c r="S115" s="21" t="inlineStr">
        <is>
          <t>Full PDF</t>
        </is>
      </c>
      <c r="T115" s="21" t="inlineStr">
        <is>
          <t>https://doi.org/10.1007/s10152-008-0136-5</t>
        </is>
      </c>
      <c r="U115" s="21" t="inlineStr">
        <is>
          <t>One mussel site and one control per system, each sampled once (pseudoreplicated, as the authors acknowledge). The Limfjorden site is a dredged wild mussel bed rather than seeded culture; the Ria de Vigo transects run down a 12–34 m depth gradient that also changes the sediment. Core sizes differed among systems, so cross-system comparisons are qualitative; effects were very local.</t>
        </is>
      </c>
      <c r="V115" s="21" t="inlineStr">
        <is>
          <t>Original list</t>
        </is>
      </c>
      <c r="W115" s="41" t="inlineStr">
        <is>
          <t>3 — Partnership</t>
        </is>
      </c>
      <c r="X115" s="21" t="inlineStr">
        <is>
          <t>Mollusk</t>
        </is>
      </c>
      <c r="Y115" s="21" t="inlineStr">
        <is>
          <t>Habitat &amp; Biodiversity</t>
        </is>
      </c>
      <c r="Z115" s="21" t="inlineStr">
        <is>
          <t>H&amp;B 1.4.1 — Sediment</t>
        </is>
      </c>
      <c r="AA115" s="21" t="inlineStr">
        <is>
          <t>Temperate Atlantic</t>
        </is>
      </c>
      <c r="AB115" s="21" t="inlineStr">
        <is>
          <t>Blue mussel (Mytilus edulis), Mediterranean mussel (Mytilus galloprovincialis)</t>
        </is>
      </c>
      <c r="AC115" s="21" t="inlineStr">
        <is>
          <t>Mixed</t>
        </is>
      </c>
      <c r="AD115" s="21" t="inlineStr">
        <is>
          <t>Not scale-specific</t>
        </is>
      </c>
      <c r="AE115" s="21" t="inlineStr">
        <is>
          <t>Variable / seasonal</t>
        </is>
      </c>
      <c r="AF115" s="21" t="inlineStr">
        <is>
          <t>Monoculture</t>
        </is>
      </c>
      <c r="AG115" s="21" t="inlineStr">
        <is>
          <t>Sediment sampling</t>
        </is>
      </c>
      <c r="AH115" s="21" t="inlineStr">
        <is>
          <t>Not algae-specific</t>
        </is>
      </c>
      <c r="AI115" s="21" t="inlineStr">
        <is>
          <t>Not depth-specific</t>
        </is>
      </c>
      <c r="AJ115" s="21" t="inlineStr">
        <is>
          <t>Not exposure-specific</t>
        </is>
      </c>
      <c r="AK115" s="16" t="inlineStr">
        <is>
          <t>To track organic enrichment of the seabed under your mussel culture, take a grab or core at [3] stations under the mussels or between the rafts, [3] at the culture edge and [3] at each of [2] reference areas of similar depth, sediment and currents a few hundred metres away, twice a year including late summer. Scoop the top 1 cm with a cut-off syringe, pooling three scoops per sample, freeze it in the dark and send it to a partner lab for organic carbon and nitrogen and grain size; phosphorus and phaeopigments (chlorophyll breakdown products from mussel faeces) are useful extras. Finer, muddier sediment with more organic carbon than at the references signals biodeposition. The source used one control per system and found effects confined close to the culture; on sloping bottoms compare stations at the same depth. A redox or sulphide reading would round out the Framework's sediment profile.</t>
        </is>
      </c>
      <c r="AL115" s="17" t="inlineStr">
        <is>
          <t>High</t>
        </is>
      </c>
      <c r="AM115" s="18" t="inlineStr">
        <is>
          <t>ysebaert_2009_hb141</t>
        </is>
      </c>
      <c r="AN115" s="19" t="n"/>
      <c r="AO115" s="19" t="n"/>
      <c r="AP115" s="19" t="n"/>
      <c r="AQ115" s="16" t="inlineStr">
        <is>
          <t>Sediment-condition monitoring — Mollusk</t>
        </is>
      </c>
      <c r="AR115" s="16" t="inlineStr">
        <is>
          <t>Ysebaert, Tom; Hart, Miron; Herman, Peter MJ</t>
        </is>
      </c>
      <c r="AS115" s="16" t="inlineStr">
        <is>
          <t>Strong methodological template for culture-method-comparison benthic studies (bottom vs suspended). Companion to Murray 2007 (row 79) and Crawford 2003 (row 82). North Sea / Wadden context.  |  Migration (one-indicator-per-row, 2026-09-04): split from ysebaert_2009 -&gt; {ysebaert_2009_hb131, ysebaert_2009_hb141}. This row = ysebaert_2009_hb141 (H&amp;B 1.4.1 — Sediment). Candidate: AK/N/Q blanked and I/K/W/O/P provisional; per-indicator method text, tier/cost/effort and match adjudication to be finalised at generation. Combined parent I/AK/N/Q retained in v37 (pre-split).  |  [2026-10-16 method-summary pass] Full read (WUR eDepot, publisher HTML). Citation: E '1' → 'Suppl. 1'. S → 'Full PDF'. R → 'Yes — Open access (CC BY-NC, Springer)'. AB: + Mediterranean mussel. AD, AI, AJ, AG as hb131. I, K: candidate-split text replaced; Match Yes (organic content; no redox or sulphide). L → Partial. W: '2 — Researcher' → '3 — Partnership' (Rule 14; partner-lab POC/PON + grain size); fill → T3 pale green. N, Q, U filled; P → 'Single deployment' + detail. O: 'Medium' (never re-rated) → 'Medium — ~$3.2K' (Rule 15: Mol H&amp;B 1.4.1, 24 samples; CHN priced as TOC + grain size, as grant_1995_hb141; P and pigments not priced). AK written; AL Low → High.  |  [2026-10-16 monitoring-methods pass] AT (Monitoring Methods) set from the protocol's method summary (AK): Chlorophyll-a (water), Grain size / particle size, Sediment chemistry (OC / TN / redox / AVS), Biodeposition traps, Sediment-profile imaging (SPI).</t>
        </is>
      </c>
      <c r="AT115" s="21" t="inlineStr">
        <is>
          <t>Chlorophyll-a (water), Grain size / particle size, Sediment chemistry (OC / TN / redox / AVS), Biodeposition traps, Sediment-profile imaging (SPI)</t>
        </is>
      </c>
    </row>
    <row r="116">
      <c r="A116" t="inlineStr">
        <is>
          <t>D'Amours, O., et al.</t>
        </is>
      </c>
      <c r="B116" t="inlineStr">
        <is>
          <t>Local enhancement of epibenthic macrofauna by aquaculture activities</t>
        </is>
      </c>
      <c r="C116" t="inlineStr">
        <is>
          <t>Marine Ecology Progress Series</t>
        </is>
      </c>
      <c r="D116" t="n">
        <v>371</v>
      </c>
      <c r="F116" t="inlineStr">
        <is>
          <t>73-84</t>
        </is>
      </c>
      <c r="G116" t="n">
        <v>2008</v>
      </c>
      <c r="H116" t="inlineStr">
        <is>
          <t>Inter-Research</t>
        </is>
      </c>
      <c r="I116" t="inlineStr">
        <is>
          <t>Maps to H&amp;B 1.1.1 — Epibiota. Candidate split from parent protocol 'damours_2008' (multi-indicator source; not yet fully read for per-indicator adjudication). Standalone-candidate - match quality and robustness-guard decision to be confirmed at generation.</t>
        </is>
      </c>
      <c r="J116" t="inlineStr">
        <is>
          <t>Protocol</t>
        </is>
      </c>
      <c r="K116" t="inlineStr">
        <is>
          <t>Standalone-candidate (per-indicator adequacy to be confirmed at generation). Parent adequacy note: Yes — empirical paired-site design with replicated quantitative sampling.</t>
        </is>
      </c>
      <c r="L116" t="inlineStr">
        <is>
          <t>No — sample-based macrofauna identification requires lab.</t>
        </is>
      </c>
      <c r="M116" t="inlineStr">
        <is>
          <t>Yes</t>
        </is>
      </c>
      <c r="O116" t="inlineStr">
        <is>
          <t>Medium</t>
        </is>
      </c>
      <c r="P116" t="inlineStr">
        <is>
          <t>Multi-season (3–9 months)</t>
        </is>
      </c>
      <c r="R116" t="inlineStr">
        <is>
          <t>Yes — Free access (Inter-Research archive, open after 5 years)</t>
        </is>
      </c>
      <c r="S116" t="inlineStr">
        <is>
          <t>Full PDF</t>
        </is>
      </c>
      <c r="T116" t="inlineStr">
        <is>
          <t>https://doi.org/10.3354/meps07672</t>
        </is>
      </c>
      <c r="V116" t="inlineStr">
        <is>
          <t>Original list</t>
        </is>
      </c>
      <c r="W116" s="38" t="inlineStr">
        <is>
          <t>2 — Researcher</t>
        </is>
      </c>
      <c r="X116" t="inlineStr">
        <is>
          <t>Mollusk</t>
        </is>
      </c>
      <c r="Y116" t="inlineStr">
        <is>
          <t>Habitat &amp; Biodiversity</t>
        </is>
      </c>
      <c r="Z116" t="inlineStr">
        <is>
          <t>H&amp;B 1.1.1 — Epibiota</t>
        </is>
      </c>
      <c r="AA116" t="inlineStr">
        <is>
          <t>Temperate Atlantic</t>
        </is>
      </c>
      <c r="AB116" t="inlineStr">
        <is>
          <t>Blue mussel (Mytilus edulis)</t>
        </is>
      </c>
      <c r="AC116" t="inlineStr">
        <is>
          <t>Suspended longline (mussel)</t>
        </is>
      </c>
      <c r="AD116" t="inlineStr">
        <is>
          <t>Not site-specific</t>
        </is>
      </c>
      <c r="AE116" t="inlineStr">
        <is>
          <t>Variable / seasonal</t>
        </is>
      </c>
      <c r="AF116" t="inlineStr">
        <is>
          <t>Monoculture</t>
        </is>
      </c>
      <c r="AG116" t="inlineStr">
        <is>
          <t>Benthic infauna sampling, Visual survey</t>
        </is>
      </c>
      <c r="AH116" t="inlineStr">
        <is>
          <t>Not algae-specific</t>
        </is>
      </c>
      <c r="AI116" t="inlineStr">
        <is>
          <t>Shallow nearshore (2–10 m)</t>
        </is>
      </c>
      <c r="AJ116" t="inlineStr">
        <is>
          <t>Sheltered</t>
        </is>
      </c>
      <c r="AK116" s="16" t="n"/>
      <c r="AL116" s="17" t="inlineStr">
        <is>
          <t>Low</t>
        </is>
      </c>
      <c r="AM116" s="18" t="inlineStr">
        <is>
          <t>damours_2008_hb111</t>
        </is>
      </c>
      <c r="AN116" s="19" t="n"/>
      <c r="AO116" s="19" t="n"/>
      <c r="AP116" s="19" t="n"/>
      <c r="AQ116" s="16" t="inlineStr">
        <is>
          <t>Epibiota / fouling survey — Mollusk</t>
        </is>
      </c>
      <c r="AR116" s="16" t="inlineStr">
        <is>
          <t>D'Amours, Olivier; Archambault, Philippe; McKindsey, Christopher W; Johnson, Ladd E</t>
        </is>
      </c>
      <c r="AS116" s="16" t="inlineStr">
        <is>
          <t>Companion to McKindsey 2006 (row 58) framing of bivalve farms as artificial reefs. Quebec / Magdalen Islands mussel context highly likely (McKindsey + Archambault = DFO Quebec).  |  Migration (one-indicator-per-row, 2026-09-04): split from damours_2008 -&gt; {damours_2008_hb111, damours_2008_hb121, damours_2008_hb131}. This row = damours_2008_hb111 (H&amp;B 1.1.1 — Epibiota). Candidate: AK/N/Q blanked and I/K/W/O/P provisional; per-indicator method text, tier/cost/effort and match adjudication to be finalised at generation. Combined parent I/AK/N/Q retained in v37 (pre-split).  |  [2026-10-16 method-summary pass] Full read (Peter's PDF). R → free archive access; S → 'Full PDF'. Monitored-only: the diver transects count mobile epibenthic macrofauna (&gt; 2 cm) on the seabed in and around the farm, not organisms on the farmed mussels or lines — same grounds as the deleted bridger_2022_hb111 and mascordacabre_2024-b_hb111. Recommend delete; held (citation and S fixes only) pending Peter.</t>
        </is>
      </c>
      <c r="AT116" s="21" t="n"/>
    </row>
    <row r="117">
      <c r="A117" s="21" t="inlineStr">
        <is>
          <t>D'Amours, O., et al.</t>
        </is>
      </c>
      <c r="B117" s="21" t="inlineStr">
        <is>
          <t>Local enhancement of epibenthic macrofauna by aquaculture activities</t>
        </is>
      </c>
      <c r="C117" s="21" t="inlineStr">
        <is>
          <t>Marine Ecology Progress Series</t>
        </is>
      </c>
      <c r="D117" s="21" t="n">
        <v>371</v>
      </c>
      <c r="E117" s="21" t="n"/>
      <c r="F117" s="21" t="inlineStr">
        <is>
          <t>73-84</t>
        </is>
      </c>
      <c r="G117" s="21" t="n">
        <v>2008</v>
      </c>
      <c r="H117" s="21" t="inlineStr">
        <is>
          <t>Inter-Research</t>
        </is>
      </c>
      <c r="I117" s="21" t="inlineStr">
        <is>
          <t>Maps to H&amp;B 1.2.1 — Mobile fauna. Four suspended longline Mytilus edulis farms (9–10.5 ha; up to 14 surface longlines 100 m long and 10 m apart, socks hanging to 3–10 m; sheltered bays, 6–15 m) on the north shore of Prince Edward Island, Canada, in June (3 farms), August and November 2005: paired SCUBA divers counted epibenthic and suprabenthic macroinvertebrates and benthic fishes (&gt; 2 cm) along 50 × 2 m transects, 5–6 per location, within each farm (run across the longlines, under and between them) and at 50, 100, 500 and 2000 m outside the farm edge at similar depth; density per 100 m², taxonomic richness and Pielou evenness. Match: Yes.</t>
        </is>
      </c>
      <c r="J117" s="21" t="inlineStr">
        <is>
          <t>Protocol</t>
        </is>
      </c>
      <c r="K117" s="21" t="inlineStr">
        <is>
          <t>Confirmed standalone (full read). Diver counts showed total abundance 2–4 times higher within farms than outside in 8 of 11 farm–date combinations (seastars, rock crabs and moon snails, with lobster and winter flounder at times found only in farms), the effect confined to within 50 m of the farm — robust for H&amp;B 1.2.1; richness and evenness showed no farm effect.</t>
        </is>
      </c>
      <c r="L117" s="21" t="inlineStr">
        <is>
          <t>Yes — swimming a measured transect and counting crabs, seastars, snails and fish with a regional guide needs no lab; at the source's 6–15 m depths the counts need certified divers (snorkel only in shallow water), or a drop camera can stand in.</t>
        </is>
      </c>
      <c r="M117" s="21" t="inlineStr">
        <is>
          <t>Yes</t>
        </is>
      </c>
      <c r="N117" s="21" t="inlineStr">
        <is>
          <t>Two SCUBA divers per transect; 50 m measuring tape tied to an anchor block (transect started 10 m from the block); 2 m pole with a compass marking the transect width; underwater slates; PERMANOVA (Anderson 2001) and PRIMER v5 (SIMPER, nMDS).</t>
        </is>
      </c>
      <c r="O117" s="21" t="inlineStr">
        <is>
          <t>Low — ~$340 yr 1: $340 start-up (snorkel set $150 [est]; transect tape $40 [est]; slate + datasheets $40 [est]; fish ID guide $30 [est]; field ID kit $80 [est]) + no recurring cost</t>
        </is>
      </c>
      <c r="P117" s="21" t="inlineStr">
        <is>
          <t>Multi-season (3–9 months) — three surveys in 2005 (June, August, November), each covering the farm and four distances outside it</t>
        </is>
      </c>
      <c r="Q117" s="21" t="inlineStr">
        <is>
          <t>Three-way ANOVA (distance fixed; site and date random; 5–6 transects per cell) on total abundance, rock crab and seastar abundance, taxonomic richness and Pielou evenness, with Tukey tests; PERMANOVA (4999 permutations, Monte Carlo p where needed) on Bray–Curtis of untransformed and presence/absence data with pairwise tests; nMDS of centroids; SIMPER (PRIMER v5); taxa seen once excluded.</t>
        </is>
      </c>
      <c r="R117" s="21" t="inlineStr">
        <is>
          <t>Yes — Free access (Inter-Research archive, open after 5 years)</t>
        </is>
      </c>
      <c r="S117" s="21" t="inlineStr">
        <is>
          <t>Full PDF</t>
        </is>
      </c>
      <c r="T117" s="21" t="inlineStr">
        <is>
          <t>https://doi.org/10.3354/meps07672</t>
        </is>
      </c>
      <c r="U117" s="21" t="inlineStr">
        <is>
          <t>Visibility was 3–6 m, and small or fast taxa (sand shrimp, sticklebacks, sculpins) could not be counted reliably and were left out. Seastars made up 79% of individuals and drove the totals; harvesting at one farm in August brought a 10-fold seastar spike. Animals gathered directly under the lines and around anchor blocks rather than between lines, so transects must cross both.</t>
        </is>
      </c>
      <c r="V117" s="21" t="inlineStr">
        <is>
          <t>Original list</t>
        </is>
      </c>
      <c r="W117" s="43" t="inlineStr">
        <is>
          <t>4 — Practitioner</t>
        </is>
      </c>
      <c r="X117" s="21" t="inlineStr">
        <is>
          <t>Mollusk</t>
        </is>
      </c>
      <c r="Y117" s="21" t="inlineStr">
        <is>
          <t>Habitat &amp; Biodiversity</t>
        </is>
      </c>
      <c r="Z117" s="21" t="inlineStr">
        <is>
          <t>H&amp;B 1.2.1 — Mobile fauna</t>
        </is>
      </c>
      <c r="AA117" s="21" t="inlineStr">
        <is>
          <t>Temperate Atlantic</t>
        </is>
      </c>
      <c r="AB117" s="21" t="inlineStr">
        <is>
          <t>Blue mussel (Mytilus edulis)</t>
        </is>
      </c>
      <c r="AC117" s="21" t="inlineStr">
        <is>
          <t>Suspended longline (mussel)</t>
        </is>
      </c>
      <c r="AD117" s="21" t="inlineStr">
        <is>
          <t>Medium (1–20 ha)</t>
        </is>
      </c>
      <c r="AE117" s="21" t="inlineStr">
        <is>
          <t>Variable / seasonal</t>
        </is>
      </c>
      <c r="AF117" s="21" t="inlineStr">
        <is>
          <t>Monoculture</t>
        </is>
      </c>
      <c r="AG117" s="21" t="inlineStr">
        <is>
          <t>Visual survey</t>
        </is>
      </c>
      <c r="AH117" s="21" t="inlineStr">
        <is>
          <t>Not algae-specific</t>
        </is>
      </c>
      <c r="AI117" s="21" t="inlineStr">
        <is>
          <t>Shallow nearshore (2–10 m)</t>
        </is>
      </c>
      <c r="AJ117" s="21" t="inlineStr">
        <is>
          <t>Sheltered</t>
        </is>
      </c>
      <c r="AK117" s="16" t="inlineStr">
        <is>
          <t>To count the crabs, seastars, snails, lobsters and bottom fish using your mussel farm, have two divers (or snorkellers, where the water is shallow) swim a 50 × 2 m transect along the seabed: one unrolls a tape from a weighted anchor and holds a 2 m pole to mark the width, the other counts every animal over 2 cm by species with a regional guide. Inside the farm, run [3] transects across the longlines so they cover ground both under and between the lines, and run [3] at the farm edge, parallel to it and at the same depth, once per season; start each transect 10 m from the anchor block. Report density per 100 m², number of species and evenness, and compare farm with edge. In the source, four farms held 2–4 times more animals than ground outside, mostly seastars and rock crabs feeding on fallen mussels, and the effect faded within 50 m. Harvesting drew short-lived seastar swarms, so note husbandry dates.</t>
        </is>
      </c>
      <c r="AL117" s="17" t="inlineStr">
        <is>
          <t>High</t>
        </is>
      </c>
      <c r="AM117" s="18" t="inlineStr">
        <is>
          <t>damours_2008_hb121</t>
        </is>
      </c>
      <c r="AN117" s="19" t="n"/>
      <c r="AO117" s="19" t="n"/>
      <c r="AP117" s="19" t="n"/>
      <c r="AQ117" s="16" t="inlineStr">
        <is>
          <t>Mobile-fauna monitoring — Mollusk</t>
        </is>
      </c>
      <c r="AR117" s="16" t="inlineStr">
        <is>
          <t>D'Amours, Olivier; Archambault, Philippe; McKindsey, Christopher W; Johnson, Ladd E</t>
        </is>
      </c>
      <c r="AS117" s="16" t="inlineStr">
        <is>
          <t>Companion to McKindsey 2006 (row 58) framing of bivalve farms as artificial reefs. Quebec / Magdalen Islands mussel context highly likely (McKindsey + Archambault = DFO Quebec).  |  Migration (one-indicator-per-row, 2026-09-04): split from damours_2008 -&gt; {damours_2008_hb111, damours_2008_hb121, damours_2008_hb131}. This row = damours_2008_hb121 (H&amp;B 1.2.1 — Mobile fauna). Candidate: AK/N/Q blanked and I/K/W/O/P provisional; per-indicator method text, tier/cost/effort and match adjudication to be finalised at generation. Combined parent I/AK/N/Q retained in v37 (pre-split).  |  [2026-10-16 method-summary pass] Full read (Peter's PDF). R: 'No — Paywalled (Inter-Research)' → free archive access. S: 'Abstract + DOI metadata' → 'Full PDF'. I, K: candidate-split text replaced; Match Yes. L → Yes. W: '2 — Researcher' → '4 — Practitioner' (Rule 14; visual census with a guide, no lab, as hehre_2015 and bergman_2001); fill → T4 lime. AG: 'Benthic infauna sampling, Visual survey' → 'Visual survey'. AD 'Not site-specific' → 'Medium (1–20 ha)' (9–10.5 ha farms). N, Q, U filled; P detail. O: 'Medium' (never re-rated) → 'Low — ~$340' (Rule 15: Mol H&amp;B 1.2.1, farm + edge, seasonal, 24 transects; standard visual-census kit plus an invertebrate ID kit; SCUBA divers at 6–15 m are labour/hire and not priced; the 100–2000 m distances are above the Framework minimum). AK written; AL Low → High.  |  [2026-10-16 monitoring-methods pass] AT (Monitoring Methods) set from the protocol's method summary (AK): Visual census / belt transects.</t>
        </is>
      </c>
      <c r="AT117" s="21" t="inlineStr">
        <is>
          <t>Visual census / belt transects</t>
        </is>
      </c>
    </row>
    <row r="118">
      <c r="A118" s="21" t="inlineStr">
        <is>
          <t>D'Amours, O., et al.</t>
        </is>
      </c>
      <c r="B118" s="21" t="inlineStr">
        <is>
          <t>Local enhancement of epibenthic macrofauna by aquaculture activities</t>
        </is>
      </c>
      <c r="C118" s="21" t="inlineStr">
        <is>
          <t>Marine Ecology Progress Series</t>
        </is>
      </c>
      <c r="D118" s="21" t="n">
        <v>371</v>
      </c>
      <c r="E118" s="21" t="n"/>
      <c r="F118" s="21" t="inlineStr">
        <is>
          <t>73-84</t>
        </is>
      </c>
      <c r="G118" s="21" t="n">
        <v>2008</v>
      </c>
      <c r="H118" s="21" t="inlineStr">
        <is>
          <t>Inter-Research</t>
        </is>
      </c>
      <c r="I118" s="21" t="inlineStr">
        <is>
          <t>Maps to H&amp;B 1.3.1 — Benthic infauna. Candidate split from parent protocol 'damours_2008' (multi-indicator source; not yet fully read for per-indicator adjudication). Standalone-candidate - match quality and robustness-guard decision to be confirmed at generation.</t>
        </is>
      </c>
      <c r="J118" s="21" t="inlineStr">
        <is>
          <t>Protocol</t>
        </is>
      </c>
      <c r="K118" s="21" t="inlineStr">
        <is>
          <t>Standalone-candidate (per-indicator adequacy to be confirmed at generation). Parent adequacy note: Yes — empirical paired-site design with replicated quantitative sampling.</t>
        </is>
      </c>
      <c r="L118" s="21" t="inlineStr">
        <is>
          <t>No — sample-based macrofauna identification requires lab.</t>
        </is>
      </c>
      <c r="M118" s="21" t="inlineStr">
        <is>
          <t>Yes</t>
        </is>
      </c>
      <c r="N118" s="21" t="n"/>
      <c r="O118" s="21" t="inlineStr">
        <is>
          <t>Medium</t>
        </is>
      </c>
      <c r="P118" s="21" t="inlineStr">
        <is>
          <t>Multi-season (3–9 months)</t>
        </is>
      </c>
      <c r="Q118" s="21" t="n"/>
      <c r="R118" s="21" t="inlineStr">
        <is>
          <t>Yes — Free access (Inter-Research archive, open after 5 years)</t>
        </is>
      </c>
      <c r="S118" s="21" t="inlineStr">
        <is>
          <t>Full PDF</t>
        </is>
      </c>
      <c r="T118" s="21" t="inlineStr">
        <is>
          <t>https://doi.org/10.3354/meps07672</t>
        </is>
      </c>
      <c r="U118" s="21" t="n"/>
      <c r="V118" s="21" t="inlineStr">
        <is>
          <t>Original list</t>
        </is>
      </c>
      <c r="W118" s="39" t="inlineStr">
        <is>
          <t>2 — Researcher</t>
        </is>
      </c>
      <c r="X118" s="21" t="inlineStr">
        <is>
          <t>Mollusk</t>
        </is>
      </c>
      <c r="Y118" s="21" t="inlineStr">
        <is>
          <t>Habitat &amp; Biodiversity</t>
        </is>
      </c>
      <c r="Z118" s="21" t="inlineStr">
        <is>
          <t>H&amp;B 1.3.1 — Benthic infauna</t>
        </is>
      </c>
      <c r="AA118" s="21" t="inlineStr">
        <is>
          <t>Temperate Atlantic</t>
        </is>
      </c>
      <c r="AB118" s="21" t="inlineStr">
        <is>
          <t>Blue mussel (Mytilus edulis)</t>
        </is>
      </c>
      <c r="AC118" s="21" t="inlineStr">
        <is>
          <t>Suspended longline (mussel)</t>
        </is>
      </c>
      <c r="AD118" s="21" t="inlineStr">
        <is>
          <t>Not site-specific</t>
        </is>
      </c>
      <c r="AE118" s="21" t="inlineStr">
        <is>
          <t>Variable / seasonal</t>
        </is>
      </c>
      <c r="AF118" s="21" t="inlineStr">
        <is>
          <t>Monoculture</t>
        </is>
      </c>
      <c r="AG118" s="21" t="inlineStr">
        <is>
          <t>Benthic infauna sampling, Visual survey</t>
        </is>
      </c>
      <c r="AH118" s="21" t="inlineStr">
        <is>
          <t>Not algae-specific</t>
        </is>
      </c>
      <c r="AI118" s="21" t="inlineStr">
        <is>
          <t>Shallow nearshore (2–10 m)</t>
        </is>
      </c>
      <c r="AJ118" s="21" t="inlineStr">
        <is>
          <t>Sheltered</t>
        </is>
      </c>
      <c r="AK118" s="16" t="n"/>
      <c r="AL118" s="17" t="inlineStr">
        <is>
          <t>Low</t>
        </is>
      </c>
      <c r="AM118" s="18" t="inlineStr">
        <is>
          <t>damours_2008_hb131</t>
        </is>
      </c>
      <c r="AN118" s="19" t="n"/>
      <c r="AO118" s="19" t="n"/>
      <c r="AP118" s="19" t="n"/>
      <c r="AQ118" s="16" t="inlineStr">
        <is>
          <t>Benthic-infauna sampling — Mollusk</t>
        </is>
      </c>
      <c r="AR118" s="16" t="inlineStr">
        <is>
          <t>D'Amours, Olivier; Archambault, Philippe; McKindsey, Christopher W; Johnson, Ladd E</t>
        </is>
      </c>
      <c r="AS118" s="16" t="inlineStr">
        <is>
          <t>Companion to McKindsey 2006 (row 58) framing of bivalve farms as artificial reefs. Quebec / Magdalen Islands mussel context highly likely (McKindsey + Archambault = DFO Quebec).  |  Migration (one-indicator-per-row, 2026-09-04): split from damours_2008 -&gt; {damours_2008_hb111, damours_2008_hb121, damours_2008_hb131}. This row = damours_2008_hb131 (H&amp;B 1.3.1 — Benthic infauna). Candidate: AK/N/Q blanked and I/K/W/O/P provisional; per-indicator method text, tier/cost/effort and match adjudication to be finalised at generation. Combined parent I/AK/N/Q retained in v37 (pre-split).  |  [2026-10-16 method-summary pass] Full read (Peter's PDF). R → free archive access; S → 'Full PDF'. Monitored-only: no sediment samples were taken; the study counts visible epibenthic macrofauna and fish (&gt; 2 cm) by diver, not infauna. Recommend delete; held (citation and S fixes only) pending Peter.</t>
        </is>
      </c>
      <c r="AT118" s="21" t="n"/>
    </row>
    <row r="119">
      <c r="A119" t="inlineStr">
        <is>
          <t>Crawford, C. M., et al.</t>
        </is>
      </c>
      <c r="B119" t="inlineStr">
        <is>
          <t>Effects of shellfish farming on the benthic environment</t>
        </is>
      </c>
      <c r="C119" t="inlineStr">
        <is>
          <t>Aquaculture</t>
        </is>
      </c>
      <c r="D119" t="n">
        <v>224</v>
      </c>
      <c r="E119" t="inlineStr">
        <is>
          <t>1-4</t>
        </is>
      </c>
      <c r="F119" t="inlineStr">
        <is>
          <t>117-140</t>
        </is>
      </c>
      <c r="G119" t="n">
        <v>2003</v>
      </c>
      <c r="H119" t="inlineStr">
        <is>
          <t>Elsevier</t>
        </is>
      </c>
      <c r="I119" t="inlineStr">
        <is>
          <t>Maps to H&amp;B 1.3.1 — Benthic infauna. Three long-established subtidal longline farms in Tasmania (Port Esperance, St Helens, Eaglehawk Bay; mostly Pacific oysters with some mussels; 7.5–12 m), Jan–Feb 2000: 3 transects per farm parallel to the current with ~8–9 sites from 100 m upstream to 100 m downstream (centre, mid-farm, boundary, 50 m, 100 m); 2 diver cores (150 mm diameter, 10 cm deep) per site, sieved at 1 mm, identified to species; richness, abundance, Shannon and multivariate composition. Match: Yes.</t>
        </is>
      </c>
      <c r="J119" t="inlineStr">
        <is>
          <t>Protocol</t>
        </is>
      </c>
      <c r="K119" t="inlineStr">
        <is>
          <t>Confirmed standalone (full read). Standard core-and-sieve infauna survey across inside, boundary and outside sites; found no farm effect on infauna but clear differences between farms — adequate for H&amp;B 1.3.1.</t>
        </is>
      </c>
      <c r="L119" t="inlineStr">
        <is>
          <t>Partial — coring (by diver) or a grab from the boat and sieving are farmer-doable; sorting and species identification need a partner lab.</t>
        </is>
      </c>
      <c r="M119" t="inlineStr">
        <is>
          <t>Yes</t>
        </is>
      </c>
      <c r="N119" t="inlineStr">
        <is>
          <t>Diver-operated PVC pipe corers (150 mm diameter, 100 mm deep), 2 per site; 1 mm sieve; 4% buffered formalin, then 70% ethanol; species-level identification; PRIMER.</t>
        </is>
      </c>
      <c r="O119" t="inlineStr">
        <is>
          <t>High — ~$12K yr 1: $1.77K start-up (Petite Ponar grab $1.57K [list]; grab line $50 [est]; 1 mm sieve $150 [est]) + $10.1K/yr (infauna sort + ID 24 × $414 [lab fee]; preservative + jars $150 [est])</t>
        </is>
      </c>
      <c r="P119" t="inlineStr">
        <is>
          <t>Seasonal (1–3 months) — one summer survey per farm, Jan–Feb 2000</t>
        </is>
      </c>
      <c r="Q119" t="inlineStr">
        <is>
          <t>Species richness, abundance and Shannon per core by two-way mixed ANOVA (farm random; site group outside / boundary / inside fixed); Bray–Curtis on square-root abundances with cluster analysis, MDS, ANOSIM and SIMPER (PRIMER).</t>
        </is>
      </c>
      <c r="R119" t="inlineStr">
        <is>
          <t>Yes — accepted version on the University of Tasmania repository (Elsevier article paywalled)</t>
        </is>
      </c>
      <c r="S119" t="inlineStr">
        <is>
          <t>Full PDF</t>
        </is>
      </c>
      <c r="T119" t="inlineStr">
        <is>
          <t>https://doi.org/10.1016/S0044-8486(03)00210-2 ; https://figshare.utas.edu.au/articles/journal_contribution/Effects_of_shellfish_farming_on_the_benthic_environment/23215946</t>
        </is>
      </c>
      <c r="U119" t="inlineStr">
        <is>
          <t>Infauna did not differ inside vs outside the farms, but differed strongly between farms, so site-to-site variation dominates; the authors judged extensive monitoring of such low-density farms unnecessary. Summer-only survey.</t>
        </is>
      </c>
      <c r="V119" t="inlineStr">
        <is>
          <t>Original list</t>
        </is>
      </c>
      <c r="W119" s="42" t="inlineStr">
        <is>
          <t>3 — Partnership</t>
        </is>
      </c>
      <c r="X119" t="inlineStr">
        <is>
          <t>Mollusk</t>
        </is>
      </c>
      <c r="Y119" t="inlineStr">
        <is>
          <t>Habitat &amp; Biodiversity</t>
        </is>
      </c>
      <c r="Z119" t="inlineStr">
        <is>
          <t>H&amp;B 1.3.1 — Benthic infauna</t>
        </is>
      </c>
      <c r="AA119" t="inlineStr">
        <is>
          <t>Temperate Pacific</t>
        </is>
      </c>
      <c r="AB119" t="inlineStr">
        <is>
          <t>Pacific oyster (Crassostrea / Magallana gigas), Blue mussel (Mytilus edulis)</t>
        </is>
      </c>
      <c r="AC119" t="inlineStr">
        <is>
          <t>Mixed</t>
        </is>
      </c>
      <c r="AD119" t="inlineStr">
        <is>
          <t>Not site-specific</t>
        </is>
      </c>
      <c r="AE119" t="inlineStr">
        <is>
          <t>Variable / seasonal</t>
        </is>
      </c>
      <c r="AF119" t="inlineStr">
        <is>
          <t>Monoculture</t>
        </is>
      </c>
      <c r="AG119" t="inlineStr">
        <is>
          <t>Sediment sampling</t>
        </is>
      </c>
      <c r="AH119" t="inlineStr">
        <is>
          <t>Not algae-specific</t>
        </is>
      </c>
      <c r="AI119" t="inlineStr">
        <is>
          <t>Shallow nearshore (2–10 m)</t>
        </is>
      </c>
      <c r="AJ119" t="inlineStr">
        <is>
          <t>Sheltered</t>
        </is>
      </c>
      <c r="AK119" s="16" t="inlineStr">
        <is>
          <t>To check whether your shellfish lines are changing the animals living in the seabed beneath them, sample along [3] transects running with the current across the farm: stations under the lines at the centre and mid-farm, at the boundary, and [50 and 100 m] outside up- and down-current if you can, as the source did. At each station take [2–3] samples — a 15 cm-wide push core 10 cm deep (by diver) or a small grab from the boat — once per season, including late summer when impacts peak. Wash each sample through a 1 mm sieve, preserve what is retained, and have a partner lab sort and identify it to species. Report number of species, abundance and Shannon diversity, compare inside, boundary and outside, and look for enrichment-tolerant species such as Capitella. In the source, three long-farmed sites showed no inside–outside difference while the farms differed strongly from one another.</t>
        </is>
      </c>
      <c r="AL119" s="17" t="inlineStr">
        <is>
          <t>High</t>
        </is>
      </c>
      <c r="AM119" s="18" t="inlineStr">
        <is>
          <t>crawford_2003_hb131</t>
        </is>
      </c>
      <c r="AN119" s="19" t="n"/>
      <c r="AO119" s="19" t="n"/>
      <c r="AP119" s="19" t="n"/>
      <c r="AQ119" s="16" t="inlineStr">
        <is>
          <t>Benthic-infauna sampling — Mollusk</t>
        </is>
      </c>
      <c r="AR119" s="16" t="inlineStr">
        <is>
          <t>Crawford, Christine M; Macleod, Catriona KA; Mitchell, Iona M</t>
        </is>
      </c>
      <c r="AS119" s="16" t="inlineStr">
        <is>
          <t>Tasmanian shellfish-farm context (likely oysters and possibly mussels); confirm species mix from full PDF.  |  Migration (one-indicator-per-row, 2026-09-04): split from crawford_2003 -&gt; {crawford_2003_hb131, crawford_2003_hb141}. This row = crawford_2003_hb131 (H&amp;B 1.3.1 — Benthic infauna). Candidate: AK/N/Q blanked and I/K/W/O/P provisional; per-indicator method text, tier/cost/effort and match adjudication to be finalised at generation. Combined parent I/AK/N/Q retained in v37 (pre-split).  |  [2026-10-15 method-summary pass] Full read (University of Tasmania repository copy). R, T updated; S: 'Abstract + DOI metadata' → 'Full PDF'. I, K: candidate-split text replaced; Match Yes. L → Partial. W: '2 — Researcher' → '3 — Partnership' (Rule 14; partner-lab infauna ID); fill → T3 pale green. AG → 'Sediment sampling'. N, Q, U filled; P → Seasonal + detail. O: 'Medium' (never re-rated) → 'High — ~$12K' (Rule 15: Mol H&amp;B 1.3.1, under/within farm + edge, seasonal 4 visits, 2 locations × 4 × 3 = 24; grab + partner-lab sort/ID, as borja_2009_hb131). AK written; AL Low → High.  |  [2026-10-16 monitoring-methods pass] AT (Monitoring Methods) set from the protocol's method summary (AK): Benthic infauna community.</t>
        </is>
      </c>
      <c r="AT119" s="21" t="inlineStr">
        <is>
          <t>Benthic infauna community</t>
        </is>
      </c>
    </row>
    <row r="120">
      <c r="A120" s="21" t="inlineStr">
        <is>
          <t>Crawford, C. M., et al.</t>
        </is>
      </c>
      <c r="B120" s="21" t="inlineStr">
        <is>
          <t>Effects of shellfish farming on the benthic environment</t>
        </is>
      </c>
      <c r="C120" s="21" t="inlineStr">
        <is>
          <t>Aquaculture</t>
        </is>
      </c>
      <c r="D120" s="21" t="n">
        <v>224</v>
      </c>
      <c r="E120" s="21" t="inlineStr">
        <is>
          <t>1-4</t>
        </is>
      </c>
      <c r="F120" s="21" t="inlineStr">
        <is>
          <t>117-140</t>
        </is>
      </c>
      <c r="G120" s="21" t="n">
        <v>2003</v>
      </c>
      <c r="H120" s="21" t="inlineStr">
        <is>
          <t>Elsevier</t>
        </is>
      </c>
      <c r="I120" s="21" t="inlineStr">
        <is>
          <t>Maps to H&amp;B 1.4.1 — Sediment. Three long-established subtidal longline farms in Tasmania (Port Esperance, St Helens, Eaglehawk Bay; mostly Pacific oysters with some mussels; 7.5–12 m), Jan–Feb 2000: 3 transects per farm parallel to the current with ~8–9 sites from 100 m upstream to 100 m downstream (centre, mid-farm, boundary, 50 m, 100 m); 2 diver cores (50 mm × 240 mm) per site: redox and sulphide at 1 and 4 cm by electrode, top 2 cm for particle size (dry sieving) and organic carbon (CHNS after acid); also sediment traps (2–3 days), near-bottom turbidity and diver video transects. Match: Yes — redox, sulphide and organic carbon from inside to outside the farm.</t>
        </is>
      </c>
      <c r="J120" s="21" t="inlineStr">
        <is>
          <t>Protocol</t>
        </is>
      </c>
      <c r="K120" s="21" t="inlineStr">
        <is>
          <t>Confirmed standalone (full read). Measures the standard enrichment variables (redox, sulphide, organic C) across inside, boundary and outside sites — robust for H&amp;B 1.4.1; none differed inside vs outside, though all differed between farms.</t>
        </is>
      </c>
      <c r="L120" s="21" t="inlineStr">
        <is>
          <t>Partial — cores, redox and sulphide readings with field electrodes are farmer-doable with training; organic carbon and particle size need a partner lab.</t>
        </is>
      </c>
      <c r="M120" s="21" t="inlineStr">
        <is>
          <t>Yes</t>
        </is>
      </c>
      <c r="N120" s="21" t="inlineStr">
        <is>
          <t>Diver-collected Perspex cores (50 mm × 240 mm), 2 per site; Mettler Toledo pH/redox probe (Zobell calibration) and Cole–Parmer silver/sulphide ion-selective electrode with sulphide antioxidant buffer at 1 and 4 cm; top 2 cm frozen for dry-sieve particle size (4 mm–63 µm) and organic C (acid-treated, CHNS analyser); sediment traps (3 PVC cylinders 90 × 520 mm on a frame); Niskin bottle and HACH 2100P turbidimeter; diver Hi-8 video.</t>
        </is>
      </c>
      <c r="O120" s="21" t="inlineStr">
        <is>
          <t>Medium — ~$4.2K yr 1: $2.6K start-up (Petite Ponar grab $1.57K [list]; grab line $50 [est]; portable pH/ORP meter $760 [list]; platinum ORP electrode $220 [list]) + $1.59K/yr (sediment TOC 24 × $34 [lab fee]; grain size 24 × $30 [lab fee]; sample jars $50 [est])</t>
        </is>
      </c>
      <c r="P120" s="21" t="inlineStr">
        <is>
          <t>Seasonal (1–3 months) — one summer survey per farm, Jan–Feb 2000; traps out 2–3 days</t>
        </is>
      </c>
      <c r="Q120" s="21" t="inlineStr">
        <is>
          <t>Two-way mixed ANOVA (farm random; site group outside / boundary / inside fixed) on redox, sulphide, organic C, deposition and turbidity, with Tukey post hoc tests.</t>
        </is>
      </c>
      <c r="R120" s="21" t="inlineStr">
        <is>
          <t>Yes — accepted version on the University of Tasmania repository (Elsevier article paywalled)</t>
        </is>
      </c>
      <c r="S120" s="21" t="inlineStr">
        <is>
          <t>Full PDF</t>
        </is>
      </c>
      <c r="T120" s="21" t="inlineStr">
        <is>
          <t>https://doi.org/10.1016/S0044-8486(03)00210-2 ; https://figshare.utas.edu.au/articles/journal_contribution/Effects_of_shellfish_farming_on_the_benthic_environment/23215946</t>
        </is>
      </c>
      <c r="U120" s="21" t="inlineStr">
        <is>
          <t>Redox readings drifted as a probe aged (most Eaglehawk Bay data lost) — calibrate before each trip, cross-check probes and replace them yearly. The main seabed effect seen was fallen mussels and algae from the lines (local bacterial mats), not biodeposits.</t>
        </is>
      </c>
      <c r="V120" s="21" t="inlineStr">
        <is>
          <t>Original list</t>
        </is>
      </c>
      <c r="W120" s="41" t="inlineStr">
        <is>
          <t>3 — Partnership</t>
        </is>
      </c>
      <c r="X120" s="21" t="inlineStr">
        <is>
          <t>Mollusk</t>
        </is>
      </c>
      <c r="Y120" s="21" t="inlineStr">
        <is>
          <t>Habitat &amp; Biodiversity</t>
        </is>
      </c>
      <c r="Z120" s="21" t="inlineStr">
        <is>
          <t>H&amp;B 1.4.1 — Sediment</t>
        </is>
      </c>
      <c r="AA120" s="21" t="inlineStr">
        <is>
          <t>Temperate Pacific</t>
        </is>
      </c>
      <c r="AB120" s="21" t="inlineStr">
        <is>
          <t>Pacific oyster (Crassostrea / Magallana gigas), Blue mussel (Mytilus edulis)</t>
        </is>
      </c>
      <c r="AC120" s="21" t="inlineStr">
        <is>
          <t>Mixed</t>
        </is>
      </c>
      <c r="AD120" s="21" t="inlineStr">
        <is>
          <t>Not site-specific</t>
        </is>
      </c>
      <c r="AE120" s="21" t="inlineStr">
        <is>
          <t>Variable / seasonal</t>
        </is>
      </c>
      <c r="AF120" s="21" t="inlineStr">
        <is>
          <t>Monoculture</t>
        </is>
      </c>
      <c r="AG120" s="21" t="inlineStr">
        <is>
          <t>Sediment sampling</t>
        </is>
      </c>
      <c r="AH120" s="21" t="inlineStr">
        <is>
          <t>Not algae-specific</t>
        </is>
      </c>
      <c r="AI120" s="21" t="inlineStr">
        <is>
          <t>Shallow nearshore (2–10 m)</t>
        </is>
      </c>
      <c r="AJ120" s="21" t="inlineStr">
        <is>
          <t>Sheltered</t>
        </is>
      </c>
      <c r="AK120" s="16" t="inlineStr">
        <is>
          <t>To check for organic enrichment under your shellfish lines, take [2–3] sediment cores (about 5 cm wide; by diver, push corer, or subsampled from a grab) under the lines, at the farm boundary and at [2] reference stations [50–100 m] up- and down-current, twice a year including late summer. On deck, read redox potential (Eh) at 1 and 4 cm with a calibrated ORP probe and note colour, black layers and smell; then send the top 2 cm to a partner lab for organic carbon and particle size. A silver/sulphide electrode with antioxidant buffer adds sulphide on the same cores. Compare inside, boundary and outside: falling redox and rising sulphide and organic carbon signal enrichment. Redox probes drift as they age, so calibrate before each trip, cross-check probes and replace them yearly. In the source the main seabed effect was fallen mussels and algae from the lines, not biodeposits.</t>
        </is>
      </c>
      <c r="AL120" s="17" t="inlineStr">
        <is>
          <t>High</t>
        </is>
      </c>
      <c r="AM120" s="18" t="inlineStr">
        <is>
          <t>crawford_2003_hb141</t>
        </is>
      </c>
      <c r="AN120" s="19" t="n"/>
      <c r="AO120" s="19" t="n"/>
      <c r="AP120" s="19" t="n"/>
      <c r="AQ120" s="16" t="inlineStr">
        <is>
          <t>Sediment-condition monitoring — Mollusk</t>
        </is>
      </c>
      <c r="AR120" s="16" t="inlineStr">
        <is>
          <t>Crawford, Christine M; Macleod, Catriona KA; Mitchell, Iona M</t>
        </is>
      </c>
      <c r="AS120" s="16" t="inlineStr">
        <is>
          <t>Tasmanian shellfish-farm context (likely oysters and possibly mussels); confirm species mix from full PDF.  |  Migration (one-indicator-per-row, 2026-09-04): split from crawford_2003 -&gt; {crawford_2003_hb131, crawford_2003_hb141}. This row = crawford_2003_hb141 (H&amp;B 1.4.1 — Sediment). Candidate: AK/N/Q blanked and I/K/W/O/P provisional; per-indicator method text, tier/cost/effort and match adjudication to be finalised at generation. Combined parent I/AK/N/Q retained in v37 (pre-split).  |  [2026-10-15 method-summary pass] Full read (University of Tasmania repository copy). R, T updated; S: 'Abstract + DOI metadata' → 'Full PDF'. I, K: candidate-split text replaced; Match Yes. L → Partial. W: '2 — Researcher' → '3 — Partnership' (Rule 14; field redox, partner-lab organic C and grain size); fill → T3 pale green. AG → 'Sediment sampling'. N, Q, U filled; P → Seasonal + detail. O: 'Medium' (never re-rated) → 'Medium — ~$4.2K' (Rule 15: Mol H&amp;B 1.4.1, 2 farm strata + 2 refs, biannual, 24 samples; grab, field Eh, lab TOC + grain size as in the source; sulphide electrode optional, not costed). AK written; AL Low → High.  |  [2026-10-16 monitoring-methods pass] AT (Monitoring Methods) set from the protocol's method summary (AK): Grain size / particle size, Sediment chemistry (OC / TN / redox / AVS).</t>
        </is>
      </c>
      <c r="AT120" s="21" t="inlineStr">
        <is>
          <t>Grain size / particle size, Sediment chemistry (OC / TN / redox / AVS)</t>
        </is>
      </c>
    </row>
    <row r="121">
      <c r="A121" t="inlineStr">
        <is>
          <t>Yoo, C., et al.</t>
        </is>
      </c>
      <c r="B121" t="inlineStr">
        <is>
          <t>Mussel reefs promote taxonomic biodiversity and host a unique assemblage of mobile fauna</t>
        </is>
      </c>
      <c r="C121" t="inlineStr">
        <is>
          <t>Journal of Sea Research</t>
        </is>
      </c>
      <c r="D121" t="n">
        <v>199</v>
      </c>
      <c r="G121" t="n">
        <v>2024</v>
      </c>
      <c r="H121" t="inlineStr">
        <is>
          <t>Elsevier</t>
        </is>
      </c>
      <c r="I121" t="inlineStr">
        <is>
          <t>Empirical study documenting how mussel reefs (cultivated and/or restored) promote taxonomic biodiversity and host a distinct mobile-fauna assemblage compared to non-reef habitats. European temperate context.</t>
        </is>
      </c>
      <c r="J121" t="inlineStr">
        <is>
          <t>Reference</t>
        </is>
      </c>
      <c r="K121" t="inlineStr">
        <is>
          <t>Yes — paired reef vs non-reef community-comparison design; replicable.</t>
        </is>
      </c>
      <c r="L121" t="inlineStr">
        <is>
          <t>Partial — visual + sample-based surveys accessible to trained staff.</t>
        </is>
      </c>
      <c r="M121" t="inlineStr">
        <is>
          <t>Yes</t>
        </is>
      </c>
      <c r="N121" t="inlineStr">
        <is>
          <t>Diver/video sampling, trap sampling, sample sorting + taxonomy</t>
        </is>
      </c>
      <c r="O121" t="inlineStr">
        <is>
          <t>Medium</t>
        </is>
      </c>
      <c r="P121" t="inlineStr">
        <is>
          <t>Multi-season (3–9 months)</t>
        </is>
      </c>
      <c r="Q121" t="inlineStr">
        <is>
          <t>Diversity indices, community ordination, ANOVA</t>
        </is>
      </c>
      <c r="R121" t="inlineStr">
        <is>
          <t>No — Paywalled (Elsevier)</t>
        </is>
      </c>
      <c r="S121" t="inlineStr">
        <is>
          <t>Abstract + DOI metadata</t>
        </is>
      </c>
      <c r="T121" t="inlineStr">
        <is>
          <t>https://doi.org/10.1016/j.seares.2024.102498</t>
        </is>
      </c>
      <c r="V121" t="inlineStr">
        <is>
          <t>Original list</t>
        </is>
      </c>
      <c r="W121" s="38" t="inlineStr">
        <is>
          <t>2 — Researcher</t>
        </is>
      </c>
      <c r="X121" t="inlineStr">
        <is>
          <t>Mollusk</t>
        </is>
      </c>
      <c r="Y121" t="inlineStr">
        <is>
          <t>Habitat &amp; Biodiversity</t>
        </is>
      </c>
      <c r="Z121" t="inlineStr">
        <is>
          <t>H&amp;B 1.1.1 — Epibiota, H&amp;B 1.2.1 — Mobile fauna, H&amp;B 2.1.1 — Community composition</t>
        </is>
      </c>
      <c r="AA121" t="inlineStr">
        <is>
          <t>Temperate Atlantic</t>
        </is>
      </c>
      <c r="AB121" t="inlineStr">
        <is>
          <t>Blue mussel (Mytilus edulis)</t>
        </is>
      </c>
      <c r="AC121" t="inlineStr">
        <is>
          <t>Bottom culture</t>
        </is>
      </c>
      <c r="AD121" t="inlineStr">
        <is>
          <t>Not site-specific</t>
        </is>
      </c>
      <c r="AE121" t="inlineStr">
        <is>
          <t>Variable / seasonal</t>
        </is>
      </c>
      <c r="AF121" t="inlineStr">
        <is>
          <t>Monoculture</t>
        </is>
      </c>
      <c r="AG121" t="inlineStr">
        <is>
          <t>Visual survey, Diver/video sampling, Benthic infauna sampling</t>
        </is>
      </c>
      <c r="AH121" t="inlineStr">
        <is>
          <t>Not algae-specific</t>
        </is>
      </c>
      <c r="AI121" t="inlineStr">
        <is>
          <t>Shallow nearshore (2–10 m)</t>
        </is>
      </c>
      <c r="AJ121" t="inlineStr">
        <is>
          <t>Sheltered</t>
        </is>
      </c>
      <c r="AK121" s="16" t="inlineStr">
        <is>
          <t>This study documents how mussel reefs host a distinct, more diverse mobile-fauna assemblage than non-reef habitat, using paired reef-versus-non-reef sampling (diver/video and traps) with diversity indices and community ordination. Use it as evidence and a design template for reef biodiversity comparisons; confirm from the full text whether the reefs are cultivated, restored or natural, as that affects tagging.</t>
        </is>
      </c>
      <c r="AL121" s="17" t="inlineStr">
        <is>
          <t>Ref</t>
        </is>
      </c>
      <c r="AM121" s="18" t="inlineStr">
        <is>
          <t>yoo_2024</t>
        </is>
      </c>
      <c r="AN121" s="19" t="n"/>
      <c r="AO121" s="19" t="n"/>
      <c r="AP121" s="19" t="n"/>
      <c r="AQ121" s="16" t="inlineStr">
        <is>
          <t>Mussel-Reef Mobile-Fauna Biodiversity (Reference)</t>
        </is>
      </c>
      <c r="AR121" s="16" t="inlineStr">
        <is>
          <t>Yoo, Caitlin; Wilms, Tim JG; Stoehr, Svenja A; Lat, K; et al.</t>
        </is>
      </c>
      <c r="AS121" s="16" t="inlineStr">
        <is>
          <t>Mussel-reef framing may indicate restoration ecology context (rather than cultivated farm); confirm whether reefs are cultivated, restored, or natural from full PDF. Tag may need revision if non-cultivated.</t>
        </is>
      </c>
      <c r="AT121" s="21" t="n"/>
    </row>
    <row r="122">
      <c r="A122" t="inlineStr">
        <is>
          <t>Ferreira, J., et al.</t>
        </is>
      </c>
      <c r="B122" t="inlineStr">
        <is>
          <t>Physical-chemical parameters of seawater mollusc culture sites in Santa Catarina, Brazil</t>
        </is>
      </c>
      <c r="C122" t="inlineStr">
        <is>
          <t>Journal of Coastal Research</t>
        </is>
      </c>
      <c r="E122" t="inlineStr">
        <is>
          <t>Special Issue 39</t>
        </is>
      </c>
      <c r="F122" t="inlineStr">
        <is>
          <t>1122-1126</t>
        </is>
      </c>
      <c r="G122" t="n">
        <v>2006</v>
      </c>
      <c r="H122" t="inlineStr">
        <is>
          <t>Coastal Education and Research Foundation</t>
        </is>
      </c>
      <c r="I122" t="inlineStr">
        <is>
          <t>Reports routine physical-chemical seawater parameters (T, S, DO, nutrients, Chl-a, turbidity likely) at mollusk culture sites in Santa Catarina, Brazil (subtropical southern Brazil — major Brazilian oyster + mussel production region).</t>
        </is>
      </c>
      <c r="J122" t="inlineStr">
        <is>
          <t>Reference</t>
        </is>
      </c>
      <c r="K122" t="inlineStr">
        <is>
          <t>Partial — descriptive routine-monitoring data; reproducible but not designed to test specific impact hypothesis.</t>
        </is>
      </c>
      <c r="L122" t="inlineStr">
        <is>
          <t>Partial — multiprobe field measurements accessible; nutrient analyses require lab.</t>
        </is>
      </c>
      <c r="M122" t="inlineStr">
        <is>
          <t>Yes</t>
        </is>
      </c>
      <c r="N122" t="inlineStr">
        <is>
          <t>Multiprobe / CTD, Niskin bottles, nutrient lab kits</t>
        </is>
      </c>
      <c r="O122" t="inlineStr">
        <is>
          <t>Medium</t>
        </is>
      </c>
      <c r="P122" t="inlineStr">
        <is>
          <t>Multi-season (3–9 months)</t>
        </is>
      </c>
      <c r="Q122" t="inlineStr">
        <is>
          <t>Descriptive seasonal stats</t>
        </is>
      </c>
      <c r="R122" t="inlineStr">
        <is>
          <t>No — Paywalled (JCR)</t>
        </is>
      </c>
      <c r="S122" t="inlineStr">
        <is>
          <t>Abstract + DOI metadata</t>
        </is>
      </c>
      <c r="T122" t="inlineStr">
        <is>
          <t>https://www.jstor.org/stable/25741764</t>
        </is>
      </c>
      <c r="U122" t="inlineStr">
        <is>
          <t>Descriptive baseline monitoring; use it for expected parameter ranges in a subtropical culture setting.</t>
        </is>
      </c>
      <c r="V122" t="inlineStr">
        <is>
          <t>Original list</t>
        </is>
      </c>
      <c r="W122" s="37" t="inlineStr">
        <is>
          <t>1 — Reference</t>
        </is>
      </c>
      <c r="X122" t="inlineStr">
        <is>
          <t>Mollusk</t>
        </is>
      </c>
      <c r="Y122" t="inlineStr">
        <is>
          <t>Water Quality</t>
        </is>
      </c>
      <c r="Z122" t="inlineStr">
        <is>
          <t>WQ 1.2.1 — Dissolved oxygen, WQ 2.1.1 — Chlorophyll-a</t>
        </is>
      </c>
      <c r="AA122" t="inlineStr">
        <is>
          <t>Subtropical</t>
        </is>
      </c>
      <c r="AB122" t="inlineStr">
        <is>
          <t>Pacific oyster (Crassostrea / Magallana gigas), Brown mussel (Perna perna)</t>
        </is>
      </c>
      <c r="AC122" t="inlineStr">
        <is>
          <t>Suspended longline (mussel)</t>
        </is>
      </c>
      <c r="AD122" t="inlineStr">
        <is>
          <t>Not site-specific</t>
        </is>
      </c>
      <c r="AE122" t="inlineStr">
        <is>
          <t>Variable / seasonal</t>
        </is>
      </c>
      <c r="AF122" t="inlineStr">
        <is>
          <t>Monoculture</t>
        </is>
      </c>
      <c r="AG122" t="inlineStr">
        <is>
          <t>Water chemistry</t>
        </is>
      </c>
      <c r="AH122" t="inlineStr">
        <is>
          <t>Not algae-specific</t>
        </is>
      </c>
      <c r="AI122" t="inlineStr">
        <is>
          <t>Shallow nearshore (2–10 m)</t>
        </is>
      </c>
      <c r="AJ122" t="inlineStr">
        <is>
          <t>Sheltered</t>
        </is>
      </c>
      <c r="AK122" s="16" t="inlineStr">
        <is>
          <t>This paper reports routine seasonal physical-chemical seawater parameters (temperature, salinity, dissolved oxygen, nutrients, chlorophyll-a) at mollusc culture sites, using standard multiprobe/CTD and Niskin sampling with laboratory nutrient analysis. It is descriptive baseline monitoring rather than an impact test; use it as a reference for expected parameter ranges in a subtropical culture setting.</t>
        </is>
      </c>
      <c r="AL122" s="17" t="inlineStr">
        <is>
          <t>Ref</t>
        </is>
      </c>
      <c r="AM122" s="18" t="inlineStr">
        <is>
          <t>ferreira_2006</t>
        </is>
      </c>
      <c r="AN122" s="19" t="n"/>
      <c r="AO122" s="19" t="n"/>
      <c r="AP122" s="19" t="n"/>
      <c r="AQ122" s="16" t="inlineStr">
        <is>
          <t>Routine Physical-Chemical Monitoring at Mollusc Sites (Reference)</t>
        </is>
      </c>
      <c r="AR122" s="16" t="inlineStr">
        <is>
          <t>Ferreira, JF; Besen, K; Wormsbecher, AG; Dos Santos, RC</t>
        </is>
      </c>
      <c r="AS122" s="16" t="inlineStr">
        <is>
          <t>Brown mussel (Perna perna) and Pacific oyster (Crassostrea gigas) are the main Santa Catarina culture species. May need 'Brown mussel (Perna perna)' added to vocabulary if not present — log for v1.3.  |  [2026-10-16 monitoring-methods pass] AT (Monitoring Methods) set from the protocol's method summary (AK): Temperature / salinity, Dissolved oxygen, Dissolved nutrients (N &amp; P), Chlorophyll-a (water).</t>
        </is>
      </c>
      <c r="AT122" s="21" t="inlineStr">
        <is>
          <t>Temperature / salinity, Dissolved oxygen, Dissolved nutrients (N &amp; P), Chlorophyll-a (water)</t>
        </is>
      </c>
    </row>
    <row r="123">
      <c r="A123" t="inlineStr">
        <is>
          <t>Turner, J. S., et al.</t>
        </is>
      </c>
      <c r="B123" t="inlineStr">
        <is>
          <t>Minimal effects of oyster aquaculture on local water quality: Examples from southern Chesapeake Bay</t>
        </is>
      </c>
      <c r="C123" t="inlineStr">
        <is>
          <t>PLoS One</t>
        </is>
      </c>
      <c r="D123" t="n">
        <v>14</v>
      </c>
      <c r="E123" t="inlineStr">
        <is>
          <t>11</t>
        </is>
      </c>
      <c r="F123" t="inlineStr">
        <is>
          <t>e0224768</t>
        </is>
      </c>
      <c r="G123" t="n">
        <v>2019</v>
      </c>
      <c r="H123" t="inlineStr">
        <is>
          <t>Public Library of Science</t>
        </is>
      </c>
      <c r="I123" t="inlineStr">
        <is>
          <t>Maps to WQ 1.2.1 — Dissolved oxygen. Moving-vessel transects with a continuously logging sonde compare DO inside vs outside the cage footprint at four oyster farms. Match: Partial — spatial snapshots on single tides; no diurnal cycle.</t>
        </is>
      </c>
      <c r="J123" t="inlineStr">
        <is>
          <t>Protocol</t>
        </is>
      </c>
      <c r="K123" t="inlineStr">
        <is>
          <t>Confirmed standalone (full read). 10–30 transects per farm (about half crossing the farm) within the 2–4 h around peak tidal current, in summer and fall, with detrending for time of day and salinity and autocorrelation-based thinning before an inside/outside ANOVA — robust for comparing farm vs adjacent DO (Partial: one tide per visit; misses the night-time minimum).</t>
        </is>
      </c>
      <c r="L123" t="inlineStr">
        <is>
          <t>Partial — running sensor transects from a farm boat is farmer-doable; the detrending and autocorrelation-based comparison needs a research partner (no lab analyses involved).</t>
        </is>
      </c>
      <c r="M123" t="inlineStr">
        <is>
          <t>Yes</t>
        </is>
      </c>
      <c r="N123" t="inlineStr">
        <is>
          <t>Small boat; DO sensor logging every ~1 s (source: YSI 6600-series multiparameter sonde, also logging temperature, salinity, chlorophyll fluorescence and turbidity); GPS; ADCP for current speed (context); Ponar grab for sediment context.</t>
        </is>
      </c>
      <c r="O123" t="inlineStr">
        <is>
          <t>Low — ~$670 yr 1: $620 start-up (handheld DO meter $620 [est]) + $50/yr (DO membrane caps + electrolyte $50 [est])</t>
        </is>
      </c>
      <c r="P123" t="inlineStr">
        <is>
          <t>Multi-season (3–9 months)</t>
        </is>
      </c>
      <c r="Q123" t="inlineStr">
        <is>
          <t>Polynomial detrending against time and salinity using outside-farm data; autocorrelation (limiting-lag) subsampling; two- and three-way ANOVA (inside/outside × site × season) with Holm-Sidak post hoc tests.</t>
        </is>
      </c>
      <c r="R123" t="inlineStr">
        <is>
          <t>Yes — Open access (PLoS One CC BY)</t>
        </is>
      </c>
      <c r="S123" t="inlineStr">
        <is>
          <t>Full PDF</t>
        </is>
      </c>
      <c r="T123" t="inlineStr">
        <is>
          <t>https://doi.org/10.1371/journal.pone.0224768</t>
        </is>
      </c>
      <c r="V123" t="inlineStr">
        <is>
          <t>Original list</t>
        </is>
      </c>
      <c r="W123" s="42" t="inlineStr">
        <is>
          <t>3 — Partnership</t>
        </is>
      </c>
      <c r="X123" t="inlineStr">
        <is>
          <t>Mollusk</t>
        </is>
      </c>
      <c r="Y123" t="inlineStr">
        <is>
          <t>Water Quality</t>
        </is>
      </c>
      <c r="Z123" t="inlineStr">
        <is>
          <t>WQ 1.2.1 — Dissolved oxygen</t>
        </is>
      </c>
      <c r="AA123" t="inlineStr">
        <is>
          <t>Temperate Atlantic</t>
        </is>
      </c>
      <c r="AB123" t="inlineStr">
        <is>
          <t>Eastern oyster (Crassostrea virginica)</t>
        </is>
      </c>
      <c r="AC123" t="inlineStr">
        <is>
          <t>Mixed</t>
        </is>
      </c>
      <c r="AD123" t="inlineStr">
        <is>
          <t>Medium (1–20 ha)</t>
        </is>
      </c>
      <c r="AE123" t="inlineStr">
        <is>
          <t>Variable / seasonal</t>
        </is>
      </c>
      <c r="AF123" t="inlineStr">
        <is>
          <t>Monoculture</t>
        </is>
      </c>
      <c r="AG123" t="inlineStr">
        <is>
          <t>Water chemistry</t>
        </is>
      </c>
      <c r="AH123" t="inlineStr">
        <is>
          <t>Not algae-specific</t>
        </is>
      </c>
      <c r="AI123" t="inlineStr">
        <is>
          <t>Intertidal / very shallow (&lt; 2 m)</t>
        </is>
      </c>
      <c r="AJ123" t="inlineStr">
        <is>
          <t>Sheltered</t>
        </is>
      </c>
      <c r="AK123" s="16" t="inlineStr">
        <is>
          <t>To check whether your farm changes dissolved oxygen in the surrounding water, run a small boat slowly along [10–30] straight transects on the same tide — about half crossing the farm and half entirely outside it — with a DO sensor logging every few seconds just below the surface and a GPS recording position. Sample within the [2–4] hours around peak tidal current, once per season. Tag each reading as inside or outside the farm footprint, remove the drift caused by time of day and salinity by fitting a trend to the outside readings, thin the data so neighbouring points aren't double-counted, then compare inside and outside means. One transect survey is a snapshot of a single tide and time of day: it shows spatial differences, not the night-time oxygen low.</t>
        </is>
      </c>
      <c r="AL123" s="17" t="inlineStr">
        <is>
          <t>High</t>
        </is>
      </c>
      <c r="AM123" s="18" t="inlineStr">
        <is>
          <t>turner_2019_wq121</t>
        </is>
      </c>
      <c r="AN123" s="19" t="n"/>
      <c r="AO123" s="19" t="n"/>
      <c r="AP123" s="19" t="n"/>
      <c r="AQ123" s="16" t="inlineStr">
        <is>
          <t>Dissolved-oxygen monitoring — Mollusk</t>
        </is>
      </c>
      <c r="AR123" s="16" t="inlineStr">
        <is>
          <t>Turner, Jessica S; Kellogg, M Lisa; Massey, Grace M; Friedrichs, Carl T</t>
        </is>
      </c>
      <c r="AS123" s="16" t="inlineStr">
        <is>
          <t>Strong template for paired-site WQ monitoring around bivalve farms. WQ 1.1.1 not assigned per Rule 1a (impact-detection framing, not bioextraction quantification); confirm tissue × biomass × area calc presence from full PDF.  |  Migration (one-indicator-per-row, 2026-09-04): split from turner_2019 -&gt; {turner_2019_wq121, turner_2019_wq211}. This row = turner_2019_wq121 (WQ 1.2.1 — Dissolved oxygen). Candidate: AK/N/Q blanked and I/K/W/O/P provisional; per-indicator method text, tier/cost/effort and match adjudication to be finalised at generation. Combined parent I/AK/N/Q retained in v37 (pre-split).  |  [2026-10-13 method-summary pass] S: 'Abstract + DOI metadata' → 'Full PDF' (public copy via NSF PAR). I, K: candidate-split text replaced after full read (prior: 'Maps to WQ 1.2.1 — Dissolved oxygen. Candidate split…' / 'Standalone-candidate… Parent adequacy note: Yes — multi-site replicated paired-site WQ monitoring…'). L: 'Partial — multiprobe accessible; nutrient + lab analyses require expertise.' → no nutrient or lab analyses in the source; the partner step is the statistics. N, Q: blank → filled. AC: 'Bottom culture' → 'Mixed' (two floating-cage, two bottom-cage farms). AI: 'Shallow nearshore (2–10 m)' → 'Intertidal / very shallow (&lt; 2 m)' (mean depth ~1 m, 0.5–2 m). O: 'Medium' → Low; Rule 15 basis: Mol WQ 1.2.1 farm + 2 adjacent non-farm refs; seasonal + diurnal, one fixed-time survey per visit (diurnal clause) = 4 visits; one handheld meter covers all transects (hand DO meter precedent, baggett_wq121). Full read confirms no tissue × biomass bioextraction calculation (WQ 1.1.1 correctly not assigned). AK written; AL High (unchanged).  |  [2026-10-16 monitoring-methods pass] AT (Monitoring Methods) set from the protocol's method summary (AK): Temperature / salinity, Dissolved oxygen, Continuous moored sensors.</t>
        </is>
      </c>
      <c r="AT123" s="21" t="inlineStr">
        <is>
          <t>Temperature / salinity, Dissolved oxygen, Continuous moored sensors</t>
        </is>
      </c>
    </row>
    <row r="124">
      <c r="A124" s="21" t="inlineStr">
        <is>
          <t>Turner, J. S., et al.</t>
        </is>
      </c>
      <c r="B124" s="21" t="inlineStr">
        <is>
          <t>Minimal effects of oyster aquaculture on local water quality: Examples from southern Chesapeake Bay</t>
        </is>
      </c>
      <c r="C124" s="21" t="inlineStr">
        <is>
          <t>PLoS One</t>
        </is>
      </c>
      <c r="D124" s="21" t="n">
        <v>14</v>
      </c>
      <c r="E124" s="21" t="inlineStr">
        <is>
          <t>11</t>
        </is>
      </c>
      <c r="F124" s="21" t="inlineStr">
        <is>
          <t>e0224768</t>
        </is>
      </c>
      <c r="G124" s="21" t="n">
        <v>2019</v>
      </c>
      <c r="H124" s="21" t="inlineStr">
        <is>
          <t>Public Library of Science</t>
        </is>
      </c>
      <c r="I124" s="21" t="inlineStr">
        <is>
          <t>Maps to WQ 2.1.1 — Chlorophyll-a. The same moving-vessel transects with sonde chlorophyll fluorescence inside vs outside the cage footprint. Match: Partial — in vivo fluorescence (an uncalibrated proxy for chlorophyll-a) on single-tide snapshots.</t>
        </is>
      </c>
      <c r="J124" s="21" t="inlineStr">
        <is>
          <t>Protocol</t>
        </is>
      </c>
      <c r="K124" s="21" t="inlineStr">
        <is>
          <t>Confirmed standalone (full read). Chlorophyll fluorescence logged along transects through and beside four farms in summer and fall, detrended and thinned before an inside/outside ANOVA — robust for comparing farm vs adjacent chlorophyll (Partial: fluorescence not calibrated against extracted chlorophyll-a).</t>
        </is>
      </c>
      <c r="L124" s="21" t="inlineStr">
        <is>
          <t>Partial — running a fluorescence sensor on transects is farmer-doable; the statistical comparison needs a research partner; lab extraction only if absolute chlorophyll-a is needed.</t>
        </is>
      </c>
      <c r="M124" s="21" t="inlineStr">
        <is>
          <t>Yes</t>
        </is>
      </c>
      <c r="N124" s="21" t="inlineStr">
        <is>
          <t>Small boat; chlorophyll fluorescence sensor logging every ~1 s (source: YSI 6600-series sonde); GPS; optional water samples for lab chlorophyll-a calibration.</t>
        </is>
      </c>
      <c r="O124" s="21" t="inlineStr">
        <is>
          <t>Medium — ~$4.1K yr 1: $4K start-up (chlorophyll fluorescence logger $4,000 [est]) + $50/yr (logger calibration consumables $50 [est])</t>
        </is>
      </c>
      <c r="P124" s="21" t="inlineStr">
        <is>
          <t>Multi-season (3–9 months)</t>
        </is>
      </c>
      <c r="Q124" s="21" t="inlineStr">
        <is>
          <t>Polynomial detrending against time and salinity using outside-farm data; autocorrelation (limiting-lag) subsampling; two- and three-way ANOVA (inside/outside × site × season) with Holm-Sidak post hoc tests.</t>
        </is>
      </c>
      <c r="R124" s="21" t="inlineStr">
        <is>
          <t>Yes — Open access (PLoS One CC BY)</t>
        </is>
      </c>
      <c r="S124" s="21" t="inlineStr">
        <is>
          <t>Full PDF</t>
        </is>
      </c>
      <c r="T124" s="21" t="inlineStr">
        <is>
          <t>https://doi.org/10.1371/journal.pone.0224768</t>
        </is>
      </c>
      <c r="U124" s="21" t="n"/>
      <c r="V124" s="21" t="inlineStr">
        <is>
          <t>Original list</t>
        </is>
      </c>
      <c r="W124" s="41" t="inlineStr">
        <is>
          <t>3 — Partnership</t>
        </is>
      </c>
      <c r="X124" s="21" t="inlineStr">
        <is>
          <t>Mollusk</t>
        </is>
      </c>
      <c r="Y124" s="21" t="inlineStr">
        <is>
          <t>Water Quality</t>
        </is>
      </c>
      <c r="Z124" s="21" t="inlineStr">
        <is>
          <t>WQ 2.1.1 — Chlorophyll-a</t>
        </is>
      </c>
      <c r="AA124" s="21" t="inlineStr">
        <is>
          <t>Temperate Atlantic</t>
        </is>
      </c>
      <c r="AB124" s="21" t="inlineStr">
        <is>
          <t>Eastern oyster (Crassostrea virginica)</t>
        </is>
      </c>
      <c r="AC124" s="21" t="inlineStr">
        <is>
          <t>Mixed</t>
        </is>
      </c>
      <c r="AD124" s="21" t="inlineStr">
        <is>
          <t>Medium (1–20 ha)</t>
        </is>
      </c>
      <c r="AE124" s="21" t="inlineStr">
        <is>
          <t>Variable / seasonal</t>
        </is>
      </c>
      <c r="AF124" s="21" t="inlineStr">
        <is>
          <t>Monoculture</t>
        </is>
      </c>
      <c r="AG124" s="21" t="inlineStr">
        <is>
          <t>Water chemistry</t>
        </is>
      </c>
      <c r="AH124" s="21" t="inlineStr">
        <is>
          <t>Not algae-specific</t>
        </is>
      </c>
      <c r="AI124" s="21" t="inlineStr">
        <is>
          <t>Intertidal / very shallow (&lt; 2 m)</t>
        </is>
      </c>
      <c r="AJ124" s="21" t="inlineStr">
        <is>
          <t>Sheltered</t>
        </is>
      </c>
      <c r="AK124" s="16" t="inlineStr">
        <is>
          <t>To check whether your farm lowers phytoplankton in the surrounding water, carry a chlorophyll fluorescence sensor just below the surface while a small boat runs [10–30] transects across and beside the farm within the [2–4] hours around peak tidal current, logging readings every few seconds with GPS position. Repeat once per season. Label readings inside or outside the farm footprint, remove time-of-day and salinity trends using the outside readings, thin the data so neighbouring points aren't double-counted, and compare inside vs outside means. Fluorescence is a relative measure: differences between sites and seasons often swamp the farm effect, and algae shed from fouled gear can raise readings inside the farm, so take a few water samples for lab chlorophyll-a if you need absolute values.</t>
        </is>
      </c>
      <c r="AL124" s="17" t="inlineStr">
        <is>
          <t>High</t>
        </is>
      </c>
      <c r="AM124" s="18" t="inlineStr">
        <is>
          <t>turner_2019_wq211</t>
        </is>
      </c>
      <c r="AN124" s="19" t="n"/>
      <c r="AO124" s="19" t="n"/>
      <c r="AP124" s="19" t="n"/>
      <c r="AQ124" s="16" t="inlineStr">
        <is>
          <t>Chlorophyll-a monitoring — Mollusk</t>
        </is>
      </c>
      <c r="AR124" s="16" t="inlineStr">
        <is>
          <t>Turner, Jessica S; Kellogg, M Lisa; Massey, Grace M; Friedrichs, Carl T</t>
        </is>
      </c>
      <c r="AS124" s="16" t="inlineStr">
        <is>
          <t>Strong template for paired-site WQ monitoring around bivalve farms. WQ 1.1.1 not assigned per Rule 1a (impact-detection framing, not bioextraction quantification); confirm tissue × biomass × area calc presence from full PDF.  |  Migration (one-indicator-per-row, 2026-09-04): split from turner_2019 -&gt; {turner_2019_wq121, turner_2019_wq211}. This row = turner_2019_wq211 (WQ 2.1.1 — Chlorophyll-a). Candidate: AK/N/Q blanked and I/K/W/O/P provisional; per-indicator method text, tier/cost/effort and match adjudication to be finalised at generation. Combined parent I/AK/N/Q retained in v37 (pre-split).  |  [2026-10-13 method-summary pass] S: 'Abstract + DOI metadata' → 'Full PDF' (public copy via NSF PAR). I, K: candidate-split text replaced after full read (prior: 'Maps to WQ 2.1.1 — Chlorophyll-a. Candidate split…' / 'Standalone-candidate…'). L: 'Partial — multiprobe accessible; nutrient + lab analyses require expertise.' → no lab analyses in the source. N, Q: blank → filled. AC: 'Bottom culture' → 'Mixed'. AI: 'Shallow nearshore (2–10 m)' → 'Intertidal / very shallow (&lt; 2 m)'. O: 'Medium' → Medium ~$4.1K; Rule 15 basis: Mol WQ 2.1.1 farm + 2 adjacent refs; seasonal + diurnal, one fixed-time survey per visit = 4 visits; one fluorescence sensor run on transects (sensor chl-a route, but a single moving unit, no moorings). AK written; AL High (unchanged).  |  [2026-10-16 monitoring-methods pass] AT (Monitoring Methods) set from the protocol's method summary (AK): Temperature / salinity, Chlorophyll-a (water).</t>
        </is>
      </c>
      <c r="AT124" s="21" t="inlineStr">
        <is>
          <t>Temperature / salinity, Chlorophyll-a (water)</t>
        </is>
      </c>
    </row>
    <row r="125">
      <c r="A125" s="21" t="inlineStr">
        <is>
          <t>Christensen, P. B., et al.</t>
        </is>
      </c>
      <c r="B125" s="21" t="inlineStr">
        <is>
          <t>Impacts of longline mussel farming on oxygen and nitrogen dynamics and biological communities of coastal sediments</t>
        </is>
      </c>
      <c r="C125" s="21" t="inlineStr">
        <is>
          <t>Aquaculture</t>
        </is>
      </c>
      <c r="D125" s="21" t="n">
        <v>218</v>
      </c>
      <c r="E125" s="21" t="inlineStr">
        <is>
          <t>1-4</t>
        </is>
      </c>
      <c r="F125" s="21" t="inlineStr">
        <is>
          <t>567-588</t>
        </is>
      </c>
      <c r="G125" s="21" t="n">
        <v>2003</v>
      </c>
      <c r="H125" s="21" t="inlineStr">
        <is>
          <t>Elsevier</t>
        </is>
      </c>
      <c r="I125" s="21" t="inlineStr">
        <is>
          <t>Maps to WQ 1.2.1 — Dissolved oxygen. Bottom-water O₂ (Van Dorn sample) reported once per station — under a mussel line, between lines and 250 m outside the farm in Beatrix Bay, and at the Tasman Bay stations — as site descriptors for the flux study. Match: Partial — single bottom-water value per station; no seasonal or diurnal series.</t>
        </is>
      </c>
      <c r="J125" s="21" t="inlineStr">
        <is>
          <t>Protocol</t>
        </is>
      </c>
      <c r="K125" s="21" t="inlineStr">
        <is>
          <t>Confirmed standalone (full read). Gives a one-off farm vs reference bottom-water DO comparison — usable for WQ 1.2.1 only with repeated readings added (Partial).</t>
        </is>
      </c>
      <c r="L125" s="21" t="inlineStr">
        <is>
          <t>Yes — handheld DO meter readings near the bottom at fixed stations are farmer-doable.</t>
        </is>
      </c>
      <c r="M125" s="21" t="inlineStr">
        <is>
          <t>Yes</t>
        </is>
      </c>
      <c r="N125" s="21" t="inlineStr">
        <is>
          <t>Van Dorn sampler; Winkler titration. Protocol route: handheld DO meter with a weighted probe on a long cable.</t>
        </is>
      </c>
      <c r="O125" s="21" t="inlineStr">
        <is>
          <t>Low — ~$670 yr 1: $620 start-up (handheld DO meter $620 [est]) + $50/yr (DO membrane caps + electrolyte $50 [est])</t>
        </is>
      </c>
      <c r="P125" s="21" t="inlineStr">
        <is>
          <t>Single deployment (hours to 1 day) — one bottom-water sample per station</t>
        </is>
      </c>
      <c r="Q125" s="21" t="inlineStr">
        <is>
          <t>Station values reported in a site table; no statistical comparison.</t>
        </is>
      </c>
      <c r="R125" s="21" t="inlineStr">
        <is>
          <t>No — Paywalled (Elsevier)</t>
        </is>
      </c>
      <c r="S125" s="21" t="inlineStr">
        <is>
          <t>Full PDF</t>
        </is>
      </c>
      <c r="T125" s="21" t="inlineStr">
        <is>
          <t>https://doi.org/10.1016/S0044-8486(02)00587-2</t>
        </is>
      </c>
      <c r="U125" s="21" t="inlineStr">
        <is>
          <t>Not designed as a DO study (bottom water at ~19 m); the paper's oxygen measures are benthic O₂ uptake and microprofiles.</t>
        </is>
      </c>
      <c r="V125" s="21" t="inlineStr">
        <is>
          <t>Original list</t>
        </is>
      </c>
      <c r="W125" s="10" t="inlineStr">
        <is>
          <t>4 — Practitioner</t>
        </is>
      </c>
      <c r="X125" s="21" t="inlineStr">
        <is>
          <t>Mollusk</t>
        </is>
      </c>
      <c r="Y125" s="21" t="inlineStr">
        <is>
          <t>Water Quality</t>
        </is>
      </c>
      <c r="Z125" s="21" t="inlineStr">
        <is>
          <t>WQ 1.2.1 — Dissolved oxygen</t>
        </is>
      </c>
      <c r="AA125" s="21" t="inlineStr">
        <is>
          <t>Temperate Pacific</t>
        </is>
      </c>
      <c r="AB125" s="21" t="inlineStr">
        <is>
          <t>Green-lipped mussel (Perna canaliculus)</t>
        </is>
      </c>
      <c r="AC125" s="21" t="inlineStr">
        <is>
          <t>Suspended longline (mussel)</t>
        </is>
      </c>
      <c r="AD125" s="21" t="inlineStr">
        <is>
          <t>Not site-specific</t>
        </is>
      </c>
      <c r="AE125" s="21" t="inlineStr">
        <is>
          <t>Variable / seasonal</t>
        </is>
      </c>
      <c r="AF125" s="21" t="inlineStr">
        <is>
          <t>Monoculture</t>
        </is>
      </c>
      <c r="AG125" s="21" t="inlineStr">
        <is>
          <t>Water chemistry</t>
        </is>
      </c>
      <c r="AH125" s="21" t="inlineStr">
        <is>
          <t>Not algae-specific</t>
        </is>
      </c>
      <c r="AI125" s="21" t="inlineStr">
        <is>
          <t>Shallow nearshore (2–10 m)</t>
        </is>
      </c>
      <c r="AJ125" s="21" t="inlineStr">
        <is>
          <t>Sheltered</t>
        </is>
      </c>
      <c r="AK125" s="16" t="inlineStr">
        <is>
          <t>To check whether your mussel farm lowers dissolved oxygen near the seabed, lower a calibrated handheld DO meter (weighted probe on a long cable) to [1 m] above the bottom at [3] points under the lines and at [3] points at each of [2] reference stations [250 m or more] outside the farm, and read at mid-depth as well. Repeat once per season and, where you can, at dawn and mid-afternoon on the same day to catch the daily low. Report DO (mg/L and % saturation) by station and depth. The source took a single bottom-water sample per station as background for its sediment study, so the repeated readings are added here.</t>
        </is>
      </c>
      <c r="AL125" s="17" t="inlineStr">
        <is>
          <t>High</t>
        </is>
      </c>
      <c r="AM125" s="18" t="inlineStr">
        <is>
          <t>christensen_2003_wq121</t>
        </is>
      </c>
      <c r="AN125" s="19" t="n"/>
      <c r="AO125" s="19" t="n"/>
      <c r="AP125" s="19" t="n"/>
      <c r="AQ125" s="16" t="inlineStr">
        <is>
          <t>Dissolved-oxygen monitoring — Mollusk</t>
        </is>
      </c>
      <c r="AR125" s="16" t="inlineStr">
        <is>
          <t>Christensen, Peter Bondo; Glud, Ronnie N; Dalsgaard, Tage; Gillespie, P A</t>
        </is>
      </c>
      <c r="AS125" s="16" t="inlineStr">
        <is>
          <t>Companion paper to Nizzoli 2005/2006/2011 (rows 67/66/68) and Kaspar 1985 (row 65) for mussel-farm N-cycle synthesis. WQ 1.1.1 not assigned per Rule 1a (impact-detection framing); confirm from full PDF. | v1.4 refinement: Added WQ 1.1.2 (Rate of denitrification) — intact-core sediment incubations under longline mussel farming (canonical Danish methodology, Glud + Dalsgaard co-authors). Mollusc-specific indicator added in v1.4.  |  Migration (one-indicator-per-row, 2026-09-04): split from christensen_2003 -&gt; {christensen_2003_wq112, christensen_2003_wq121, christensen_2003_hb131, christensen_2003_hb141}. This row = christensen_2003_wq121 (WQ 1.2.1 — Dissolved oxygen). Candidate: AK/N/Q blanked and I/K/W/O/P provisional; per-indicator method text, tier/cost/effort and match adjudication to be finalised at generation. Combined parent I/AK/N/Q retained in v37 (pre-split).  |  [2026-10-16 method-summary pass] Full read (Peter's PDF). S: 'Abstract + DOI metadata' → 'Full PDF'. AB: 'Blue mussel' → 'Green-lipped mussel (Perna canaliculus)' (Greenshell farm); AA: 'Temperate Atlantic' → 'Temperate Pacific' (New Zealand). I, K: candidate-split text replaced. Match Partial (single bottom-water value per station). L → Yes. W: '2 — Researcher' → '4 — Practitioner' (discrete-station DO → handheld meter route, standing call); fill → T4 lime. AG → 'Water chemistry'. N, Q, U filled; P detail. O: 'Medium-High' (never re-rated) → 'Low — ~$670'. AK written; AL Med → High.  |  [2026-10-16 method-summary pass] Peter's call (2026-10-16): Partial kept.  |  [2026-10-16 monitoring-methods pass] AT (Monitoring Methods) set from the protocol's method summary (AK): Dissolved oxygen, Bivalve condition index / growth.</t>
        </is>
      </c>
      <c r="AT125" s="21" t="inlineStr">
        <is>
          <t>Dissolved oxygen, Bivalve condition index / growth</t>
        </is>
      </c>
    </row>
    <row r="126">
      <c r="A126" s="21" t="inlineStr">
        <is>
          <t>Christensen, P. B., et al.</t>
        </is>
      </c>
      <c r="B126" s="21" t="inlineStr">
        <is>
          <t>Impacts of longline mussel farming on oxygen and nitrogen dynamics and biological communities of coastal sediments</t>
        </is>
      </c>
      <c r="C126" s="21" t="inlineStr">
        <is>
          <t>Aquaculture</t>
        </is>
      </c>
      <c r="D126" s="21" t="n">
        <v>218</v>
      </c>
      <c r="E126" s="21" t="inlineStr">
        <is>
          <t>1-4</t>
        </is>
      </c>
      <c r="F126" s="21" t="inlineStr">
        <is>
          <t>567-588</t>
        </is>
      </c>
      <c r="G126" s="21" t="n">
        <v>2003</v>
      </c>
      <c r="H126" s="21" t="inlineStr">
        <is>
          <t>Elsevier</t>
        </is>
      </c>
      <c r="I126" s="21" t="inlineStr">
        <is>
          <t>Maps to H&amp;B 1.3.1 — Benthic infauna. Greenshell mussel (Perna canaliculus) longline farm in Beatrix Bay, Marlborough Sounds, New Zealand (~19 m): station B1 directly under a line, B2 midway between lines (5 m) and B3 ~250 m outside the farm, plus three unfarmed Tasman Bay stations; 5 random diver cores (0.0135 m², 100–120 mm deep) per station sieved at 0.5 mm, sorted, identified and counted. Match: Yes.</t>
        </is>
      </c>
      <c r="J126" s="21" t="inlineStr">
        <is>
          <t>Protocol</t>
        </is>
      </c>
      <c r="K126" s="21" t="inlineStr">
        <is>
          <t>Confirmed standalone (full read). Under the line the sediment was reduced with few subsurface macroinvertebrate species, against a richer community 250 m away — adequate for H&amp;B 1.3.1 (single survey, one reference).</t>
        </is>
      </c>
      <c r="L126" s="21" t="inlineStr">
        <is>
          <t>Partial — coring (by diver) or a grab from the boat and sieving are farmer-doable; sorting and species identification need a partner lab.</t>
        </is>
      </c>
      <c r="M126" s="21" t="inlineStr">
        <is>
          <t>Yes</t>
        </is>
      </c>
      <c r="N126" s="21" t="inlineStr">
        <is>
          <t>Diver-collected cores (0.0135 m², 100–120 mm deep); 0.5 mm mesh; 70% ethanol / 4% formalin; laboratory sorting and identification.</t>
        </is>
      </c>
      <c r="O126" s="21" t="inlineStr">
        <is>
          <t>High — ~$12K yr 1: $1.77K start-up (Petite Ponar grab $1.57K [list]; grab line $50 [est]; 500 µm sieve $150 [est]) + $10.1K/yr (infauna sort + ID 24 × $414 [lab fee]; preservative + jars $150 [est])</t>
        </is>
      </c>
      <c r="P126" s="21" t="inlineStr">
        <is>
          <t>Short campaign (days to 2 weeks) — one survey of each bay</t>
        </is>
      </c>
      <c r="Q126" s="21" t="inlineStr">
        <is>
          <t>Species number and abundance per station compared descriptively alongside solute fluxes and denitrification.</t>
        </is>
      </c>
      <c r="R126" s="21" t="inlineStr">
        <is>
          <t>No — Paywalled (Elsevier)</t>
        </is>
      </c>
      <c r="S126" s="21" t="inlineStr">
        <is>
          <t>Full PDF</t>
        </is>
      </c>
      <c r="T126" s="21" t="inlineStr">
        <is>
          <t>https://doi.org/10.1016/S0044-8486(02)00587-2</t>
        </is>
      </c>
      <c r="U126" s="21" t="inlineStr">
        <is>
          <t>One survey, one farm and one reference 250 m away; the Tasman Bay stations are an unfarmed prospective site, not a paired control.</t>
        </is>
      </c>
      <c r="V126" s="21" t="inlineStr">
        <is>
          <t>Original list</t>
        </is>
      </c>
      <c r="W126" s="9" t="inlineStr">
        <is>
          <t>3 — Partnership</t>
        </is>
      </c>
      <c r="X126" s="21" t="inlineStr">
        <is>
          <t>Mollusk</t>
        </is>
      </c>
      <c r="Y126" s="21" t="inlineStr">
        <is>
          <t>Habitat &amp; Biodiversity</t>
        </is>
      </c>
      <c r="Z126" s="21" t="inlineStr">
        <is>
          <t>H&amp;B 1.3.1 — Benthic infauna</t>
        </is>
      </c>
      <c r="AA126" s="21" t="inlineStr">
        <is>
          <t>Temperate Pacific</t>
        </is>
      </c>
      <c r="AB126" s="21" t="inlineStr">
        <is>
          <t>Green-lipped mussel (Perna canaliculus)</t>
        </is>
      </c>
      <c r="AC126" s="21" t="inlineStr">
        <is>
          <t>Suspended longline (mussel)</t>
        </is>
      </c>
      <c r="AD126" s="21" t="inlineStr">
        <is>
          <t>Not site-specific</t>
        </is>
      </c>
      <c r="AE126" s="21" t="inlineStr">
        <is>
          <t>Variable / seasonal</t>
        </is>
      </c>
      <c r="AF126" s="21" t="inlineStr">
        <is>
          <t>Monoculture</t>
        </is>
      </c>
      <c r="AG126" s="21" t="inlineStr">
        <is>
          <t>Sediment sampling</t>
        </is>
      </c>
      <c r="AH126" s="21" t="inlineStr">
        <is>
          <t>Not algae-specific</t>
        </is>
      </c>
      <c r="AI126" s="21" t="inlineStr">
        <is>
          <t>Shallow nearshore (2–10 m)</t>
        </is>
      </c>
      <c r="AJ126" s="21" t="inlineStr">
        <is>
          <t>Sheltered</t>
        </is>
      </c>
      <c r="AK126" s="16" t="inlineStr">
        <is>
          <t>To check how your mussel lines affect the animals living in the seabed, take [3–5] cores (about 13 cm wide, 10–12 cm deep; by diver, or small grabs from the boat) directly under a line, [3–5] midway between lines and [3–5] at each of [2] reference stations [250 m or more] outside the farm at similar depth and sediment, once per season. Wash each through a 0.5 mm sieve, preserve and have a partner lab sort, identify and count the animals; report number of species, abundance and Shannon diversity and compare stations. The source found few burrowing species under the lines, where the sediment had turned reduced and sulphidic, but a normal community 250 m away; it used one reference, so a second is added.</t>
        </is>
      </c>
      <c r="AL126" s="17" t="inlineStr">
        <is>
          <t>High</t>
        </is>
      </c>
      <c r="AM126" s="18" t="inlineStr">
        <is>
          <t>christensen_2003_hb131</t>
        </is>
      </c>
      <c r="AN126" s="19" t="n"/>
      <c r="AO126" s="19" t="n"/>
      <c r="AP126" s="19" t="n"/>
      <c r="AQ126" s="16" t="inlineStr">
        <is>
          <t>Benthic-infauna sampling — Mollusk</t>
        </is>
      </c>
      <c r="AR126" s="16" t="inlineStr">
        <is>
          <t>Christensen, Peter Bondo; Glud, Ronnie N; Dalsgaard, Tage; Gillespie, P A</t>
        </is>
      </c>
      <c r="AS126" s="16" t="inlineStr">
        <is>
          <t>Companion paper to Nizzoli 2005/2006/2011 (rows 67/66/68) and Kaspar 1985 (row 65) for mussel-farm N-cycle synthesis. WQ 1.1.1 not assigned per Rule 1a (impact-detection framing); confirm from full PDF. | v1.4 refinement: Added WQ 1.1.2 (Rate of denitrification) — intact-core sediment incubations under longline mussel farming (canonical Danish methodology, Glud + Dalsgaard co-authors). Mollusc-specific indicator added in v1.4.  |  Migration (one-indicator-per-row, 2026-09-04): split from christensen_2003 -&gt; {christensen_2003_wq112, christensen_2003_wq121, christensen_2003_hb131, christensen_2003_hb141}. This row = christensen_2003_hb131 (H&amp;B 1.3.1 — Benthic infauna). Candidate: AK/N/Q blanked and I/K/W/O/P provisional; per-indicator method text, tier/cost/effort and match adjudication to be finalised at generation. Combined parent I/AK/N/Q retained in v37 (pre-split).  |  [2026-10-16 method-summary pass] Full read (Peter's PDF). S: 'Abstract + DOI metadata' → 'Full PDF'. AB: 'Blue mussel' → 'Green-lipped mussel (Perna canaliculus)' (Greenshell farm); AA: 'Temperate Atlantic' → 'Temperate Pacific' (New Zealand). I, K: candidate-split text replaced. Match Yes. L → Partial. W: '2 — Researcher' → '3 — Partnership' (Rule 14; partner-lab sort/ID); fill → T3 pale green. AG → 'Sediment sampling'. N, Q, U filled; P detail. O: 'Medium-High' (never re-rated) → 'High — ~$12K' (Rule 15: Mol H&amp;B 1.3.1, 24 samples; grab + partner-lab sort/ID; 500 µm sieve as the source's 0.5 mm). AK written; AL Med → High.  |  [2026-10-16 monitoring-methods pass] AT (Monitoring Methods) set from the protocol's method summary (AK): Benthic infauna community.</t>
        </is>
      </c>
      <c r="AT126" s="21" t="inlineStr">
        <is>
          <t>Benthic infauna community</t>
        </is>
      </c>
    </row>
    <row r="127">
      <c r="A127" s="21" t="inlineStr">
        <is>
          <t>Christensen, P. B., et al.</t>
        </is>
      </c>
      <c r="B127" s="21" t="inlineStr">
        <is>
          <t>Impacts of longline mussel farming on oxygen and nitrogen dynamics and biological communities of coastal sediments</t>
        </is>
      </c>
      <c r="C127" s="21" t="inlineStr">
        <is>
          <t>Aquaculture</t>
        </is>
      </c>
      <c r="D127" s="21" t="n">
        <v>218</v>
      </c>
      <c r="E127" s="21" t="inlineStr">
        <is>
          <t>1-4</t>
        </is>
      </c>
      <c r="F127" s="21" t="inlineStr">
        <is>
          <t>567-588</t>
        </is>
      </c>
      <c r="G127" s="21" t="n">
        <v>2003</v>
      </c>
      <c r="H127" s="21" t="inlineStr">
        <is>
          <t>Elsevier</t>
        </is>
      </c>
      <c r="I127" s="21" t="inlineStr">
        <is>
          <t>Maps to H&amp;B 1.4.1 — Sediment. Same stations: diver cores (5.1 cm ID) for porosity, organic matter (loss on ignition, 550 °C) and C/N at 0.5 cm intervals in the top 2 cm and 1 cm intervals to 10 cm; sediment chlorophyll-a (top 5 mm, 90% acetone) and microphytobenthos counts; oxygen microprofiles (Clark microelectrodes). Match: Yes.</t>
        </is>
      </c>
      <c r="J127" s="21" t="inlineStr">
        <is>
          <t>Protocol</t>
        </is>
      </c>
      <c r="K127" s="21" t="inlineStr">
        <is>
          <t>Confirmed standalone (full read). Sediment under the line was organic-rich, reduced and sulphidic with low microalgal biomass, unlike the station 250 m away — adequate for H&amp;B 1.4.1.</t>
        </is>
      </c>
      <c r="L127" s="21" t="inlineStr">
        <is>
          <t>Partial — cores are farmer-doable (by diver or from a grab); organic matter and C/N need a partner lab; oxygen microprofiles need a research lab.</t>
        </is>
      </c>
      <c r="M127" s="21" t="inlineStr">
        <is>
          <t>Yes</t>
        </is>
      </c>
      <c r="N127" s="21" t="inlineStr">
        <is>
          <t>Diver-collected Plexiglas cores (5.1 cm ID, 25 cm); drying at 105 °C, combustion at 550 °C; RoboPrep-G+ C/N analyser; syringe cores and 90% acetone for sediment chl-a; Utermöhl chambers and inverted microscope; Clark-type O₂ microelectrodes with micromanipulator.</t>
        </is>
      </c>
      <c r="O127" s="21" t="inlineStr">
        <is>
          <t>Medium — ~$2.9K yr 1: $1.62K start-up (Petite Ponar grab $1.57K [list]; grab line $50 [est]) + $1.32K/yr (sediment LOI 24 × $19 [lab fee]; sediment TOC 24 × $34 [lab fee]; sample jars $50 [est])</t>
        </is>
      </c>
      <c r="P127" s="21" t="inlineStr">
        <is>
          <t>Short campaign (days to 2 weeks) — one survey of each bay</t>
        </is>
      </c>
      <c r="Q127" s="21" t="inlineStr">
        <is>
          <t>Depth profiles of porosity, LOI and C/N by station compared descriptively; diffusive O₂ uptake from microprofiles.</t>
        </is>
      </c>
      <c r="R127" s="21" t="inlineStr">
        <is>
          <t>No — Paywalled (Elsevier)</t>
        </is>
      </c>
      <c r="S127" s="21" t="inlineStr">
        <is>
          <t>Full PDF</t>
        </is>
      </c>
      <c r="T127" s="21" t="inlineStr">
        <is>
          <t>https://doi.org/10.1016/S0044-8486(02)00587-2</t>
        </is>
      </c>
      <c r="U127" s="21" t="inlineStr">
        <is>
          <t>One survey and one reference; microelectrode profiling is research-only.</t>
        </is>
      </c>
      <c r="V127" s="21" t="inlineStr">
        <is>
          <t>Original list</t>
        </is>
      </c>
      <c r="W127" s="9" t="inlineStr">
        <is>
          <t>3 — Partnership</t>
        </is>
      </c>
      <c r="X127" s="21" t="inlineStr">
        <is>
          <t>Mollusk</t>
        </is>
      </c>
      <c r="Y127" s="21" t="inlineStr">
        <is>
          <t>Habitat &amp; Biodiversity</t>
        </is>
      </c>
      <c r="Z127" s="21" t="inlineStr">
        <is>
          <t>H&amp;B 1.4.1 — Sediment</t>
        </is>
      </c>
      <c r="AA127" s="21" t="inlineStr">
        <is>
          <t>Temperate Pacific</t>
        </is>
      </c>
      <c r="AB127" s="21" t="inlineStr">
        <is>
          <t>Green-lipped mussel (Perna canaliculus)</t>
        </is>
      </c>
      <c r="AC127" s="21" t="inlineStr">
        <is>
          <t>Suspended longline (mussel)</t>
        </is>
      </c>
      <c r="AD127" s="21" t="inlineStr">
        <is>
          <t>Not site-specific</t>
        </is>
      </c>
      <c r="AE127" s="21" t="inlineStr">
        <is>
          <t>Variable / seasonal</t>
        </is>
      </c>
      <c r="AF127" s="21" t="inlineStr">
        <is>
          <t>Monoculture</t>
        </is>
      </c>
      <c r="AG127" s="21" t="inlineStr">
        <is>
          <t>Sediment sampling</t>
        </is>
      </c>
      <c r="AH127" s="21" t="inlineStr">
        <is>
          <t>Not algae-specific</t>
        </is>
      </c>
      <c r="AI127" s="21" t="inlineStr">
        <is>
          <t>Shallow nearshore (2–10 m)</t>
        </is>
      </c>
      <c r="AJ127" s="21" t="inlineStr">
        <is>
          <t>Sheltered</t>
        </is>
      </c>
      <c r="AK127" s="16" t="inlineStr">
        <is>
          <t>To track organic enrichment of the seabed at your mussel farm, take [3] cores (5 cm wide; by diver, or subsampled from a grab) directly under a line, midway between lines and at each of [2] reference stations [250 m or more] outside the farm, twice a year including late summer. Slice the top 2 cm off each core, note colour and smell, and send it to a partner lab for organic matter (loss on ignition) and carbon and nitrogen. Compare farm with reference: higher organic matter and black, sulphide-smelling sediment under the lines signal enrichment. The source added oxygen microprofiles and sediment chlorophyll, which need a research lab, and found that sulphide under the line also cut the sediment's nitrogen removal.</t>
        </is>
      </c>
      <c r="AL127" s="17" t="inlineStr">
        <is>
          <t>High</t>
        </is>
      </c>
      <c r="AM127" s="18" t="inlineStr">
        <is>
          <t>christensen_2003_hb141</t>
        </is>
      </c>
      <c r="AN127" s="19" t="n"/>
      <c r="AO127" s="19" t="n"/>
      <c r="AP127" s="19" t="n"/>
      <c r="AQ127" s="16" t="inlineStr">
        <is>
          <t>Sediment-condition monitoring — Mollusk</t>
        </is>
      </c>
      <c r="AR127" s="16" t="inlineStr">
        <is>
          <t>Christensen, Peter Bondo; Glud, Ronnie N; Dalsgaard, Tage; Gillespie, P A</t>
        </is>
      </c>
      <c r="AS127" s="16" t="inlineStr">
        <is>
          <t>Companion paper to Nizzoli 2005/2006/2011 (rows 67/66/68) and Kaspar 1985 (row 65) for mussel-farm N-cycle synthesis. WQ 1.1.1 not assigned per Rule 1a (impact-detection framing); confirm from full PDF. | v1.4 refinement: Added WQ 1.1.2 (Rate of denitrification) — intact-core sediment incubations under longline mussel farming (canonical Danish methodology, Glud + Dalsgaard co-authors). Mollusc-specific indicator added in v1.4.  |  Migration (one-indicator-per-row, 2026-09-04): split from christensen_2003 -&gt; {christensen_2003_wq112, christensen_2003_wq121, christensen_2003_hb131, christensen_2003_hb141}. This row = christensen_2003_hb141 (H&amp;B 1.4.1 — Sediment). Candidate: AK/N/Q blanked and I/K/W/O/P provisional; per-indicator method text, tier/cost/effort and match adjudication to be finalised at generation. Combined parent I/AK/N/Q retained in v37 (pre-split).  |  [2026-10-16 method-summary pass] Full read (Peter's PDF). S: 'Abstract + DOI metadata' → 'Full PDF'. AB: 'Blue mussel' → 'Green-lipped mussel (Perna canaliculus)' (Greenshell farm); AA: 'Temperate Atlantic' → 'Temperate Pacific' (New Zealand). I, K: candidate-split text replaced. Match Yes. L → Partial. W: '2 — Researcher' → '3 — Partnership' (Rule 14; partner-lab LOI + C/N); fill → T3 pale green. AG → 'Sediment sampling'. N, Q, U filled; P detail. O: 'Medium-High' (never re-rated) → 'Medium — ~$2.9K' (Rule 15: Mol H&amp;B 1.4.1, 24 samples; the source's analytes LOI + C/N, no grain size). AK written; AL Med → High.  |  [2026-10-16 monitoring-methods pass] AT (Monitoring Methods) set from the protocol's method summary (AK): Sediment chemistry (OC / TN / redox / AVS).</t>
        </is>
      </c>
      <c r="AT127" s="21" t="inlineStr">
        <is>
          <t>Sediment chemistry (OC / TN / redox / AVS)</t>
        </is>
      </c>
    </row>
    <row r="128">
      <c r="A128" t="inlineStr">
        <is>
          <t>Grant, J., et al.</t>
        </is>
      </c>
      <c r="B128" t="inlineStr">
        <is>
          <t>A multidisciplinary approach to evaluating impacts of shellfish aquaculture on benthic communities</t>
        </is>
      </c>
      <c r="C128" t="inlineStr">
        <is>
          <t>Estuaries</t>
        </is>
      </c>
      <c r="D128" t="n">
        <v>18</v>
      </c>
      <c r="E128" t="inlineStr">
        <is>
          <t>1A</t>
        </is>
      </c>
      <c r="F128" t="inlineStr">
        <is>
          <t>124-144</t>
        </is>
      </c>
      <c r="G128" t="n">
        <v>1995</v>
      </c>
      <c r="H128" t="inlineStr">
        <is>
          <t>Estuarine Research Federation</t>
        </is>
      </c>
      <c r="I128" t="inlineStr">
        <is>
          <t>Maps to H&amp;B 1.3.1 — Benthic infauna. Suspended mussel lease (~4,000 m², longlines in the upper 3 m, ~400 mussels m⁻²; Mytilus edulis/trossulus) in Upper South Cove, Nova Scotia (7 m) vs a reference 30 m away on similar sediment, eight two-day trips across four seasons in 1990 (winter trips under ice): 2 diver cores (11.3 cm diameter) per site per day, sieved at 500 µm after flux incubations, sorted to species and weighed (dry weight); abundance, biomass, Shannon H′, abundance–biomass comparison and clustering. Match: Yes.</t>
        </is>
      </c>
      <c r="J128" t="inlineStr">
        <is>
          <t>Protocol</t>
        </is>
      </c>
      <c r="K128" t="inlineStr">
        <is>
          <t>Confirmed standalone (full read). Seasonal core-and-sieve survey at the mussel line and a nearby reference: abundance was higher but biomass lower at the reference, molluscs drawn to fallen mussels dominated biomass under the lines, and clustering usually separated the sites — adequate for H&amp;B 1.3.1 (one nearby reference).</t>
        </is>
      </c>
      <c r="L128" t="inlineStr">
        <is>
          <t>Partial — coring (by diver) or a grab from the boat and sieving are farmer-doable; sorting and species identification need a partner lab.</t>
        </is>
      </c>
      <c r="M128" t="inlineStr">
        <is>
          <t>Yes</t>
        </is>
      </c>
      <c r="N128" t="inlineStr">
        <is>
          <t>Diver-pushed acrylic cores (11.3 cm × 30.5 cm); 500 µm sieve; 4% buffered formalin with rose bengal; dry weight at 60 °C (bivalves deshelled; gastropod tissue as 10% of shell-on dry weight).</t>
        </is>
      </c>
      <c r="O128" t="inlineStr">
        <is>
          <t>High — ~$12K yr 1: $1.77K start-up (Petite Ponar grab $1.57K [list]; grab line $50 [est]; 500 µm sieve $150 [est]) + $10.1K/yr (infauna sort + ID 24 × $414 [lab fee]; preservative + jars $150 [est])</t>
        </is>
      </c>
      <c r="P128" t="inlineStr">
        <is>
          <t>Year-long study (12 months) — eight two-day trips, Jan–Nov 1990</t>
        </is>
      </c>
      <c r="Q128" t="inlineStr">
        <is>
          <t>Two-way ANOVA (site × season) on abundance and biomass; Shannon–Wiener H′; abundance–biomass comparison (ABC); hierarchical clustering (normalised Euclidean, complete linkage; SYSTAT).</t>
        </is>
      </c>
      <c r="R128" t="inlineStr">
        <is>
          <t>No — Paywalled (Springer / ERF)</t>
        </is>
      </c>
      <c r="S128" t="inlineStr">
        <is>
          <t>Full PDF</t>
        </is>
      </c>
      <c r="T128" t="inlineStr">
        <is>
          <t>https://doi.org/10.2307/1352288</t>
        </is>
      </c>
      <c r="U128" t="inlineStr">
        <is>
          <t>Reference only 30 m from the lease and possibly within its influence; single lease in a naturally enriched, semi-enclosed cove. Effects came mostly from mussels falling off the lines, not the classic shift to small opportunists.</t>
        </is>
      </c>
      <c r="V128" t="inlineStr">
        <is>
          <t>Original list</t>
        </is>
      </c>
      <c r="W128" s="42" t="inlineStr">
        <is>
          <t>3 — Partnership</t>
        </is>
      </c>
      <c r="X128" t="inlineStr">
        <is>
          <t>Mollusk</t>
        </is>
      </c>
      <c r="Y128" t="inlineStr">
        <is>
          <t>Habitat &amp; Biodiversity</t>
        </is>
      </c>
      <c r="Z128" t="inlineStr">
        <is>
          <t>H&amp;B 1.3.1 — Benthic infauna</t>
        </is>
      </c>
      <c r="AA128" t="inlineStr">
        <is>
          <t>Temperate Atlantic</t>
        </is>
      </c>
      <c r="AB128" t="inlineStr">
        <is>
          <t>Blue mussel (Mytilus edulis)</t>
        </is>
      </c>
      <c r="AC128" t="inlineStr">
        <is>
          <t>Suspended longline (mussel)</t>
        </is>
      </c>
      <c r="AD128" t="inlineStr">
        <is>
          <t>Not site-specific</t>
        </is>
      </c>
      <c r="AE128" t="inlineStr">
        <is>
          <t>Variable / seasonal</t>
        </is>
      </c>
      <c r="AF128" t="inlineStr">
        <is>
          <t>Monoculture</t>
        </is>
      </c>
      <c r="AG128" t="inlineStr">
        <is>
          <t>Sediment sampling</t>
        </is>
      </c>
      <c r="AH128" t="inlineStr">
        <is>
          <t>Not algae-specific</t>
        </is>
      </c>
      <c r="AI128" t="inlineStr">
        <is>
          <t>Shallow nearshore (2–10 m)</t>
        </is>
      </c>
      <c r="AJ128" t="inlineStr">
        <is>
          <t>Sheltered</t>
        </is>
      </c>
      <c r="AK128" s="16" t="inlineStr">
        <is>
          <t>To check how your mussel lines affect the animals living in the seabed, take [2–4] cores (about 11 cm wide, 10–15 cm deep; by diver) or small grabs under the lines and [2–4] at the lease edge, plus samples at [2] reference stations of similar depth and sediment well outside the lease, once per season. Sieve each through a 0.5 mm mesh, preserve (formalin with rose bengal helps sorting) and have a partner lab sort to species, count and weigh the animals. Report abundance, biomass, number of species and Shannon diversity, and compare the community between stations. The source's reference lay only 30 m from the lines and may have received mussel waste, so references are placed further away here; it found mussels fallen from the lines attracted snails and other molluscs, raising biomass under the farm.</t>
        </is>
      </c>
      <c r="AL128" s="17" t="inlineStr">
        <is>
          <t>High</t>
        </is>
      </c>
      <c r="AM128" s="18" t="inlineStr">
        <is>
          <t>grant_1995_hb131</t>
        </is>
      </c>
      <c r="AN128" s="19" t="n"/>
      <c r="AO128" s="19" t="n"/>
      <c r="AP128" s="19" t="n"/>
      <c r="AQ128" s="16" t="inlineStr">
        <is>
          <t>Benthic-infauna sampling — Mollusk</t>
        </is>
      </c>
      <c r="AR128" s="16" t="inlineStr">
        <is>
          <t>Grant, J; Hatcher, A; Scott, DB; Pocklington, P; Schafer, CT; Winters, GV</t>
        </is>
      </c>
      <c r="AS128" s="16" t="inlineStr">
        <is>
          <t>Foundational 1990s mussel-farm benthic-impact paper; methodology influential for subsequent Atlantic Canada / mussel-farm studies including the Cranford 2007 (row 64) tradition.  |  Migration (one-indicator-per-row, 2026-09-04): split from grant_1995 -&gt; {grant_1995_hb131, grant_1995_hb141, grant_1995_wq121}. This row = grant_1995_hb131 (H&amp;B 1.3.1 — Benthic infauna). Candidate: AK/N/Q blanked and I/K/W/O/P provisional; per-indicator method text, tier/cost/effort and match adjudication to be finalised at generation. Combined parent I/AK/N/Q retained in v37 (pre-split).  |  [2026-10-16 method-summary pass] Full read (Peter's PDF, JSTOR scan). S: 'Abstract + DOI metadata' → 'Full PDF'. I, K: candidate-split text replaced; Match Yes. L → Partial. W: '2 — Researcher' → '3 — Partnership' (Rule 14); fill → T3 pale green. AG → 'Sediment sampling'. N, Q, U filled; P detail. O: 'Medium-High' (never re-rated) → 'High — ~$12K' (Rule 15: Mol H&amp;B 1.3.1, 24 samples; grab + partner-lab sort/ID; 500 µm sieve as the source). AK written; AL → High.  |  [2026-10-16 monitoring-methods pass] AT (Monitoring Methods) set from the protocol's method summary (AK): Benthic infauna community, Bivalve condition index / growth.</t>
        </is>
      </c>
      <c r="AT128" s="21" t="inlineStr">
        <is>
          <t>Benthic infauna community, Bivalve condition index / growth</t>
        </is>
      </c>
    </row>
    <row r="129">
      <c r="A129" s="21" t="inlineStr">
        <is>
          <t>Grant, J., et al.</t>
        </is>
      </c>
      <c r="B129" s="21" t="inlineStr">
        <is>
          <t>A multidisciplinary approach to evaluating impacts of shellfish aquaculture on benthic communities</t>
        </is>
      </c>
      <c r="C129" s="21" t="inlineStr">
        <is>
          <t>Estuaries</t>
        </is>
      </c>
      <c r="D129" s="21" t="n">
        <v>18</v>
      </c>
      <c r="E129" s="21" t="inlineStr">
        <is>
          <t>1A</t>
        </is>
      </c>
      <c r="F129" s="21" t="inlineStr">
        <is>
          <t>124-144</t>
        </is>
      </c>
      <c r="G129" s="21" t="n">
        <v>1995</v>
      </c>
      <c r="H129" s="21" t="inlineStr">
        <is>
          <t>Estuarine Research Federation</t>
        </is>
      </c>
      <c r="I129" s="21" t="inlineStr">
        <is>
          <t>Maps to H&amp;B 1.4.1 — Sediment. Same design: surface skims (upper 1 cm) for organic C and N (CHN analyser), chlorophyll-a (fluorometric), grain size and porosity; cores sectioned at 2 cm for porewater sulphate and sulphide (plus H₂S gas detection); redox profiles by platinum electrode; sedimentation with bottom-mounted tube traps (1989–1990). Match: Yes.</t>
        </is>
      </c>
      <c r="J129" s="21" t="inlineStr">
        <is>
          <t>Protocol</t>
        </is>
      </c>
      <c r="K129" s="21" t="inlineStr">
        <is>
          <t>Confirmed standalone (full read). Sedimentation under the lines was 88.7 vs 36.4 g m⁻² d⁻¹ at the reference and porewater sulphide showed more anaerobic metabolism, though surface C, N and organic matter were similar at both sites — adequate for H&amp;B 1.4.1.</t>
        </is>
      </c>
      <c r="L129" s="21" t="inlineStr">
        <is>
          <t>Partial — cores and redox readings are farmer-doable (by diver or from a grab); organic carbon, grain size and porewater chemistry need a partner lab.</t>
        </is>
      </c>
      <c r="M129" s="21" t="inlineStr">
        <is>
          <t>Yes</t>
        </is>
      </c>
      <c r="N129" s="21" t="inlineStr">
        <is>
          <t>Diver-held skim tubes (6.5 cm × 15 cm) and acrylic cores; CHN analyser (Perkin-Elmer 2400); acetone extraction and fluorometer; wet sieving and Coulter Counter; platinum redox electrode (quinhydrone calibration); centrifuged porewater and nephelometric sulphate; Industrial Scientific HMX271 H₂S detector; bottom-mounted tube sediment traps (6 cm × 60 cm).</t>
        </is>
      </c>
      <c r="O129" s="21" t="inlineStr">
        <is>
          <t>Medium — ~$4.2K yr 1: $2.6K start-up (Petite Ponar grab $1.57K [list]; grab line $50 [est]; portable pH/ORP meter $760 [list]; platinum ORP electrode $220 [list]) + $1.59K/yr (sediment TOC 24 × $34 [lab fee]; grain size 24 × $30 [lab fee]; sample jars $50 [est])</t>
        </is>
      </c>
      <c r="P129" s="21" t="inlineStr">
        <is>
          <t>Year-long study (12 months) — eight two-day trips, Jan–Nov 1990</t>
        </is>
      </c>
      <c r="Q129" s="21" t="inlineStr">
        <is>
          <t>Annual and seasonal site means; two-way ANOVA (site × season) on fluxes; porewater profiles compared descriptively.</t>
        </is>
      </c>
      <c r="R129" s="21" t="inlineStr">
        <is>
          <t>No — Paywalled (Springer / ERF)</t>
        </is>
      </c>
      <c r="S129" s="21" t="inlineStr">
        <is>
          <t>Full PDF</t>
        </is>
      </c>
      <c r="T129" s="21" t="inlineStr">
        <is>
          <t>https://doi.org/10.2307/1352288</t>
        </is>
      </c>
      <c r="U129" s="21" t="inlineStr">
        <is>
          <t>Naturally organic-rich cove (21–22% organic matter at both sites), so surface organic content did not separate farm from reference; sulphide and sedimentation did. Reference only 30 m away.</t>
        </is>
      </c>
      <c r="V129" s="21" t="inlineStr">
        <is>
          <t>Original list</t>
        </is>
      </c>
      <c r="W129" s="41" t="inlineStr">
        <is>
          <t>3 — Partnership</t>
        </is>
      </c>
      <c r="X129" s="21" t="inlineStr">
        <is>
          <t>Mollusk</t>
        </is>
      </c>
      <c r="Y129" s="21" t="inlineStr">
        <is>
          <t>Habitat &amp; Biodiversity</t>
        </is>
      </c>
      <c r="Z129" s="21" t="inlineStr">
        <is>
          <t>H&amp;B 1.4.1 — Sediment</t>
        </is>
      </c>
      <c r="AA129" s="21" t="inlineStr">
        <is>
          <t>Temperate Atlantic</t>
        </is>
      </c>
      <c r="AB129" s="21" t="inlineStr">
        <is>
          <t>Blue mussel (Mytilus edulis)</t>
        </is>
      </c>
      <c r="AC129" s="21" t="inlineStr">
        <is>
          <t>Suspended longline (mussel)</t>
        </is>
      </c>
      <c r="AD129" s="21" t="inlineStr">
        <is>
          <t>Not site-specific</t>
        </is>
      </c>
      <c r="AE129" s="21" t="inlineStr">
        <is>
          <t>Variable / seasonal</t>
        </is>
      </c>
      <c r="AF129" s="21" t="inlineStr">
        <is>
          <t>Monoculture</t>
        </is>
      </c>
      <c r="AG129" s="21" t="inlineStr">
        <is>
          <t>Sediment sampling</t>
        </is>
      </c>
      <c r="AH129" s="21" t="inlineStr">
        <is>
          <t>Not algae-specific</t>
        </is>
      </c>
      <c r="AI129" s="21" t="inlineStr">
        <is>
          <t>Shallow nearshore (2–10 m)</t>
        </is>
      </c>
      <c r="AJ129" s="21" t="inlineStr">
        <is>
          <t>Sheltered</t>
        </is>
      </c>
      <c r="AK129" s="16" t="inlineStr">
        <is>
          <t>To track organic enrichment of the seabed under your mussel lines, take short cores (by diver, or subsampled from a grab) under the lines, at the lease edge and at [2] reference stations of similar depth and sediment well outside the lease, twice a year including late summer. Read redox potential down the core with a platinum electrode on deck and note any hydrogen-sulphide smell, then send the top 1–2 cm to a partner lab for organic carbon and nitrogen and grain size. Compare farm with reference. The source also used sediment traps, porewater sulphate and sulphide and sediment chlorophyll: sedimentation under the lines was more than twice the reference, but surface organic carbon was similar at both sites in this naturally enriched cove, so a single organic-content result can miss farm effects.</t>
        </is>
      </c>
      <c r="AL129" s="17" t="inlineStr">
        <is>
          <t>High</t>
        </is>
      </c>
      <c r="AM129" s="18" t="inlineStr">
        <is>
          <t>grant_1995_hb141</t>
        </is>
      </c>
      <c r="AN129" s="19" t="n"/>
      <c r="AO129" s="19" t="n"/>
      <c r="AP129" s="19" t="n"/>
      <c r="AQ129" s="16" t="inlineStr">
        <is>
          <t>Sediment-condition monitoring — Mollusk</t>
        </is>
      </c>
      <c r="AR129" s="16" t="inlineStr">
        <is>
          <t>Grant, J; Hatcher, A; Scott, DB; Pocklington, P; Schafer, CT; Winters, GV</t>
        </is>
      </c>
      <c r="AS129" s="16" t="inlineStr">
        <is>
          <t>Foundational 1990s mussel-farm benthic-impact paper; methodology influential for subsequent Atlantic Canada / mussel-farm studies including the Cranford 2007 (row 64) tradition.  |  Migration (one-indicator-per-row, 2026-09-04): split from grant_1995 -&gt; {grant_1995_hb131, grant_1995_hb141, grant_1995_wq121}. This row = grant_1995_hb141 (H&amp;B 1.4.1 — Sediment). Candidate: AK/N/Q blanked and I/K/W/O/P provisional; per-indicator method text, tier/cost/effort and match adjudication to be finalised at generation. Combined parent I/AK/N/Q retained in v37 (pre-split).  |  [2026-10-16 method-summary pass] Full read (Peter's PDF, JSTOR scan). S: 'Abstract + DOI metadata' → 'Full PDF'. I, K: candidate-split text replaced; Match Yes. L → Partial. W: '2 — Researcher' → '3 — Partnership' (Rule 14); fill → T3 pale green. AG → 'Sediment sampling'. N, Q, U filled; P detail. O: 'Medium-High' (never re-rated) → 'Medium — ~$4.2K' (Rule 15: Mol H&amp;B 1.4.1, 24 samples; CHN as TOC fee + grain size + field redox, as crawford_2003_hb141). AK written; AL → High.  |  [2026-10-16 monitoring-methods pass] AT (Monitoring Methods) set from the protocol's method summary (AK): Grain size / particle size, Sediment chemistry (OC / TN / redox / AVS).</t>
        </is>
      </c>
      <c r="AT129" s="21" t="inlineStr">
        <is>
          <t>Grain size / particle size, Sediment chemistry (OC / TN / redox / AVS)</t>
        </is>
      </c>
    </row>
    <row r="130">
      <c r="A130" t="inlineStr">
        <is>
          <t>Souchu, P., et al.</t>
        </is>
      </c>
      <c r="B130" t="inlineStr">
        <is>
          <t>Influence of shellfish farming activities on the biogeochemical composition of the water column in Thau Lagoon</t>
        </is>
      </c>
      <c r="C130" t="inlineStr">
        <is>
          <t>Marine Ecology Progress Series</t>
        </is>
      </c>
      <c r="D130" t="n">
        <v>218</v>
      </c>
      <c r="F130" t="inlineStr">
        <is>
          <t>141-152</t>
        </is>
      </c>
      <c r="G130" t="n">
        <v>2001</v>
      </c>
      <c r="H130" t="inlineStr">
        <is>
          <t>Inter-Research</t>
        </is>
      </c>
      <c r="I130" t="inlineStr">
        <is>
          <t>Documents the influence of shellfish-farming activities on biogeochemical composition of the water column in Thau Lagoon (France) — N, P, Si nutrients, Chl-a, phytoplankton structure. Comparative farm-zone vs non-farm-zone water-column sampling.</t>
        </is>
      </c>
      <c r="J130" t="inlineStr">
        <is>
          <t>Protocol</t>
        </is>
      </c>
      <c r="K130" t="inlineStr">
        <is>
          <t>Yes — water-column biogeochemistry sampling is standard and replicable.</t>
        </is>
      </c>
      <c r="L130" t="inlineStr">
        <is>
          <t>No — nutrient + phytoplankton analyses require lab.</t>
        </is>
      </c>
      <c r="M130" t="inlineStr">
        <is>
          <t>Yes</t>
        </is>
      </c>
      <c r="N130" t="inlineStr">
        <is>
          <t>Niskin bottles, nutrient lab analysis, fluorometer / Chl-a, phytoplankton microscopy</t>
        </is>
      </c>
      <c r="O130" t="inlineStr">
        <is>
          <t>Medium</t>
        </is>
      </c>
      <c r="P130" t="inlineStr">
        <is>
          <t>Multi-season (3–9 months)</t>
        </is>
      </c>
      <c r="Q130" t="inlineStr">
        <is>
          <t>Spatial gradient analysis, descriptive comparison</t>
        </is>
      </c>
      <c r="R130" t="inlineStr">
        <is>
          <t>No — Paywalled (Inter-Research)</t>
        </is>
      </c>
      <c r="S130" t="inlineStr">
        <is>
          <t>Abstract + DOI metadata</t>
        </is>
      </c>
      <c r="T130" t="inlineStr">
        <is>
          <t>https://doi.org/10.3354/meps218141</t>
        </is>
      </c>
      <c r="V130" t="inlineStr">
        <is>
          <t>Original list</t>
        </is>
      </c>
      <c r="W130" s="7" t="inlineStr">
        <is>
          <t>2 — Researcher</t>
        </is>
      </c>
      <c r="X130" t="inlineStr">
        <is>
          <t>Mollusk</t>
        </is>
      </c>
      <c r="Y130" t="inlineStr">
        <is>
          <t>Water Quality</t>
        </is>
      </c>
      <c r="Z130" t="inlineStr">
        <is>
          <t>WQ 2.1.1 — Chlorophyll-a</t>
        </is>
      </c>
      <c r="AA130" t="inlineStr">
        <is>
          <t>Temperate Atlantic</t>
        </is>
      </c>
      <c r="AB130" t="inlineStr">
        <is>
          <t>Pacific oyster (Crassostrea / Magallana gigas)</t>
        </is>
      </c>
      <c r="AC130" t="inlineStr">
        <is>
          <t>Bottom culture</t>
        </is>
      </c>
      <c r="AD130" t="inlineStr">
        <is>
          <t>Large (&gt;20 ha)</t>
        </is>
      </c>
      <c r="AE130" t="inlineStr">
        <is>
          <t>Variable / seasonal</t>
        </is>
      </c>
      <c r="AF130" t="inlineStr">
        <is>
          <t>Monoculture</t>
        </is>
      </c>
      <c r="AG130" t="inlineStr">
        <is>
          <t>Water chemistry</t>
        </is>
      </c>
      <c r="AH130" t="inlineStr">
        <is>
          <t>Not algae-specific</t>
        </is>
      </c>
      <c r="AI130" t="inlineStr">
        <is>
          <t>Shallow nearshore (2–10 m)</t>
        </is>
      </c>
      <c r="AJ130" t="inlineStr">
        <is>
          <t>Sheltered</t>
        </is>
      </c>
      <c r="AK130" s="16" t="inlineStr">
        <is>
          <t>To document a farm's influence on water-column chemistry, sample farm-zone and non-farm-zone stations across seasons with Niskin bottles, analysing nitrogen, phosphorus and silicon nutrients and chlorophyll-a (fluorometer) and identifying phytoplankton by microscopy. Compare zones along a spatial gradient to reveal how dense oyster culture reshapes nutrient stoichiometry and phytoplankton structure.</t>
        </is>
      </c>
      <c r="AL130" s="17" t="inlineStr">
        <is>
          <t>Low</t>
        </is>
      </c>
      <c r="AM130" s="18" t="inlineStr">
        <is>
          <t>souchu_2001</t>
        </is>
      </c>
      <c r="AN130" s="19" t="n"/>
      <c r="AO130" s="19" t="n"/>
      <c r="AP130" s="19" t="n"/>
      <c r="AQ130" s="16" t="inlineStr">
        <is>
          <t>Farm Influence on Water-Column Nutrient &amp; Phytoplankton Chemistry</t>
        </is>
      </c>
      <c r="AR130" s="16" t="inlineStr">
        <is>
          <t>Souchu, Philippe; Vaquer, André; Collos, Yves; Landrein, Sébastien; Deslous-Paoli, Jean-Marc; Bibent, Bernard</t>
        </is>
      </c>
      <c r="AS130" s="16" t="inlineStr">
        <is>
          <t>Thau Lagoon Pacific-oyster (table/trestle) culture context. WQ 1.1.1 not assigned per Rule 1a (composition-influence framing); confirm bioextraction calc presence from full PDF. | v1.4 refinement: WQ 1.2.1 (Dissolved oxygen) removed — I-col confirms paper measures N/P/Si nutrients, Chl-a, and phytoplankton structure; DO is not listed among the measurements. v1.3 broad-usage WQ 1.2.1 tag narrowed to actual DO papers under v1.4. Flag for PDF confirm if needed.  |  [2026-10-16 monitoring-methods pass] AT (Monitoring Methods) set from the protocol's method summary (AK): Chlorophyll-a (water), Phytoplankton community (microscopy).</t>
        </is>
      </c>
      <c r="AT130" s="21" t="inlineStr">
        <is>
          <t>Chlorophyll-a (water), Phytoplankton community (microscopy)</t>
        </is>
      </c>
    </row>
    <row r="131">
      <c r="A131" t="inlineStr">
        <is>
          <t>Fernández-Tejedor, M., et al.</t>
        </is>
      </c>
      <c r="B131" t="inlineStr">
        <is>
          <t>Accurate estimation of Chlorophyll-a concentration in the coastal areas of the Ebro Delta (NW Mediterranean) using Sentinel-2 and -3 satellite imagery</t>
        </is>
      </c>
      <c r="C131" t="inlineStr">
        <is>
          <t>Remote Sensing</t>
        </is>
      </c>
      <c r="D131" t="n">
        <v>14</v>
      </c>
      <c r="E131" t="inlineStr">
        <is>
          <t>20</t>
        </is>
      </c>
      <c r="F131" t="inlineStr">
        <is>
          <t>5235</t>
        </is>
      </c>
      <c r="G131" t="n">
        <v>2022</v>
      </c>
      <c r="H131" t="inlineStr">
        <is>
          <t>MDPI</t>
        </is>
      </c>
      <c r="I131" t="inlineStr">
        <is>
          <t>Develops + validates remote-sensing approach for accurate Chl-a estimation in coastal areas with mussel aquaculture (Ebro Delta, NW Mediterranean). Algorithm comparison and validation against in-situ Chl-a measurements.</t>
        </is>
      </c>
      <c r="J131" t="inlineStr">
        <is>
          <t>Protocol</t>
        </is>
      </c>
      <c r="K131" t="inlineStr">
        <is>
          <t>Yes — algorithm development + in-situ validation is replicable; satellite data publicly available.</t>
        </is>
      </c>
      <c r="L131" t="inlineStr">
        <is>
          <t>Partial — satellite imagery free + accessible, but algorithm processing requires GIS / remote-sensing skill.</t>
        </is>
      </c>
      <c r="M131" t="inlineStr">
        <is>
          <t>Yes</t>
        </is>
      </c>
      <c r="N131" t="inlineStr">
        <is>
          <t>Sentinel-2 / Sentinel-3 imagery, in-situ Chl-a sampling (HPLC / fluorometer), GIS / RS software</t>
        </is>
      </c>
      <c r="O131" t="inlineStr">
        <is>
          <t>Medium — ~$2.3K yr 1: $1.34K start-up (water sampler $986 [list]; messenger + line $100 [est]; filtration kit $250 [est]) + $1.01K/yr (chl-a analysis 36 × $25.18 [lab fee]; filters + foil $100 [est])</t>
        </is>
      </c>
      <c r="P131" t="inlineStr">
        <is>
          <t>Multi-year monitoring (&gt;1 year)</t>
        </is>
      </c>
      <c r="Q131" t="inlineStr">
        <is>
          <t>Algorithm validation (regression vs in-situ), error analysis</t>
        </is>
      </c>
      <c r="R131" t="inlineStr">
        <is>
          <t>Yes — Open access (MDPI Remote Sensing CC BY)</t>
        </is>
      </c>
      <c r="S131" t="inlineStr">
        <is>
          <t>Abstract + DOI metadata</t>
        </is>
      </c>
      <c r="T131" t="inlineStr">
        <is>
          <t>https://doi.org/10.3390/rs14205235</t>
        </is>
      </c>
      <c r="V131" t="inlineStr">
        <is>
          <t>Original list</t>
        </is>
      </c>
      <c r="W131" s="42" t="inlineStr">
        <is>
          <t>3 — Partnership</t>
        </is>
      </c>
      <c r="X131" t="inlineStr">
        <is>
          <t>Mollusk</t>
        </is>
      </c>
      <c r="Y131" t="inlineStr">
        <is>
          <t>Water Quality</t>
        </is>
      </c>
      <c r="Z131" t="inlineStr">
        <is>
          <t>WQ 2.1.1 — Chlorophyll-a</t>
        </is>
      </c>
      <c r="AA131" t="inlineStr">
        <is>
          <t>Temperate Atlantic</t>
        </is>
      </c>
      <c r="AB131" t="inlineStr">
        <is>
          <t>Mediterranean mussel (Mytilus galloprovincialis)</t>
        </is>
      </c>
      <c r="AC131" t="inlineStr">
        <is>
          <t>Suspended longline (mussel)</t>
        </is>
      </c>
      <c r="AD131" t="inlineStr">
        <is>
          <t>Large (&gt;20 ha)</t>
        </is>
      </c>
      <c r="AE131" t="inlineStr">
        <is>
          <t>Variable / seasonal</t>
        </is>
      </c>
      <c r="AF131" t="inlineStr">
        <is>
          <t>Monoculture</t>
        </is>
      </c>
      <c r="AG131" t="inlineStr">
        <is>
          <t>Remote sensing, Water chemistry</t>
        </is>
      </c>
      <c r="AH131" t="inlineStr">
        <is>
          <t>Not algae-specific</t>
        </is>
      </c>
      <c r="AI131" t="inlineStr">
        <is>
          <t>Shallow nearshore (2–10 m)</t>
        </is>
      </c>
      <c r="AJ131" t="inlineStr">
        <is>
          <t>Sheltered</t>
        </is>
      </c>
      <c r="AK131" s="16" t="inlineStr">
        <is>
          <t>To monitor chlorophyll-a across a shellfish-farming bay from satellite, pair in-situ sampling with Sentinel-2 imagery. On cloud-free dates that coincide with a satellite overpass, visit fixed stations inside and outside the bay, measure Secchi depth and temperature/salinity profiles with a CTD, and collect water for chlorophyll-a (filter onto GF/F, extract in 90% acetone, read absorbance on a spectrophotometer). Atmospherically correct the Level-1 imagery with a coastal neural-net processor (such as C2RCC), compute a set of blue, red and red-edge spectral-band indices, and calibrate then validate the chlorophyll-a retrieval models against the in-situ match-ups (split the data, for example 70% calibration and 30% validation, judging fit by mean absolute error, RMSE and bias). Apply the best model to all clear images to produce chlorophyll-a maps - masking farm structures and implausibly high pixels - which then feed food-availability and carrying-capacity estimates for the bay.</t>
        </is>
      </c>
      <c r="AL131" s="17" t="inlineStr">
        <is>
          <t>High</t>
        </is>
      </c>
      <c r="AM131" s="18" t="inlineStr">
        <is>
          <t>fernandeztejedor_2022</t>
        </is>
      </c>
      <c r="AN131" s="19" t="n"/>
      <c r="AO131" s="19" t="n"/>
      <c r="AP131" s="19" t="n"/>
      <c r="AQ131" s="16" t="inlineStr">
        <is>
          <t>Satellite Chlorophyll-a Monitoring for a Shellfish Bay</t>
        </is>
      </c>
      <c r="AR131" s="16" t="inlineStr">
        <is>
          <t>Fernández-Tejedor, Margarita; Velasco, Jorge Enrique; Angles, Sílvia</t>
        </is>
      </c>
      <c r="AS131" s="16" t="inlineStr">
        <is>
          <t>Excellent template for satellite-based Chl-a monitoring of shellfish-farming bays. Mediterranean mussel (Mytilus galloprovincialis) context.  |  [2026-10-09 Rule 15 cost re-rate, batch 5] Framework basis: Mol WQ 2.1.1: farm + 2 adjacent non-farm refs; seasonal + diurnal, fixed-time reading (4 visits, sampling on overpass dates); 3 locations × 4 visits × 3 replicates = 36. Free Sentinel imagery calibrated against in-situ lab chl-a match-ups (GF/F, acetone); CTD and Secchi are supplementary and excluded; method from the method summary, though Source Read says abstract only (update Source Read). Prior O: 'Low (satellite data free; processing software open-source)'.  |  [2026-10-16 monitoring-methods pass] AT (Monitoring Methods) set from the protocol's method summary (AK): Temperature / salinity, Water clarity / turbidity (Secchi), Satellite ocean colour (chl-a).</t>
        </is>
      </c>
      <c r="AT131" s="21" t="inlineStr">
        <is>
          <t>Temperature / salinity, Water clarity / turbidity (Secchi), Satellite ocean colour (chl-a)</t>
        </is>
      </c>
    </row>
    <row r="132">
      <c r="A132" t="inlineStr">
        <is>
          <t>Toro, J. E., et al.</t>
        </is>
      </c>
      <c r="B132" t="inlineStr">
        <is>
          <t>Seasonal variation in the phytoplanktonic community, seston and environmental variables during a 2-year period and oyster growth at two mariculture sites, southern Chile</t>
        </is>
      </c>
      <c r="C132" t="inlineStr">
        <is>
          <t>Marine Ecology</t>
        </is>
      </c>
      <c r="D132" t="n">
        <v>20</v>
      </c>
      <c r="E132" t="inlineStr">
        <is>
          <t>1</t>
        </is>
      </c>
      <c r="F132" t="inlineStr">
        <is>
          <t>63-89</t>
        </is>
      </c>
      <c r="G132" t="n">
        <v>1999</v>
      </c>
      <c r="H132" t="inlineStr">
        <is>
          <t>Wiley</t>
        </is>
      </c>
      <c r="I132" t="inlineStr">
        <is>
          <t>Documents 2-year seasonal variation in phytoplankton community, seston, and environmental variables at two mariculture sites in southern Chile, with oyster growth measurements. Combines WQ monitoring with mollusk performance.</t>
        </is>
      </c>
      <c r="J132" t="inlineStr">
        <is>
          <t>Reference</t>
        </is>
      </c>
      <c r="K132" t="inlineStr">
        <is>
          <t>Partial — descriptive 2-year monitoring; replicable but not hypothesis-testing.</t>
        </is>
      </c>
      <c r="L132" t="inlineStr">
        <is>
          <t>Partial — phytoplankton + seston require lab expertise.</t>
        </is>
      </c>
      <c r="M132" t="inlineStr">
        <is>
          <t>Yes</t>
        </is>
      </c>
      <c r="N132" t="inlineStr">
        <is>
          <t>Niskin bottles, phytoplankton microscopy, seston filtration + dry weight</t>
        </is>
      </c>
      <c r="O132" t="inlineStr">
        <is>
          <t>Medium</t>
        </is>
      </c>
      <c r="P132" t="inlineStr">
        <is>
          <t>Multi-year monitoring (&gt;1 year)</t>
        </is>
      </c>
      <c r="Q132" t="inlineStr">
        <is>
          <t>Descriptive seasonal stats, correlation analyses</t>
        </is>
      </c>
      <c r="R132" t="inlineStr">
        <is>
          <t>No — Paywalled (Wiley)</t>
        </is>
      </c>
      <c r="S132" t="inlineStr">
        <is>
          <t>Abstract + DOI metadata</t>
        </is>
      </c>
      <c r="T132" t="inlineStr">
        <is>
          <t>https://doi.org/10.1046/j.1439-0485.1999.00065.x</t>
        </is>
      </c>
      <c r="U132" t="inlineStr">
        <is>
          <t>Monitoring rather than a hypothesis test; use it for seasonal food-supply context.</t>
        </is>
      </c>
      <c r="V132" t="inlineStr">
        <is>
          <t>Original list</t>
        </is>
      </c>
      <c r="W132" s="38" t="inlineStr">
        <is>
          <t>2 — Researcher</t>
        </is>
      </c>
      <c r="X132" t="inlineStr">
        <is>
          <t>Mollusk</t>
        </is>
      </c>
      <c r="Y132" t="inlineStr">
        <is>
          <t>Water Quality</t>
        </is>
      </c>
      <c r="Z132" t="inlineStr">
        <is>
          <t>WQ 2.1.1 — Chlorophyll-a</t>
        </is>
      </c>
      <c r="AA132" t="inlineStr">
        <is>
          <t>Temperate Pacific</t>
        </is>
      </c>
      <c r="AB132" t="inlineStr">
        <is>
          <t>Pacific oyster (Crassostrea / Magallana gigas)</t>
        </is>
      </c>
      <c r="AC132" t="inlineStr">
        <is>
          <t>Suspended longline (mussel)</t>
        </is>
      </c>
      <c r="AD132" t="inlineStr">
        <is>
          <t>Not site-specific</t>
        </is>
      </c>
      <c r="AE132" t="inlineStr">
        <is>
          <t>Variable / seasonal</t>
        </is>
      </c>
      <c r="AF132" t="inlineStr">
        <is>
          <t>Monoculture</t>
        </is>
      </c>
      <c r="AG132" t="inlineStr">
        <is>
          <t>Water chemistry, Phytoplankton sampling</t>
        </is>
      </c>
      <c r="AH132" t="inlineStr">
        <is>
          <t>Not algae-specific</t>
        </is>
      </c>
      <c r="AI132" t="inlineStr">
        <is>
          <t>Shallow nearshore (2–10 m)</t>
        </is>
      </c>
      <c r="AJ132" t="inlineStr">
        <is>
          <t>Sheltered</t>
        </is>
      </c>
      <c r="AK132" s="16" t="inlineStr">
        <is>
          <t>This two-year descriptive study tracks seasonal phytoplankton community, seston and environmental variables at oyster culture sites alongside oyster growth, using Niskin sampling, phytoplankton microscopy and seston dry-weight filtration. It is monitoring rather than hypothesis-testing; use it to understand seasonal food-supply variation and its link to shellfish performance.</t>
        </is>
      </c>
      <c r="AL132" s="17" t="inlineStr">
        <is>
          <t>Ref</t>
        </is>
      </c>
      <c r="AM132" s="18" t="inlineStr">
        <is>
          <t>toro_1999</t>
        </is>
      </c>
      <c r="AN132" s="19" t="n"/>
      <c r="AO132" s="19" t="n"/>
      <c r="AP132" s="19" t="n"/>
      <c r="AQ132" s="16" t="inlineStr">
        <is>
          <t>Two-Year Phytoplankton &amp; Oyster-Growth Monitoring (Reference)</t>
        </is>
      </c>
      <c r="AR132" s="16" t="inlineStr">
        <is>
          <t>Toro, Jorge E; Paredes, Pamela I; Villagra, Darío J; Senn, Christian A</t>
        </is>
      </c>
      <c r="AS132" s="16" t="inlineStr">
        <is>
          <t>Southern Chile oyster context (likely Chilean oyster Tiostrea chilensis or Pacific oyster). May need 'Chilean oyster (Tiostrea chilensis / Ostrea chilensis)' added to vocabulary if not present — log for v1.3.  |  [2026-10-16 monitoring-methods pass] AT (Monitoring Methods) set from the protocol's method summary (AK): Suspended solids (TSS / SPM), Phytoplankton community (microscopy).</t>
        </is>
      </c>
      <c r="AT132" s="21" t="inlineStr">
        <is>
          <t>Suspended solids (TSS / SPM), Phytoplankton community (microscopy)</t>
        </is>
      </c>
    </row>
    <row r="133">
      <c r="A133" t="inlineStr">
        <is>
          <t>Walker, T. R. &amp; Grant, J.</t>
        </is>
      </c>
      <c r="B133" t="inlineStr">
        <is>
          <t>Quantifying erosion rates and stability of bottom sediments at mussel aquaculture sites</t>
        </is>
      </c>
      <c r="C133" t="inlineStr">
        <is>
          <t>Journal of Marine Systems</t>
        </is>
      </c>
      <c r="D133" t="n">
        <v>75</v>
      </c>
      <c r="E133" t="inlineStr">
        <is>
          <t>1-2</t>
        </is>
      </c>
      <c r="F133" t="inlineStr">
        <is>
          <t>46-55</t>
        </is>
      </c>
      <c r="G133" t="n">
        <v>2009</v>
      </c>
      <c r="H133" t="inlineStr">
        <is>
          <t>Elsevier</t>
        </is>
      </c>
      <c r="I133" t="inlineStr">
        <is>
          <t>Quantifies sediment erosion rates + bottom-sediment stability at mussel aquaculture sites (Atlantic Canada; Grant context). Uses erosion-chamber and/or sediment-trap methods to characterise resuspension dynamics under farm gear.</t>
        </is>
      </c>
      <c r="J133" t="inlineStr">
        <is>
          <t>Protocol</t>
        </is>
      </c>
      <c r="K133" t="inlineStr">
        <is>
          <t>Yes — erosion-chamber + sediment-trap methodology is replicable.</t>
        </is>
      </c>
      <c r="L133" t="inlineStr">
        <is>
          <t>No — specialised sediment-dynamics expertise required.</t>
        </is>
      </c>
      <c r="M133" t="inlineStr">
        <is>
          <t>Yes</t>
        </is>
      </c>
      <c r="N133" t="inlineStr">
        <is>
          <t>Erosion chamber (Gust microcosm or similar), sediment traps, sediment grain-size analysis</t>
        </is>
      </c>
      <c r="O133" t="inlineStr">
        <is>
          <t>Medium-High</t>
        </is>
      </c>
      <c r="P133" t="inlineStr">
        <is>
          <t>Multi-season (3–9 months)</t>
        </is>
      </c>
      <c r="Q133" t="inlineStr">
        <is>
          <t>Shear-stress / erosion-rate regression, paired comparison</t>
        </is>
      </c>
      <c r="R133" t="inlineStr">
        <is>
          <t>No — Paywalled (Elsevier)</t>
        </is>
      </c>
      <c r="S133" t="inlineStr">
        <is>
          <t>Abstract + DOI metadata</t>
        </is>
      </c>
      <c r="T133" t="inlineStr">
        <is>
          <t>https://doi.org/10.1016/j.jmarsys.2008.07.009</t>
        </is>
      </c>
      <c r="V133" t="inlineStr">
        <is>
          <t>Original list</t>
        </is>
      </c>
      <c r="W133" s="38" t="inlineStr">
        <is>
          <t>2 — Researcher</t>
        </is>
      </c>
      <c r="X133" t="inlineStr">
        <is>
          <t>Mollusk</t>
        </is>
      </c>
      <c r="Y133" t="inlineStr">
        <is>
          <t>Habitat &amp; Biodiversity</t>
        </is>
      </c>
      <c r="Z133" t="inlineStr">
        <is>
          <t>H&amp;B 1.4.1 — Sediment</t>
        </is>
      </c>
      <c r="AA133" t="inlineStr">
        <is>
          <t>Temperate Atlantic</t>
        </is>
      </c>
      <c r="AB133" t="inlineStr">
        <is>
          <t>Blue mussel (Mytilus edulis)</t>
        </is>
      </c>
      <c r="AC133" t="inlineStr">
        <is>
          <t>Suspended longline (mussel)</t>
        </is>
      </c>
      <c r="AD133" t="inlineStr">
        <is>
          <t>Not site-specific</t>
        </is>
      </c>
      <c r="AE133" t="inlineStr">
        <is>
          <t>Variable / seasonal</t>
        </is>
      </c>
      <c r="AF133" t="inlineStr">
        <is>
          <t>Monoculture</t>
        </is>
      </c>
      <c r="AG133" t="inlineStr">
        <is>
          <t>Sediment sampling</t>
        </is>
      </c>
      <c r="AH133" t="inlineStr">
        <is>
          <t>Not algae-specific</t>
        </is>
      </c>
      <c r="AI133" t="inlineStr">
        <is>
          <t>Shallow nearshore (2–10 m)</t>
        </is>
      </c>
      <c r="AJ133" t="inlineStr">
        <is>
          <t>Sheltered</t>
        </is>
      </c>
      <c r="AK133" s="16" t="inlineStr">
        <is>
          <t>To measure sediment stability and resuspension under mussel gear, use an erosion device (for example a Gust microcosm erosion chamber) to determine the critical shear stress and erosion rate of the bed, deploy sediment traps to capture resuspended and deposited material, and analyse grain size. Compare farm against reference to see whether biodeposition and gear alter bed erodibility.</t>
        </is>
      </c>
      <c r="AL133" s="17" t="inlineStr">
        <is>
          <t>Low</t>
        </is>
      </c>
      <c r="AM133" s="18" t="inlineStr">
        <is>
          <t>walker_2009</t>
        </is>
      </c>
      <c r="AN133" s="19" t="n"/>
      <c r="AO133" s="19" t="n"/>
      <c r="AP133" s="19" t="n"/>
      <c r="AQ133" s="16" t="inlineStr">
        <is>
          <t>Sediment Erosion &amp; Stability Under Mussel Gear</t>
        </is>
      </c>
      <c r="AR133" s="16" t="inlineStr">
        <is>
          <t>Walker, Tony R; Grant, Jon</t>
        </is>
      </c>
      <c r="AS133" s="16" t="inlineStr">
        <is>
          <t>Useful for sediment-stability monitoring around mussel farms; companion to Grant 1995 (row 87) tradition.  |  [2026-10-16 monitoring-methods pass] AT (Monitoring Methods) set from the protocol's method summary (AK): Grain size / particle size, Biodeposition traps, Bed stability / erosion.</t>
        </is>
      </c>
      <c r="AT133" s="21" t="inlineStr">
        <is>
          <t>Grain size / particle size, Biodeposition traps, Bed stability / erosion</t>
        </is>
      </c>
    </row>
    <row r="134">
      <c r="A134" t="inlineStr">
        <is>
          <t>Silva, E., et al.</t>
        </is>
      </c>
      <c r="B134" t="inlineStr">
        <is>
          <t>Hydrodynamic modelling of the dispersion and deposition of biodeposits from marine bivalve aquaculture</t>
        </is>
      </c>
      <c r="C134" t="inlineStr">
        <is>
          <t>Aquaculture</t>
        </is>
      </c>
      <c r="D134" t="n">
        <v>502</v>
      </c>
      <c r="F134" t="inlineStr">
        <is>
          <t>335-343</t>
        </is>
      </c>
      <c r="G134" t="n">
        <v>2019</v>
      </c>
      <c r="H134" t="inlineStr">
        <is>
          <t>Elsevier</t>
        </is>
      </c>
      <c r="I134" t="inlineStr">
        <is>
          <t>Hydrodynamic modelling of dispersion + deposition of biodeposits (feces + pseudofeces) from marine bivalve aquaculture. Couples hydrodynamic model with particle settling for biodeposit-footprint prediction. Santa Catarina, Brazil context likely (Garbossa).</t>
        </is>
      </c>
      <c r="J134" t="inlineStr">
        <is>
          <t>Protocol</t>
        </is>
      </c>
      <c r="K134" t="inlineStr">
        <is>
          <t>Partial — modelling methodology is replicable; outputs need field validation.</t>
        </is>
      </c>
      <c r="L134" t="inlineStr">
        <is>
          <t>No — requires hydrodynamic-modelling expertise.</t>
        </is>
      </c>
      <c r="M134" t="inlineStr">
        <is>
          <t>Yes</t>
        </is>
      </c>
      <c r="N134" t="inlineStr">
        <is>
          <t>Hydrodynamic + Lagrangian particle-tracking model, sediment-trap field data (likely for validation)</t>
        </is>
      </c>
      <c r="O134" t="inlineStr">
        <is>
          <t>Low (modelling-focused)</t>
        </is>
      </c>
      <c r="P134" t="inlineStr">
        <is>
          <t>One-time / model runs</t>
        </is>
      </c>
      <c r="Q134" t="inlineStr">
        <is>
          <t>Model–observation comparison, scenario analysis</t>
        </is>
      </c>
      <c r="R134" t="inlineStr">
        <is>
          <t>No — Paywalled (Elsevier)</t>
        </is>
      </c>
      <c r="S134" t="inlineStr">
        <is>
          <t>Abstract + DOI metadata</t>
        </is>
      </c>
      <c r="T134" t="inlineStr">
        <is>
          <t>https://doi.org/10.1016/j.aquaculture.2018.12.052</t>
        </is>
      </c>
      <c r="U134" t="inlineStr">
        <is>
          <t>Predicts the deposition footprint for siting and monitoring design rather than measuring it.</t>
        </is>
      </c>
      <c r="V134" t="inlineStr">
        <is>
          <t>Original list</t>
        </is>
      </c>
      <c r="W134" s="38" t="inlineStr">
        <is>
          <t>2 — Researcher</t>
        </is>
      </c>
      <c r="X134" t="inlineStr">
        <is>
          <t>Mollusk</t>
        </is>
      </c>
      <c r="Y134" t="inlineStr">
        <is>
          <t>Habitat &amp; Biodiversity, Cross-cutting / Framework</t>
        </is>
      </c>
      <c r="Z134" t="inlineStr">
        <is>
          <t>H&amp;B 1.4.1 — Sediment</t>
        </is>
      </c>
      <c r="AA134" t="inlineStr">
        <is>
          <t>Subtropical</t>
        </is>
      </c>
      <c r="AB134" t="inlineStr">
        <is>
          <t>Pacific oyster (Crassostrea / Magallana gigas), Brown mussel (Perna perna)</t>
        </is>
      </c>
      <c r="AC134" t="inlineStr">
        <is>
          <t>Suspended longline (mussel)</t>
        </is>
      </c>
      <c r="AD134" t="inlineStr">
        <is>
          <t>Not site-specific</t>
        </is>
      </c>
      <c r="AE134" t="inlineStr">
        <is>
          <t>Variable / seasonal</t>
        </is>
      </c>
      <c r="AF134" t="inlineStr">
        <is>
          <t>Monoculture</t>
        </is>
      </c>
      <c r="AG134" t="inlineStr">
        <is>
          <t>Modelling, Sediment sampling</t>
        </is>
      </c>
      <c r="AH134" t="inlineStr">
        <is>
          <t>Not algae-specific</t>
        </is>
      </c>
      <c r="AI134" t="inlineStr">
        <is>
          <t>Shallow nearshore (2–10 m)</t>
        </is>
      </c>
      <c r="AJ134" t="inlineStr">
        <is>
          <t>Sheltered</t>
        </is>
      </c>
      <c r="AK134" s="16" t="inlineStr">
        <is>
          <t>This is a modelling method for predicting where bivalve biodeposits (faeces and pseudofaeces) settle: couple a hydrodynamic model with Lagrangian particle-tracking of settling particles to map the deposition footprint, ideally validating against sediment-trap field data. Use it to anticipate the spatial extent of benthic loading for siting and monitoring design rather than as a direct measurement.</t>
        </is>
      </c>
      <c r="AL134" s="17" t="inlineStr">
        <is>
          <t>Low</t>
        </is>
      </c>
      <c r="AM134" s="18" t="inlineStr">
        <is>
          <t>silva_2019</t>
        </is>
      </c>
      <c r="AN134" s="19" t="n"/>
      <c r="AO134" s="19" t="n"/>
      <c r="AP134" s="19" t="n"/>
      <c r="AQ134" s="16" t="inlineStr">
        <is>
          <t>Modelling Where Bivalve Biodeposits Settle (Deposition Footprint)</t>
        </is>
      </c>
      <c r="AR134" s="16" t="inlineStr">
        <is>
          <t>Silva, Eliziane; Garbossa, Luis Hamilton Pospissil; Nunes, Maurício Laterça; Lapa, Katt Regina</t>
        </is>
      </c>
      <c r="AS134" s="16" t="inlineStr">
        <is>
          <t>Strong template for biodeposit-footprint prediction; Santa Catarina (subtropical Brazil) oyster + mussel context.  |  [2026-10-16 monitoring-methods pass] AT (Monitoring Methods) set from the protocol's method summary (AK): Biodeposition traps, Hydrodynamic + particle tracking.</t>
        </is>
      </c>
      <c r="AT134" s="21" t="inlineStr">
        <is>
          <t>Biodeposition traps, Hydrodynamic + particle tracking</t>
        </is>
      </c>
    </row>
    <row r="135">
      <c r="A135" t="inlineStr">
        <is>
          <t>Fernández, P. A., et al.</t>
        </is>
      </c>
      <c r="B135" t="inlineStr">
        <is>
          <t>Co-culture in marine farms: macroalgae can act as chemical refuge for shell-forming molluscs under ocean acidification</t>
        </is>
      </c>
      <c r="C135" t="inlineStr">
        <is>
          <t>Phycologia</t>
        </is>
      </c>
      <c r="D135" t="n">
        <v>58</v>
      </c>
      <c r="E135" t="inlineStr">
        <is>
          <t>5</t>
        </is>
      </c>
      <c r="F135" t="inlineStr">
        <is>
          <t>542-551</t>
        </is>
      </c>
      <c r="G135" t="n">
        <v>2019</v>
      </c>
      <c r="H135" t="inlineStr">
        <is>
          <t>Taylor &amp; Francis</t>
        </is>
      </c>
      <c r="I135" t="inlineStr">
        <is>
          <t>Examines whether co-cultivated macroalgae can act as a local chemical refuge for shell-forming bivalves under ocean acidification — i.e., macroalgal photosynthesis locally raises pH / lowers pCO2 within an IMTA configuration. Chilean context (Fernández, Leal, Henríquez).</t>
        </is>
      </c>
      <c r="J135" t="inlineStr">
        <is>
          <t>Reference</t>
        </is>
      </c>
      <c r="K135" t="inlineStr">
        <is>
          <t>Partial — proof-of-concept framing; methodology not fully replicable from abstract alone.</t>
        </is>
      </c>
      <c r="L135" t="inlineStr">
        <is>
          <t>Partial — pH / DIC monitoring accessible; biological measurements require expertise.</t>
        </is>
      </c>
      <c r="M135" t="inlineStr">
        <is>
          <t>Yes</t>
        </is>
      </c>
      <c r="N135" t="inlineStr">
        <is>
          <t>pH electrode / spectrophotometric pH, DIC / TA analysis, dissolved O2 sensors, growth measurements</t>
        </is>
      </c>
      <c r="O135" t="inlineStr">
        <is>
          <t>Medium</t>
        </is>
      </c>
      <c r="P135" t="inlineStr">
        <is>
          <t>Multi-season (3–9 months)</t>
        </is>
      </c>
      <c r="Q135" t="inlineStr">
        <is>
          <t>Paired-treatment comparison, mass-balance</t>
        </is>
      </c>
      <c r="R135" t="inlineStr">
        <is>
          <t>No — Paywalled (T&amp;F)</t>
        </is>
      </c>
      <c r="S135" t="inlineStr">
        <is>
          <t>Abstract + DOI metadata</t>
        </is>
      </c>
      <c r="T135" t="inlineStr">
        <is>
          <t>https://doi.org/10.1080/00318884.2019.1628576</t>
        </is>
      </c>
      <c r="U135" t="inlineStr">
        <is>
          <t>Within MEL scope only the dissolved-oxygen and co-culture design apply - carbonate chemistry is outside the indicator set.</t>
        </is>
      </c>
      <c r="V135" t="inlineStr">
        <is>
          <t>Original list</t>
        </is>
      </c>
      <c r="W135" s="38" t="inlineStr">
        <is>
          <t>2 — Researcher</t>
        </is>
      </c>
      <c r="X135" t="inlineStr">
        <is>
          <t>Mollusk, Seaweed</t>
        </is>
      </c>
      <c r="Y135" t="inlineStr">
        <is>
          <t>Water Quality</t>
        </is>
      </c>
      <c r="Z135" t="inlineStr">
        <is>
          <t>WQ 1.2.1 — Dissolved oxygen</t>
        </is>
      </c>
      <c r="AA135" t="inlineStr">
        <is>
          <t>Temperate Pacific</t>
        </is>
      </c>
      <c r="AB135" t="inlineStr">
        <is>
          <t>Not species-specific (Chilean mussel / Mytilus chilensis + Chilean macroalga likely)</t>
        </is>
      </c>
      <c r="AC135" t="inlineStr">
        <is>
          <t>Mixed</t>
        </is>
      </c>
      <c r="AD135" t="inlineStr">
        <is>
          <t>Not site-specific</t>
        </is>
      </c>
      <c r="AE135" t="inlineStr">
        <is>
          <t>Variable / seasonal</t>
        </is>
      </c>
      <c r="AF135" t="inlineStr">
        <is>
          <t>Three-trophic IMTA</t>
        </is>
      </c>
      <c r="AG135" t="inlineStr">
        <is>
          <t>Water chemistry</t>
        </is>
      </c>
      <c r="AH135" t="inlineStr">
        <is>
          <t>Macroalgae (general)</t>
        </is>
      </c>
      <c r="AI135" t="inlineStr">
        <is>
          <t>Shallow nearshore (2–10 m)</t>
        </is>
      </c>
      <c r="AJ135" t="inlineStr">
        <is>
          <t>Sheltered</t>
        </is>
      </c>
      <c r="AK135" s="16" t="inlineStr">
        <is>
          <t>This proof-of-concept study asks whether co-cultivated macroalgae can locally buffer acidification for shell-forming bivalves in an IMTA layout, monitoring dissolved oxygen alongside carbonate chemistry (pH, DIC) and bivalve growth in paired treatments. Within the MEL scope its transferable element is the dissolved-oxygen and co-culture design (carbonate chemistry sits outside the MEL indicator set); treat it as evidence for IMTA co-benefits rather than a standalone indicator protocol.</t>
        </is>
      </c>
      <c r="AL135" s="17" t="inlineStr">
        <is>
          <t>Ref</t>
        </is>
      </c>
      <c r="AM135" s="18" t="inlineStr">
        <is>
          <t>fernandez_2019</t>
        </is>
      </c>
      <c r="AN135" s="19" t="n"/>
      <c r="AO135" s="19" t="n"/>
      <c r="AP135" s="19" t="n"/>
      <c r="AQ135" s="16" t="inlineStr">
        <is>
          <t>Macroalgae as an Acidification Refuge for Bivalves (IMTA Reference)</t>
        </is>
      </c>
      <c r="AR135" s="16" t="inlineStr">
        <is>
          <t>Fernández, Pamela A; Leal, Pablo P; Henríquez, Luis A</t>
        </is>
      </c>
      <c r="AS135" s="16" t="inlineStr">
        <is>
          <t>IMTA paper (Mollusk + Seaweed multi-tag per IMTA-primacy convention). Methodology measures dissolved oxygen alongside pH / DIC (carbonate chemistry). Carbonate chemistry is NOT an MEL indicator — row retained only because the DO methodology aligns with WQ 1.2.1 and the IMTA design is independently relevant for co-culture studies. The OA-refuge framing is the paper's headline contribution but does not map to existing MEL indicators.  |  [2026-10-16 monitoring-methods pass] AT (Monitoring Methods) set from the protocol's method summary (AK): Dissolved oxygen, pH, Carbonate system (pH / OA), Bivalve condition index / growth.</t>
        </is>
      </c>
      <c r="AT135" s="21" t="inlineStr">
        <is>
          <t>Dissolved oxygen, pH, Carbonate system (pH / OA), Bivalve condition index / growth</t>
        </is>
      </c>
    </row>
    <row r="136">
      <c r="A136" s="21" t="inlineStr">
        <is>
          <t>Ferriss, B., et al.</t>
        </is>
      </c>
      <c r="B136" s="21" t="inlineStr">
        <is>
          <t>Characterizing the habitat function of bivalve aquaculture using underwater video</t>
        </is>
      </c>
      <c r="C136" s="21" t="inlineStr">
        <is>
          <t>Aquaculture Environment Interactions</t>
        </is>
      </c>
      <c r="D136" s="21" t="n">
        <v>13</v>
      </c>
      <c r="E136" s="21" t="n"/>
      <c r="F136" s="21" t="inlineStr">
        <is>
          <t>439-454</t>
        </is>
      </c>
      <c r="G136" s="21" t="n">
        <v>2021</v>
      </c>
      <c r="H136" s="21" t="inlineStr">
        <is>
          <t>Inter-Research</t>
        </is>
      </c>
      <c r="I136" s="21" t="inlineStr">
        <is>
          <t>Maps to H&amp;B 1.2.1 — Mobile fauna. Paired GoPro cameras on PVC poles 30.5 cm above the bottom, angled 20° down at a staked 1 m² field of view, recording 2 min every 10 min for 3 h around high tide; fish and crabs counted over the ten 2-min clips nearest high tide in oyster flipbag, oyster on-bottom and clam-net plots and in sediment and eelgrass reference sites 30–60 m away, at 9 farms across Puget Sound, Jun–Aug 2017 and 2018. Match: Yes — relative abundance (summed sightings) by species group.</t>
        </is>
      </c>
      <c r="J136" s="21" t="inlineStr">
        <is>
          <t>Protocol</t>
        </is>
      </c>
      <c r="K136" s="21" t="inlineStr">
        <is>
          <t>Confirmed standalone (full read). 3038 fish and crabs scored in BORIS; abundance of surfperch, sculpin, flatfish, crabs and the vertical functional groups modelled against aquaculture presence and mesohabitat type with GLMMs — robust for H&amp;B 1.2.1 (summed sightings are a relative index that can count the same animal twice; eelgrass sites under-observed). Responses varied by basin, e.g. sculpin were more abundant in aquaculture in North Sound and Hood Canal but less so in South Sound.</t>
        </is>
      </c>
      <c r="L136" s="21" t="inlineStr">
        <is>
          <t>Yes — setting timed cameras on poles at low tide and counting fish and crabs from the footage with a regional ID guide need no lab; free scoring software (BORIS) helps. The source's mixed models are optional — simple farm vs reference comparisons work.</t>
        </is>
      </c>
      <c r="M136" s="21" t="inlineStr">
        <is>
          <t>Yes</t>
        </is>
      </c>
      <c r="N136" s="21" t="inlineStr">
        <is>
          <t>Paired action cameras (source: GoPro Hero 3+/Hero 4) in dive housings with an external interval timer (CamDo Blink), on 25 mm PVC poles 30.5 cm above the bottom angled 20° down; two PVC stakes 125 cm out and 1 m apart marking a 1 m² field of view; BORIS video-scoring software; R (lme4, vegan, emmeans).</t>
        </is>
      </c>
      <c r="O136" s="21" t="inlineStr">
        <is>
          <t>Low — ~$910 yr 1: $910 start-up (action camera + dive housing ×2 $860 [list]; PVC poles + markers $50 [est]) + no recurring cost</t>
        </is>
      </c>
      <c r="P136" s="21" t="inlineStr">
        <is>
          <t>Multi-year monitoring (&gt; 1 year) — two summers (Jun–Aug 2017 and 2018), each mesohabitat filmed up to twice per summer</t>
        </is>
      </c>
      <c r="Q136" s="21" t="inlineStr">
        <is>
          <t>Abundance per species group (summed sightings over ten 2-min clips per mesohabitat and date) modelled with negative binomial and zero-inflated negative binomial GLMMs (site and/or year random effects; region fixed); aquaculture presence vs mesohabitat type compared by AICc (lme4, R 3.6.1).</t>
        </is>
      </c>
      <c r="R136" s="21" t="inlineStr">
        <is>
          <t>Yes — Open access (Inter-Research)</t>
        </is>
      </c>
      <c r="S136" s="21" t="inlineStr">
        <is>
          <t>Full PDF</t>
        </is>
      </c>
      <c r="T136" s="21" t="inlineStr">
        <is>
          <t>https://doi.org/10.3354/aei00418</t>
        </is>
      </c>
      <c r="U136" s="21" t="inlineStr">
        <is>
          <t>Video counts are a relative index (summed sightings); eelgrass reference sites are under-observed because blades block the view, and responses to farms differed between Puget Sound basins ~150 km apart.</t>
        </is>
      </c>
      <c r="V136" s="21" t="inlineStr">
        <is>
          <t>Original list</t>
        </is>
      </c>
      <c r="W136" s="10" t="inlineStr">
        <is>
          <t>4 — Practitioner</t>
        </is>
      </c>
      <c r="X136" s="21" t="inlineStr">
        <is>
          <t>Mollusk</t>
        </is>
      </c>
      <c r="Y136" s="21" t="inlineStr">
        <is>
          <t>Habitat &amp; Biodiversity</t>
        </is>
      </c>
      <c r="Z136" s="21" t="inlineStr">
        <is>
          <t>H&amp;B 1.2.1 — Mobile fauna</t>
        </is>
      </c>
      <c r="AA136" s="21" t="inlineStr">
        <is>
          <t>Temperate Pacific</t>
        </is>
      </c>
      <c r="AB136" s="21" t="inlineStr">
        <is>
          <t>Pacific oyster (Crassostrea / Magallana gigas), Manila clam (Ruditapes philippinarum)</t>
        </is>
      </c>
      <c r="AC136" s="21" t="inlineStr">
        <is>
          <t>Mixed</t>
        </is>
      </c>
      <c r="AD136" s="21" t="inlineStr">
        <is>
          <t>Multi-farm regional</t>
        </is>
      </c>
      <c r="AE136" s="21" t="inlineStr">
        <is>
          <t>Variable / seasonal</t>
        </is>
      </c>
      <c r="AF136" s="21" t="inlineStr">
        <is>
          <t>Monoculture</t>
        </is>
      </c>
      <c r="AG136" s="21" t="inlineStr">
        <is>
          <t>BRUVs / video</t>
        </is>
      </c>
      <c r="AH136" s="21" t="inlineStr">
        <is>
          <t>Not algae-specific</t>
        </is>
      </c>
      <c r="AI136" s="21" t="inlineStr">
        <is>
          <t>Intertidal / very shallow (&lt; 2 m)</t>
        </is>
      </c>
      <c r="AJ136" s="21" t="inlineStr">
        <is>
          <t>Sheltered</t>
        </is>
      </c>
      <c r="AK136" s="16" t="inlineStr">
        <is>
          <t>To count the fish and crabs using your farm, mount two action cameras side by side on a PVC pole about 30 cm above the bottom, angled 20° down, with two stakes 1.25 m out and 1 m apart marking a 1 m² patch, at the centre of [each gear type] and at the farm edge, plus [1–2] unfarmed reference sites 30–60 m beyond the farm at the same depth. Set them at low tide with a timer (or a scheduled-capture setting) to record 2 minutes every 10 minutes for the 3 hours around the next high tide, over [2] days per visit, once per season. From the clearest camera and day, count every fish and crab in the 1 m² patch in the ten clips nearest high tide, by species group with a regional ID guide, and compare totals between farm and reference sites. Counts are relative (a fish swimming back in is counted again) and murky water and eelgrass hide animals, so note visibility and compare like with like.</t>
        </is>
      </c>
      <c r="AL136" s="17" t="inlineStr">
        <is>
          <t>High</t>
        </is>
      </c>
      <c r="AM136" s="18" t="inlineStr">
        <is>
          <t>ferriss_2021_hb121</t>
        </is>
      </c>
      <c r="AN136" s="19" t="n"/>
      <c r="AO136" s="19" t="n"/>
      <c r="AP136" s="19" t="n"/>
      <c r="AQ136" s="16" t="inlineStr">
        <is>
          <t>Mobile-fauna monitoring — Mollusk</t>
        </is>
      </c>
      <c r="AR136" s="16" t="inlineStr">
        <is>
          <t>Ferriss, Bridget; Veggerby, Karl; Bogeberg, Molly; Conway-Cranos, Letitia; Hoberecht, Laura; Kiffney, Peter; Litle, Kate; Toft, Jodie; Sanderson, Beth</t>
        </is>
      </c>
      <c r="AS136" s="16" t="inlineStr">
        <is>
          <t>Foundational underwater-video protocol paper for nearshore bivalve-aquaculture habitat assessment. Methods extended by Veggerby 2024 (row 97 — foraging behaviour at same sites) and parallel to Mercaldo-Allen 2021 (R57 — eDNA at oyster cages). Demonstrates regional-scale variation in aquaculture-ecological interactions at ~150 km spatial scale.  |  Migration (one-indicator-per-row, 2026-09-04): split from ferriss_2021 -&gt; {ferriss_2021_hb111, ferriss_2021_hb121, ferriss_2021_hb211}. This row = ferriss_2021_hb121 (H&amp;B 1.2.1 — Mobile fauna). Candidate: AK/N/Q blanked and I/K/W/O/P provisional; per-indicator method text, tier/cost/effort and match adjudication to be finalised at generation. Combined parent I/AK/N/Q retained in v37 (pre-split).  |  [2026-10-09 Rule 15 cost re-rate, batch 5] Framework basis: Mol H&amp;B 1.2.1: amongst farmed biomass, within farm + edge; seasonal (4 visits); 2 locations × 4 visits × 3 replicates = 24. Unbaited downward video on poles, two cameras deployed as a pair; scoring in free software (BORIS, R) is labour; within $90 of the Low/Medium cutoff. Prior O: 'Low–Medium (~$200/camera; main cost is analyst time)'.  |  [2026-10-14 method-summary pass] Full read (PDF from Peter; prior S 'Full PDF' kept). I: candidate-split text replaced; K: '…Match ~Partial (video count is a relative-abundance index)' → Match Yes, relative index noted. L: 'Partial — … video coding (BORIS) is analyst-time-intensive' → Yes. W: '3 — Partnership' → '4 — Practitioner' (Rule 14: video counts with a regional guide, no lab step; as bridger_2022, schutt_2023_hb121); fill → T4 lime. AG: 'BRUVs / video, Visual survey' → 'BRUVs / video' (no diver or visual survey). P: 'Multi-season (3–9 months)' → Multi-year (summers 2017 and 2018). N: rewritten from source (adds external interval timer, 1 m² stake layout). Q, AK: blank → filled. U: Evaluator note replaced with a source caveat. O unchanged (two-camera pair, within $90 of the Low/Medium line) — note: the source's external timers (CamDo Blink) are not priced; free scheduled-capture firmware can stand in. AL High.  |  [2026-10-16 monitoring-methods pass] AT (Monitoring Methods) set from the protocol's method summary (AK): Time-lapse / GoPro cameras.</t>
        </is>
      </c>
      <c r="AT136" s="21" t="inlineStr">
        <is>
          <t>Time-lapse / GoPro cameras</t>
        </is>
      </c>
    </row>
    <row r="137">
      <c r="A137" s="21" t="inlineStr">
        <is>
          <t>Ferriss, B., et al.</t>
        </is>
      </c>
      <c r="B137" s="21" t="inlineStr">
        <is>
          <t>Characterizing the habitat function of bivalve aquaculture using underwater video</t>
        </is>
      </c>
      <c r="C137" s="21" t="inlineStr">
        <is>
          <t>Aquaculture Environment Interactions</t>
        </is>
      </c>
      <c r="D137" s="21" t="n">
        <v>13</v>
      </c>
      <c r="E137" s="21" t="n"/>
      <c r="F137" s="21" t="inlineStr">
        <is>
          <t>439-454</t>
        </is>
      </c>
      <c r="G137" s="21" t="n">
        <v>2021</v>
      </c>
      <c r="H137" s="21" t="inlineStr">
        <is>
          <t>Inter-Research</t>
        </is>
      </c>
      <c r="I137" s="21" t="inlineStr">
        <is>
          <t>Maps to H&amp;B 2.1.1 — Community composition. Same paired-camera survey; fish and crab community composition compared between aquaculture (flipbag, on-bottom, clam) and reference (sediment, eelgrass) mesohabitats by NMDS and PERMANOVA, with Shannon-Wiener diversity and species richness. Match: Yes.</t>
        </is>
      </c>
      <c r="J137" s="21" t="inlineStr">
        <is>
          <t>Protocol</t>
        </is>
      </c>
      <c r="K137" s="21" t="inlineStr">
        <is>
          <t>Confirmed standalone (full read). Composition differed between aquaculture and reference sites in North Sound and Hood Canal but not South Sound, and diversity and richness responses also varied by basin — robust for H&amp;B 2.1.1 (video sees only larger mobile species near the bottom; most IDs to family or genus).</t>
        </is>
      </c>
      <c r="L137" s="21" t="inlineStr">
        <is>
          <t>Yes — camera deployment and counts by species group with a regional ID guide need no lab; species lists and simple diversity indices can be compared directly, and NMDS/PERMANOVA run in free software (R vegan).</t>
        </is>
      </c>
      <c r="M137" s="21" t="inlineStr">
        <is>
          <t>Yes</t>
        </is>
      </c>
      <c r="N137" s="21" t="inlineStr">
        <is>
          <t>As ferriss_2021_hb121: paired timed action cameras on PVC poles over a staked 1 m² field of view in each aquaculture mesohabitat and at sediment and eelgrass reference sites 30–60 m away; BORIS; R (vegan: NMDS, PERMANOVA, SIMPER; lme4 and emmeans for diversity and richness).</t>
        </is>
      </c>
      <c r="O137" s="21" t="inlineStr">
        <is>
          <t>Low — ~$910 yr 1: $910 start-up (action camera + dive housing ×2 $860 [list]; PVC poles + markers $50 [est]) + no recurring cost</t>
        </is>
      </c>
      <c r="P137" s="21" t="inlineStr">
        <is>
          <t>Multi-year monitoring (&gt; 1 year) — two summers (Jun–Aug 2017 and 2018), each mesohabitat filmed up to twice per summer</t>
        </is>
      </c>
      <c r="Q137" s="21" t="inlineStr">
        <is>
          <t>NMDS on ln(x+1) Bray-Curtis similarities (2000 permutations) with PERMANOVA (adonis) and SIMPER (vegan); Shannon-Wiener diversity and richness by GLMM with site/year random effects, AICc selection and Tukey-adjusted emmeans contrasts; run with and without surfperch.</t>
        </is>
      </c>
      <c r="R137" s="21" t="inlineStr">
        <is>
          <t>Yes — Open access (Inter-Research)</t>
        </is>
      </c>
      <c r="S137" s="21" t="inlineStr">
        <is>
          <t>Full PDF</t>
        </is>
      </c>
      <c r="T137" s="21" t="inlineStr">
        <is>
          <t>https://doi.org/10.3354/aei00418</t>
        </is>
      </c>
      <c r="U137" s="21" t="inlineStr">
        <is>
          <t>Composition differed between farm and reference in two of three basins; the dominant species (surfperch) can swamp diversity indices, so analyses were run with and without it.</t>
        </is>
      </c>
      <c r="V137" s="21" t="inlineStr">
        <is>
          <t>Original list</t>
        </is>
      </c>
      <c r="W137" s="10" t="inlineStr">
        <is>
          <t>4 — Practitioner</t>
        </is>
      </c>
      <c r="X137" s="21" t="inlineStr">
        <is>
          <t>Mollusk</t>
        </is>
      </c>
      <c r="Y137" s="21" t="inlineStr">
        <is>
          <t>Habitat &amp; Biodiversity</t>
        </is>
      </c>
      <c r="Z137" s="21" t="inlineStr">
        <is>
          <t>H&amp;B 2.1.1 — Community composition</t>
        </is>
      </c>
      <c r="AA137" s="21" t="inlineStr">
        <is>
          <t>Temperate Pacific</t>
        </is>
      </c>
      <c r="AB137" s="21" t="inlineStr">
        <is>
          <t>Pacific oyster (Crassostrea / Magallana gigas), Manila clam (Ruditapes philippinarum)</t>
        </is>
      </c>
      <c r="AC137" s="21" t="inlineStr">
        <is>
          <t>Mixed</t>
        </is>
      </c>
      <c r="AD137" s="21" t="inlineStr">
        <is>
          <t>Multi-farm regional</t>
        </is>
      </c>
      <c r="AE137" s="21" t="inlineStr">
        <is>
          <t>Variable / seasonal</t>
        </is>
      </c>
      <c r="AF137" s="21" t="inlineStr">
        <is>
          <t>Monoculture</t>
        </is>
      </c>
      <c r="AG137" s="21" t="inlineStr">
        <is>
          <t>BRUVs / video</t>
        </is>
      </c>
      <c r="AH137" s="21" t="inlineStr">
        <is>
          <t>Not algae-specific</t>
        </is>
      </c>
      <c r="AI137" s="21" t="inlineStr">
        <is>
          <t>Intertidal / very shallow (&lt; 2 m)</t>
        </is>
      </c>
      <c r="AJ137" s="21" t="inlineStr">
        <is>
          <t>Sheltered</t>
        </is>
      </c>
      <c r="AK137" s="16" t="inlineStr">
        <is>
          <t>To compare the fish and crab community on your farm with nearby unfarmed habitat, set paired action cameras on PVC poles about 30 cm up, angled 20° at a staked 1 m² patch, in [each gear type] and in the main natural habitats 30–60 m beyond the farm at similar depth (e.g. bare sediment and eelgrass), filming 2 minutes every 10 minutes around high tide, once per season. From the ten clips nearest high tide, count fish and crabs by species group with a regional guide, then compare farm and reference communities: species lists, richness and Shannon diversity, and with help an NMDS plot tested by PERMANOVA. Run the comparison with and without the most abundant species, which can dominate the result, and expect eelgrass sites to be under-counted because blades block the view.</t>
        </is>
      </c>
      <c r="AL137" s="17" t="inlineStr">
        <is>
          <t>High</t>
        </is>
      </c>
      <c r="AM137" s="18" t="inlineStr">
        <is>
          <t>ferriss_2021_hb211</t>
        </is>
      </c>
      <c r="AN137" s="19" t="n"/>
      <c r="AO137" s="19" t="n"/>
      <c r="AP137" s="19" t="n"/>
      <c r="AQ137" s="16" t="inlineStr">
        <is>
          <t>Community-composition survey — Mollusk</t>
        </is>
      </c>
      <c r="AR137" s="16" t="inlineStr">
        <is>
          <t>Ferriss, Bridget; Veggerby, Karl; Bogeberg, Molly; Conway-Cranos, Letitia; Hoberecht, Laura; Kiffney, Peter; Litle, Kate; Toft, Jodie; Sanderson, Beth</t>
        </is>
      </c>
      <c r="AS137" s="16" t="inlineStr">
        <is>
          <t>Foundational underwater-video protocol paper for nearshore bivalve-aquaculture habitat assessment. Methods extended by Veggerby 2024 (row 97 — foraging behaviour at same sites) and parallel to Mercaldo-Allen 2021 (R57 — eDNA at oyster cages). Demonstrates regional-scale variation in aquaculture-ecological interactions at ~150 km spatial scale.  |  Migration (one-indicator-per-row, 2026-09-04): split from ferriss_2021 -&gt; {ferriss_2021_hb111, ferriss_2021_hb121, ferriss_2021_hb211}. This row = ferriss_2021_hb211 (H&amp;B 2.1.1 — Community composition). Candidate: AK/N/Q blanked and I/K/W/O/P provisional; per-indicator method text, tier/cost/effort and match adjudication to be finalised at generation. Combined parent I/AK/N/Q retained in v37 (pre-split).  |  [2026-10-09 Rule 15 cost re-rate, batch 5] Framework basis: Mol H&amp;B 2.1.1: 2 farm strata + 2 nearby non-farm refs (sediment, eelgrass); seasonal (4 visits); 4 locations × 4 visits × 3 replicates = 48. Unbaited downward video on poles, two cameras deployed as a pair; scoring in free software (BORIS, R) is labour, moved between farm and reference sites; within $90 of the Low/Medium cutoff. Prior O: 'Low–Medium (~$200/camera; main cost is analyst time)'.  |  [2026-10-14 method-summary pass] Full read (PDF from Peter). I: candidate-split text replaced; K: '…(Partial; comparative objective, needs a reference site)' → Match Yes (the source has farm and reference sites). L → Yes. W: 3 → 4 (Rule 14; as bridger_2022_hb211, berger_2024_hb211); fill → T4 lime. AG → 'BRUVs / video'. P → Multi-year. N rewritten; Q, AK filled; U replaced. O unchanged (see ferriss_2021_hb121 timer note). AL High.  |  [2026-10-16 monitoring-methods pass] AT (Monitoring Methods) set from the protocol's method summary (AK): Time-lapse / GoPro cameras.</t>
        </is>
      </c>
      <c r="AT137" s="21" t="inlineStr">
        <is>
          <t>Time-lapse / GoPro cameras</t>
        </is>
      </c>
    </row>
    <row r="138">
      <c r="A138" t="inlineStr">
        <is>
          <t>Liu, Y., et al.</t>
        </is>
      </c>
      <c r="B138" t="inlineStr">
        <is>
          <t>Testing the applicability of the Modelling-Ongrowing Fish farms-Monitoring B (MOM-B) investigation system for assessing benthic habitat quality in the manila clam Ruditapes philippinarum aquaculture areas</t>
        </is>
      </c>
      <c r="C138" t="inlineStr">
        <is>
          <t>Marine Environmental Research</t>
        </is>
      </c>
      <c r="D138" t="n">
        <v>198</v>
      </c>
      <c r="F138" t="inlineStr">
        <is>
          <t>106558</t>
        </is>
      </c>
      <c r="G138" t="n">
        <v>2024</v>
      </c>
      <c r="H138" t="inlineStr">
        <is>
          <t>Elsevier</t>
        </is>
      </c>
      <c r="I138" t="inlineStr">
        <is>
          <t>Maps to H&amp;B 1.3.1 — Benthic infauna. MOM-B Group 1: presence or absence of macrobenthos in box-core samples at 11 stations across high, middle and low shore of a Manila clam culture area. Match: Partial — presence/absence only; no counts or identification.</t>
        </is>
      </c>
      <c r="J138" t="inlineStr">
        <is>
          <t>Protocol</t>
        </is>
      </c>
      <c r="K138" t="inlineStr">
        <is>
          <t>Confirmed standalone (full read). Three cores per station each month (Jun–Sep), animals present in all samples — usable only as a pass/fail check for azoic sediment (Partial: no abundance or diversity).</t>
        </is>
      </c>
      <c r="L138" t="inlineStr">
        <is>
          <t>Yes — sieving cores and checking for animals is field work; no lab step.</t>
        </is>
      </c>
      <c r="M138" t="inlineStr">
        <is>
          <t>Yes</t>
        </is>
      </c>
      <c r="N138" t="inlineStr">
        <is>
          <t>Small box corer (or hand corer); 1 mm sieve; white tray.</t>
        </is>
      </c>
      <c r="O138" t="inlineStr">
        <is>
          <t>Low — ~$400 yr 1: $400 start-up (hand corer $250 [est]; 1 mm sieve $150 [est]) + no recurring cost</t>
        </is>
      </c>
      <c r="P138" t="inlineStr">
        <is>
          <t>Seasonal (1–3 months) — four monthly surveys, Jun–Sep 2021</t>
        </is>
      </c>
      <c r="Q138" t="inlineStr">
        <is>
          <t>MOM-B Group 1 score (fauna present = 0, absent = 1); station mean ≤0.5 = condition 1.</t>
        </is>
      </c>
      <c r="R138" t="inlineStr">
        <is>
          <t>No — Paywalled (Elsevier)</t>
        </is>
      </c>
      <c r="S138" t="inlineStr">
        <is>
          <t>Full PDF</t>
        </is>
      </c>
      <c r="T138" t="inlineStr">
        <is>
          <t>https://doi.org/10.1016/j.marenvres.2024.106558</t>
        </is>
      </c>
      <c r="V138" t="inlineStr">
        <is>
          <t>Original list</t>
        </is>
      </c>
      <c r="W138" s="10" t="inlineStr">
        <is>
          <t>4 — Practitioner</t>
        </is>
      </c>
      <c r="X138" t="inlineStr">
        <is>
          <t>Mollusk</t>
        </is>
      </c>
      <c r="Y138" t="inlineStr">
        <is>
          <t>Habitat &amp; Biodiversity</t>
        </is>
      </c>
      <c r="Z138" t="inlineStr">
        <is>
          <t>H&amp;B 1.3.1 — Benthic infauna</t>
        </is>
      </c>
      <c r="AA138" t="inlineStr">
        <is>
          <t>Temperate Pacific</t>
        </is>
      </c>
      <c r="AB138" t="inlineStr">
        <is>
          <t>Manila clam (Ruditapes philippinarum)</t>
        </is>
      </c>
      <c r="AC138" t="inlineStr">
        <is>
          <t>Bottom culture</t>
        </is>
      </c>
      <c r="AD138" t="inlineStr">
        <is>
          <t>Not site-specific</t>
        </is>
      </c>
      <c r="AE138" t="inlineStr">
        <is>
          <t>Variable / seasonal</t>
        </is>
      </c>
      <c r="AF138" t="inlineStr">
        <is>
          <t>Monoculture</t>
        </is>
      </c>
      <c r="AG138" t="inlineStr">
        <is>
          <t>Sediment sampling, Water chemistry</t>
        </is>
      </c>
      <c r="AH138" t="inlineStr">
        <is>
          <t>Not algae-specific</t>
        </is>
      </c>
      <c r="AI138" t="inlineStr">
        <is>
          <t>Intertidal / very shallow (&lt; 2 m)</t>
        </is>
      </c>
      <c r="AJ138" t="inlineStr">
        <is>
          <t>Sheltered</t>
        </is>
      </c>
      <c r="AK138" s="16" t="inlineStr">
        <is>
          <t>To check that the sediment under your clam beds still supports animal life, take [3] small cores at each station across the culture area — spread over the high, middle and low shore — sieve them and record whether any animals are present; finding none at all marks an unacceptable condition. Do this alongside the sediment condition scoring, monthly through the warm season or at least once per season. Presence/absence is a coarse pass/fail test: counting and identifying the animals through a partner lab is needed to see diversity decline before conditions turn bad.</t>
        </is>
      </c>
      <c r="AL138" s="17" t="inlineStr">
        <is>
          <t>High</t>
        </is>
      </c>
      <c r="AM138" s="18" t="inlineStr">
        <is>
          <t>liu_2024_hb131</t>
        </is>
      </c>
      <c r="AN138" s="19" t="n"/>
      <c r="AO138" s="19" t="n"/>
      <c r="AP138" s="19" t="n"/>
      <c r="AQ138" s="16" t="inlineStr">
        <is>
          <t>Benthic-infauna sampling — Mollusk</t>
        </is>
      </c>
      <c r="AR138" s="16" t="inlineStr">
        <is>
          <t>Liu, Yi; Wang, Xinmeng; Wu, Wenguang; Zhang, Jihong</t>
        </is>
      </c>
      <c r="AS138" s="16" t="inlineStr">
        <is>
          <t>Adapts the Norwegian fish-farm MOM-B protocol to intertidal Manila clam culture. Strong methodological template for practitioner-or-partnership benthic monitoring. Companion to Zhang 2009 Sungo Bay (R99 = #12 new row) and Zhang 2020 Sungo (R50) MOM applications. Adds Chl-a, food availability, and planktonic larvae as supplementary parameters.  |  Migration (one-indicator-per-row, 2026-09-04): split from liu_2024 -&gt; {liu_2024_hb131, liu_2024_hb141, liu_2024_wq211}. This row = liu_2024_hb131 (H&amp;B 1.3.1 — Benthic infauna). Candidate: AK/N/Q blanked and I/K/W/O/P provisional; per-indicator method text, tier/cost/effort and match adjudication to be finalised at generation. Combined parent I/AK/N/Q retained in v37 (pre-split).  |  [2026-10-13 method-summary pass] I, K: candidate-split text replaced after full read (prior: 'Maps to …. Candidate split…' / 'Standalone-candidate…'). N, Q: blank → filled. P: controlled phrase + detail. L: 'Partial — MOM-B uses simple chemistry …' → Yes. W: '3 — Partnership' → '4 — Practitioner' (Rule 14; presence/absence needs no lab). O: 'Medium' → Low ~$400 (Mol H&amp;B 1.3.1 within + edge; gear only, no ID). AK written; AL High. Flagged: presence/absence is a thin match for H&amp;B 1.3.1 (keep or delete).  |  [2026-10-13 Partial review] Partial match reviewed and kept (Peter 2026-10-13).  |  [2026-10-16 monitoring-methods pass] AT (Monitoring Methods) set from the protocol's method summary (AK): Benthic infauna community.</t>
        </is>
      </c>
      <c r="AT138" s="21" t="inlineStr">
        <is>
          <t>Benthic infauna community</t>
        </is>
      </c>
    </row>
    <row r="139">
      <c r="A139" s="21" t="inlineStr">
        <is>
          <t>Liu, Y., et al.</t>
        </is>
      </c>
      <c r="B139" s="21" t="inlineStr">
        <is>
          <t>Testing the applicability of the Modelling-Ongrowing Fish farms-Monitoring B (MOM-B) investigation system for assessing benthic habitat quality in the manila clam Ruditapes philippinarum aquaculture areas</t>
        </is>
      </c>
      <c r="C139" s="21" t="inlineStr">
        <is>
          <t>Marine Environmental Research</t>
        </is>
      </c>
      <c r="D139" s="21" t="n">
        <v>198</v>
      </c>
      <c r="E139" s="21" t="n"/>
      <c r="F139" s="21" t="inlineStr">
        <is>
          <t>106558</t>
        </is>
      </c>
      <c r="G139" s="21" t="n">
        <v>2024</v>
      </c>
      <c r="H139" s="21" t="inlineStr">
        <is>
          <t>Elsevier</t>
        </is>
      </c>
      <c r="I139" s="21" t="inlineStr">
        <is>
          <t>Maps to H&amp;B 1.4.1 — Sediment. MOM-B Groups 2 and 3: surface-sediment pH and redox by microelectrode plus sensory scores, combined into a condition class at 11 stations across a Manila clam tidal flat. Match: Partial — no non-farm reference stations.</t>
        </is>
      </c>
      <c r="J139" s="21" t="inlineStr">
        <is>
          <t>Protocol</t>
        </is>
      </c>
      <c r="K139" s="21" t="inlineStr">
        <is>
          <t>Confirmed standalone (full read). At least three box cores per station each month, pH–Eh diagram scores and sensory scores (× 0.22), Group 2 taking precedence — robust for sediment condition at the farm (Partial: farm-only).</t>
        </is>
      </c>
      <c r="L139" s="21" t="inlineStr">
        <is>
          <t>Yes — pH/redox readings (portable meter; the source used microelectrodes) and sensory scoring are field methods trained farm staff can run; no lab step.</t>
        </is>
      </c>
      <c r="M139" s="21" t="inlineStr">
        <is>
          <t>Yes</t>
        </is>
      </c>
      <c r="N139" s="21" t="inlineStr">
        <is>
          <t>Small box corer; pH and redox (Eh) microelectrodes (source: Unisense) or portable pH/ORP meter; MOM-B sensory scoring sheet; temperature loggers 5 cm above the sediment (context).</t>
        </is>
      </c>
      <c r="O139" s="21" t="inlineStr">
        <is>
          <t>Medium — ~$1.3K yr 1: $1.27K start-up (hand corer $250 [est]; pH/ORP meter $760 [list]; ORP electrode $220 [list]; slate + datasheets $40 [est]) + $50/yr (calibration supplies $50 [est])</t>
        </is>
      </c>
      <c r="P139" s="21" t="inlineStr">
        <is>
          <t>Seasonal (1–3 months) — four monthly surveys, Jun–Sep 2021</t>
        </is>
      </c>
      <c r="Q139" s="21" t="inlineStr">
        <is>
          <t>MOM-B scoring: pH–Eh diagram (Group 2), sensory scores × 0.22 (Group 3), combined condition 1–4.</t>
        </is>
      </c>
      <c r="R139" s="21" t="inlineStr">
        <is>
          <t>No — Paywalled (Elsevier)</t>
        </is>
      </c>
      <c r="S139" s="21" t="inlineStr">
        <is>
          <t>Full PDF</t>
        </is>
      </c>
      <c r="T139" s="21" t="inlineStr">
        <is>
          <t>https://doi.org/10.1016/j.marenvres.2024.106558</t>
        </is>
      </c>
      <c r="U139" s="21" t="n"/>
      <c r="V139" s="21" t="inlineStr">
        <is>
          <t>Original list</t>
        </is>
      </c>
      <c r="W139" s="10" t="inlineStr">
        <is>
          <t>4 — Practitioner</t>
        </is>
      </c>
      <c r="X139" s="21" t="inlineStr">
        <is>
          <t>Mollusk</t>
        </is>
      </c>
      <c r="Y139" s="21" t="inlineStr">
        <is>
          <t>Habitat &amp; Biodiversity</t>
        </is>
      </c>
      <c r="Z139" s="21" t="inlineStr">
        <is>
          <t>H&amp;B 1.4.1 — Sediment</t>
        </is>
      </c>
      <c r="AA139" s="21" t="inlineStr">
        <is>
          <t>Temperate Pacific</t>
        </is>
      </c>
      <c r="AB139" s="21" t="inlineStr">
        <is>
          <t>Manila clam (Ruditapes philippinarum)</t>
        </is>
      </c>
      <c r="AC139" s="21" t="inlineStr">
        <is>
          <t>Bottom culture</t>
        </is>
      </c>
      <c r="AD139" s="21" t="inlineStr">
        <is>
          <t>Not site-specific</t>
        </is>
      </c>
      <c r="AE139" s="21" t="inlineStr">
        <is>
          <t>Variable / seasonal</t>
        </is>
      </c>
      <c r="AF139" s="21" t="inlineStr">
        <is>
          <t>Monoculture</t>
        </is>
      </c>
      <c r="AG139" s="21" t="inlineStr">
        <is>
          <t>Sediment sampling, Water chemistry</t>
        </is>
      </c>
      <c r="AH139" s="21" t="inlineStr">
        <is>
          <t>Not algae-specific</t>
        </is>
      </c>
      <c r="AI139" s="21" t="inlineStr">
        <is>
          <t>Intertidal / very shallow (&lt; 2 m)</t>
        </is>
      </c>
      <c r="AJ139" s="21" t="inlineStr">
        <is>
          <t>Sheltered</t>
        </is>
      </c>
      <c r="AK139" s="16" t="inlineStr">
        <is>
          <t>To score the condition of the sediment in your culture area, take [3] small cores at each station across the high, middle and low shore and immediately measure pH and redox potential at the sediment surface with a portable meter or microelectrode. Score the sensory signs — colour, smell, consistency, gas bubbles and thickness of any sludge layer — on the MOM-B sheet, combine them with the pH/redox score, and assign a condition class from 1 (best) to 4 (unacceptable), letting pH/redox decide when the groups disagree. Repeat monthly through the warm season, or at least twice a year, and add [2] nearby non-farm stations to separate farm effects from the natural gradient across the flat.</t>
        </is>
      </c>
      <c r="AL139" s="17" t="inlineStr">
        <is>
          <t>High</t>
        </is>
      </c>
      <c r="AM139" s="18" t="inlineStr">
        <is>
          <t>liu_2024_hb141</t>
        </is>
      </c>
      <c r="AN139" s="19" t="n"/>
      <c r="AO139" s="19" t="n"/>
      <c r="AP139" s="19" t="n"/>
      <c r="AQ139" s="16" t="inlineStr">
        <is>
          <t>Sediment-condition monitoring — Mollusk</t>
        </is>
      </c>
      <c r="AR139" s="16" t="inlineStr">
        <is>
          <t>Liu, Yi; Wang, Xinmeng; Wu, Wenguang; Zhang, Jihong</t>
        </is>
      </c>
      <c r="AS139" s="16" t="inlineStr">
        <is>
          <t>Adapts the Norwegian fish-farm MOM-B protocol to intertidal Manila clam culture. Strong methodological template for practitioner-or-partnership benthic monitoring. Companion to Zhang 2009 Sungo Bay (R99 = #12 new row) and Zhang 2020 Sungo (R50) MOM applications. Adds Chl-a, food availability, and planktonic larvae as supplementary parameters.  |  Migration (one-indicator-per-row, 2026-09-04): split from liu_2024 -&gt; {liu_2024_hb131, liu_2024_hb141, liu_2024_wq211}. This row = liu_2024_hb141 (H&amp;B 1.4.1 — Sediment). Candidate: AK/N/Q blanked and I/K/W/O/P provisional; per-indicator method text, tier/cost/effort and match adjudication to be finalised at generation. Combined parent I/AK/N/Q retained in v37 (pre-split).  |  [2026-10-09 Rule 15 cost re-rate, batch 5] Framework basis: Mol H&amp;B 1.4.1: 2 farm strata + 2 nearby non-farm refs; seasonal or biannual (2 visits); 4 locations × 2 visits × 3 replicates = 24. MOM-B chemical (pH, Eh) and sensory scoring in the field, no lab fees; intertidal, so hand cores. Prior O: 'Medium'.  |  [2026-10-13 method-summary pass] I, K: candidate-split text replaced after full read (prior: 'Maps to …. Candidate split…' / 'Standalone-candidate…'). N, Q: blank → filled. P: controlled phrase + detail. L: 'Partial — MOM-B uses simple chemistry …; sediment sampling skill needed.' → Yes. W: '3 — Partnership' → '4 — Practitioner' (Rule 14; same basis as the approved zhang hb141 promotions). O unchanged. AK written; AL High.  |  [2026-10-16 monitoring-methods pass] AT (Monitoring Methods) set from the protocol's method summary (AK): pH, Sediment chemistry (OC / TN / redox / AVS), MOM-B condition survey.</t>
        </is>
      </c>
      <c r="AT139" s="21" t="inlineStr">
        <is>
          <t>pH, Sediment chemistry (OC / TN / redox / AVS), MOM-B condition survey</t>
        </is>
      </c>
    </row>
    <row r="140">
      <c r="A140" s="21" t="inlineStr">
        <is>
          <t>Liu, Y., et al.</t>
        </is>
      </c>
      <c r="B140" s="21" t="inlineStr">
        <is>
          <t>Testing the applicability of the Modelling-Ongrowing Fish farms-Monitoring B (MOM-B) investigation system for assessing benthic habitat quality in the manila clam Ruditapes philippinarum aquaculture areas</t>
        </is>
      </c>
      <c r="C140" s="21" t="inlineStr">
        <is>
          <t>Marine Environmental Research</t>
        </is>
      </c>
      <c r="D140" s="21" t="n">
        <v>198</v>
      </c>
      <c r="E140" s="21" t="n"/>
      <c r="F140" s="21" t="inlineStr">
        <is>
          <t>106558</t>
        </is>
      </c>
      <c r="G140" s="21" t="n">
        <v>2024</v>
      </c>
      <c r="H140" s="21" t="inlineStr">
        <is>
          <t>Elsevier</t>
        </is>
      </c>
      <c r="I140" s="21" t="inlineStr">
        <is>
          <t>Maps to WQ 2.1.1 — Chlorophyll-a. Bottom water from a water collector, 500 mL filtered in sequence (20, 2, 0.45 µm) for size-fractionated fluorometric chlorophyll-a, at 11 stations in the clam culture area. Match: Partial — farm-only, no non-farm reference.</t>
        </is>
      </c>
      <c r="J140" s="21" t="inlineStr">
        <is>
          <t>Protocol</t>
        </is>
      </c>
      <c r="K140" s="21" t="inlineStr">
        <is>
          <t>Confirmed standalone (full read). Monthly (Jun–Sep) size-fractionated chl-a summed to total, used as food availability alongside stable isotopes — robust for chl-a at the farm (Partial: no farm-vs-reference comparison).</t>
        </is>
      </c>
      <c r="L140" s="21" t="inlineStr">
        <is>
          <t>Partial — water collection and filtration are farmer-doable; fluorometric chlorophyll-a needs a partner lab.</t>
        </is>
      </c>
      <c r="M140" s="21" t="inlineStr">
        <is>
          <t>Yes</t>
        </is>
      </c>
      <c r="N140" s="21" t="inlineStr">
        <is>
          <t>Water collector (source: KC-Denmark); filtration set with 20 µm, 2 µm and 0.45 µm membranes; frozen filter storage; partner-lab fluorometer.</t>
        </is>
      </c>
      <c r="O140" s="21" t="inlineStr">
        <is>
          <t>Medium — ~$2.3K yr 1: $1.34K start-up (water sampler $986 [list]; messenger + line $100 [est]; chl-a filtration kit $250 [est]) + $1.01K/yr (chl-a analysis 36 × $25.18 [lab fee]; filters + foil $100 [est])</t>
        </is>
      </c>
      <c r="P140" s="21" t="inlineStr">
        <is>
          <t>Seasonal (1–3 months) — four monthly surveys, Jun–Sep 2021</t>
        </is>
      </c>
      <c r="Q140" s="21" t="inlineStr">
        <is>
          <t>Size-fractionated and total chl-a per station and month; descriptive comparison by tidal zone.</t>
        </is>
      </c>
      <c r="R140" s="21" t="inlineStr">
        <is>
          <t>No — Paywalled (Elsevier)</t>
        </is>
      </c>
      <c r="S140" s="21" t="inlineStr">
        <is>
          <t>Full PDF</t>
        </is>
      </c>
      <c r="T140" s="21" t="inlineStr">
        <is>
          <t>https://doi.org/10.1016/j.marenvres.2024.106558</t>
        </is>
      </c>
      <c r="U140" s="21" t="n"/>
      <c r="V140" s="21" t="inlineStr">
        <is>
          <t>Original list</t>
        </is>
      </c>
      <c r="W140" s="9" t="inlineStr">
        <is>
          <t>3 — Partnership</t>
        </is>
      </c>
      <c r="X140" s="21" t="inlineStr">
        <is>
          <t>Mollusk</t>
        </is>
      </c>
      <c r="Y140" s="21" t="inlineStr">
        <is>
          <t>Water Quality</t>
        </is>
      </c>
      <c r="Z140" s="21" t="inlineStr">
        <is>
          <t>WQ 2.1.1 — Chlorophyll-a</t>
        </is>
      </c>
      <c r="AA140" s="21" t="inlineStr">
        <is>
          <t>Temperate Pacific</t>
        </is>
      </c>
      <c r="AB140" s="21" t="inlineStr">
        <is>
          <t>Manila clam (Ruditapes philippinarum)</t>
        </is>
      </c>
      <c r="AC140" s="21" t="inlineStr">
        <is>
          <t>Bottom culture</t>
        </is>
      </c>
      <c r="AD140" s="21" t="inlineStr">
        <is>
          <t>Not site-specific</t>
        </is>
      </c>
      <c r="AE140" s="21" t="inlineStr">
        <is>
          <t>Variable / seasonal</t>
        </is>
      </c>
      <c r="AF140" s="21" t="inlineStr">
        <is>
          <t>Monoculture</t>
        </is>
      </c>
      <c r="AG140" s="21" t="inlineStr">
        <is>
          <t>Sediment sampling, Water chemistry</t>
        </is>
      </c>
      <c r="AH140" s="21" t="inlineStr">
        <is>
          <t>Not algae-specific</t>
        </is>
      </c>
      <c r="AI140" s="21" t="inlineStr">
        <is>
          <t>Intertidal / very shallow (&lt; 2 m)</t>
        </is>
      </c>
      <c r="AJ140" s="21" t="inlineStr">
        <is>
          <t>Sheltered</t>
        </is>
      </c>
      <c r="AK140" s="16" t="inlineStr">
        <is>
          <t>To track the food (phytoplankton) available to your clams, collect water just above the sediment with a water sampler at [3] stations across the culture area and [2] outside it, at least once per season (monthly through the growing season shows the cycle). Filter [500 mL] per sample, optionally in sequence through 20, 2 and 0.45 µm filters to separate large, medium and small cells, and have a partner lab measure chlorophyll-a by fluorometry, summing fractions for the total. On tidal flats depth and resuspension change over the tide, so sample at the same tidal stage each time.</t>
        </is>
      </c>
      <c r="AL140" s="17" t="inlineStr">
        <is>
          <t>High</t>
        </is>
      </c>
      <c r="AM140" s="18" t="inlineStr">
        <is>
          <t>liu_2024_wq211</t>
        </is>
      </c>
      <c r="AN140" s="19" t="n"/>
      <c r="AO140" s="19" t="n"/>
      <c r="AP140" s="19" t="n"/>
      <c r="AQ140" s="16" t="inlineStr">
        <is>
          <t>Chlorophyll-a monitoring — Mollusk</t>
        </is>
      </c>
      <c r="AR140" s="16" t="inlineStr">
        <is>
          <t>Liu, Yi; Wang, Xinmeng; Wu, Wenguang; Zhang, Jihong</t>
        </is>
      </c>
      <c r="AS140" s="16" t="inlineStr">
        <is>
          <t>Adapts the Norwegian fish-farm MOM-B protocol to intertidal Manila clam culture. Strong methodological template for practitioner-or-partnership benthic monitoring. Companion to Zhang 2009 Sungo Bay (R99 = #12 new row) and Zhang 2020 Sungo (R50) MOM applications. Adds Chl-a, food availability, and planktonic larvae as supplementary parameters.  |  Migration (one-indicator-per-row, 2026-09-04): split from liu_2024 -&gt; {liu_2024_hb131, liu_2024_hb141, liu_2024_wq211}. This row = liu_2024_wq211 (WQ 2.1.1 — Chlorophyll-a). Candidate: AK/N/Q blanked and I/K/W/O/P provisional; per-indicator method text, tier/cost/effort and match adjudication to be finalised at generation. Combined parent I/AK/N/Q retained in v37 (pre-split).  |  [2026-10-13 method-summary pass] I, K: candidate-split text replaced after full read (prior: 'Maps to …. Candidate split…' / 'Standalone-candidate…'). N, Q: blank → filled. P: controlled phrase + detail. O: 'Medium' → Medium ~$2.3K; Rule 15 basis: Mol WQ 2.1.1 farm + 2 adjacent refs × 4 seasonal visits × 3 = 36 total chl-a (size fractions optional, not priced); bottom water, so a water sampler. AK written; AL High.  |  [2026-10-16 monitoring-methods pass] AT (Monitoring Methods) set from the protocol's method summary (AK): Chlorophyll-a (water).</t>
        </is>
      </c>
      <c r="AT140" s="21" t="inlineStr">
        <is>
          <t>Chlorophyll-a (water)</t>
        </is>
      </c>
    </row>
    <row r="141">
      <c r="A141" t="inlineStr">
        <is>
          <t>Whiteley, J. &amp; Bendell-Young, L.</t>
        </is>
      </c>
      <c r="B141" t="inlineStr">
        <is>
          <t>Ecological implications of intertidal mariculture: observed differences in bivalve community structure between farm and reference sites</t>
        </is>
      </c>
      <c r="C141" t="inlineStr">
        <is>
          <t>Journal of Applied Ecology</t>
        </is>
      </c>
      <c r="D141" t="n">
        <v>44</v>
      </c>
      <c r="E141" t="n">
        <v>3</v>
      </c>
      <c r="F141" t="inlineStr">
        <is>
          <t>495-505</t>
        </is>
      </c>
      <c r="G141" t="n">
        <v>2007</v>
      </c>
      <c r="H141" t="inlineStr">
        <is>
          <t>Wiley</t>
        </is>
      </c>
      <c r="I141" t="inlineStr">
        <is>
          <t>Maps to H&amp;B 1.3.1 — Benthic infauna. Intertidal Manila clam farms (seeded and netted for 1–10 years) and paired unfarmed reference beaches matched for sediment, slope, size and exposure in three British Columbia regions (Baynes, Barkley and Desolation Sounds), May–Aug 2003: 12–18 random 0.5 × 0.5 m quadrats per site and tide stratum (low 1–2 m, mid &gt;2 m above chart datum), dug to 20 cm and sieved at 6 mm, with a 0.25 × 0.25 m corner also through 1 mm; bivalves identified in the field to species, counted, and weighed (blotted wet weight) in a third of quadrats; density, biomass, richness estimators, evenness and Shannon diversity. Match: Partial — bivalves only.</t>
        </is>
      </c>
      <c r="J141" t="inlineStr">
        <is>
          <t>Protocol</t>
        </is>
      </c>
      <c r="K141" t="inlineStr">
        <is>
          <t>Confirmed standalone (full read). Quadrat dig-and-sieve survey gives bivalve density, biomass and richness per site; farms had about 227 more Manila clams m⁻² in the low stratum but no difference in other bivalves or diversity — usable for H&amp;B 1.3.1 on bivalve-dominated intertidal beds (Partial: other infauna not recorded).</t>
        </is>
      </c>
      <c r="L141" t="inlineStr">
        <is>
          <t>Yes — digging quadrats at low tide, sieving and identifying clams with a regional field guide is farmer-doable; doubtful specimens can go to an expert.</t>
        </is>
      </c>
      <c r="M141" t="inlineStr">
        <is>
          <t>Yes</t>
        </is>
      </c>
      <c r="N141" t="inlineStr">
        <is>
          <t>Stainless steel quadrat frame (0.5 × 0.5 × 0.3 m deep); shovel; 6 mm sieve over a 1 mm sieve for a 0.25 × 0.25 m subsample; regional field guides (Harbo 1997; Sept 1999) and expert help for doubtful specimens; balance (0.1 g) and calipers; 5 × 10 cm sediment cores wet-sieved for grain size.</t>
        </is>
      </c>
      <c r="O141" t="inlineStr">
        <is>
          <t>Low — ~$410 yr 1: $410 start-up (quadrat frame $30 [est]; 6 mm sieve $150 [est]; 1 mm sieve $150 [est]; field ID kit $80 [est]) + no recurring cost</t>
        </is>
      </c>
      <c r="P141" t="inlineStr">
        <is>
          <t>Seasonal (1–3 months) — one survey per site at daytime low tides, May–Aug 2003</t>
        </is>
      </c>
      <c r="Q141" t="inlineStr">
        <is>
          <t>Weighted paired t-tests (farm − reference) of density and biomass by stratum; richness estimators (jack-knife, ACE, ICE), Simpson evenness and Shannon–Wiener in EstimateS.</t>
        </is>
      </c>
      <c r="R141" t="inlineStr">
        <is>
          <t>No — Paywalled (Wiley)</t>
        </is>
      </c>
      <c r="S141" t="inlineStr">
        <is>
          <t>Full PDF</t>
        </is>
      </c>
      <c r="T141" t="inlineStr">
        <is>
          <t>https://doi.org/10.1111/j.1365-2664.2007.01283.x</t>
        </is>
      </c>
      <c r="U141" t="inlineStr">
        <is>
          <t>Bivalves only (over 80% of infauna on these coarse beaches). Farms were both seeded and netted, so the two practices cannot be separated; reference beaches are also hand-raked by wild harvesters. One reference closed to harvest was excluded as a biomass outlier.</t>
        </is>
      </c>
      <c r="V141" t="inlineStr">
        <is>
          <t>Original list</t>
        </is>
      </c>
      <c r="W141" s="40" t="inlineStr">
        <is>
          <t>4 — Practitioner</t>
        </is>
      </c>
      <c r="X141" t="inlineStr">
        <is>
          <t>Mollusk</t>
        </is>
      </c>
      <c r="Y141" t="inlineStr">
        <is>
          <t>Habitat &amp; Biodiversity</t>
        </is>
      </c>
      <c r="Z141" t="inlineStr">
        <is>
          <t>H&amp;B 1.3.1 — Benthic infauna</t>
        </is>
      </c>
      <c r="AA141" t="inlineStr">
        <is>
          <t>Temperate Pacific</t>
        </is>
      </c>
      <c r="AB141" t="inlineStr">
        <is>
          <t>Manila clam (Ruditapes philippinarum)</t>
        </is>
      </c>
      <c r="AC141" t="inlineStr">
        <is>
          <t>Bottom culture</t>
        </is>
      </c>
      <c r="AD141" t="inlineStr">
        <is>
          <t>Multi-farm regional</t>
        </is>
      </c>
      <c r="AE141" t="inlineStr">
        <is>
          <t>Variable / seasonal</t>
        </is>
      </c>
      <c r="AF141" t="inlineStr">
        <is>
          <t>Monoculture</t>
        </is>
      </c>
      <c r="AG141" t="inlineStr">
        <is>
          <t>Sediment sampling</t>
        </is>
      </c>
      <c r="AH141" t="inlineStr">
        <is>
          <t>Not algae-specific</t>
        </is>
      </c>
      <c r="AI141" t="inlineStr">
        <is>
          <t>Intertidal / very shallow (&lt; 2 m)</t>
        </is>
      </c>
      <c r="AJ141" t="inlineStr">
        <is>
          <t>Sheltered</t>
        </is>
      </c>
      <c r="AK141" s="16" t="inlineStr">
        <is>
          <t>To check what your clam farming does to the bivalves living in the beach, sample at low tide in [two] tide bands (low and mid intertidal): place [3] 0.5 × 0.5 m quadrats at random under the nets and [3] at the edge of the farmed area in each band. Dig each quadrat to 20 cm, sieve the sediment through a 6 mm mesh, and pass the sediment from one 0.25 × 0.25 m corner through a 1 mm sieve as well to catch small clams. Identify and count the bivalves with a regional field guide (send doubtful ones to an expert), weigh them, and return them to the sediment. Report density, biomass and number of species per m², with and without the farmed clams, once per season. The source recorded bivalves only, which made up over 80% of the infauna on these coarse beaches; other infauna would need a partner lab.</t>
        </is>
      </c>
      <c r="AL141" s="17" t="inlineStr">
        <is>
          <t>High</t>
        </is>
      </c>
      <c r="AM141" s="18" t="inlineStr">
        <is>
          <t>whiteley_2007_hb131</t>
        </is>
      </c>
      <c r="AN141" s="19" t="n"/>
      <c r="AO141" s="19" t="n"/>
      <c r="AP141" s="19" t="n"/>
      <c r="AQ141" s="16" t="inlineStr">
        <is>
          <t>Benthic-infauna sampling — Mollusk</t>
        </is>
      </c>
      <c r="AR141" s="16" t="inlineStr">
        <is>
          <t>Whiteley, Jonathan; Bendell-Young, Leah</t>
        </is>
      </c>
      <c r="AS141" s="16" t="inlineStr">
        <is>
          <t>BC Canada intertidal Manila clam farms with predator-exclusion netting on seeded clam beds. Reports limited site-scale impact on bivalve community structure but flags potential regional-scale cumulative impacts. Calls for regional-scale baseline + monitoring. Reference benchmark for intertidal clam-bed netting context. AC = Bottom culture chosen as closest vocab; the gear is laid-net-over-substrate rather than rack-and-bag — minor vocab gap to log for v1.4.  |  Migration (one-indicator-per-row, 2026-09-04): split from whiteley_2007 -&gt; {whiteley_2007_hb131, whiteley_2007_hb211}. This row = whiteley_2007_hb131 (H&amp;B 1.3.1 — Benthic infauna). Candidate: AK/N/Q blanked and I/K/W/O/P provisional; per-indicator method text, tier/cost/effort and match adjudication to be finalised at generation. Combined parent I/AK/N/Q retained in v37 (pre-split).  |  [2026-10-16 method-summary pass] Full read (Peter's PDF). S: 'Abstract + DOI metadata' → 'Full PDF'. I, K: candidate-split text replaced; Match Partial (bivalves only). L → Yes. W: '2 — Researcher' → '4 — Practitioner' (Rule 14; field ID with a guide, lab-fee waiver for field-identifiable taxa); fill → T4 lime. N, Q, U filled; P → Seasonal + detail. O: 'Medium' (never re-rated) → 'Low — ~$410' (Rule 15: Mol H&amp;B 1.3.1, under/within farm + edge, seasonal, 24 quadrats; gear only, no lab fee). AK written; AL Low → High.  |  [2026-10-16 method-summary pass] Peter's call (2026-10-16): Partial kept.  |  [2026-10-16 monitoring-methods pass] AT (Monitoring Methods) set from the protocol's method summary (AK): Benthic infauna community.</t>
        </is>
      </c>
      <c r="AT141" s="21" t="inlineStr">
        <is>
          <t>Benthic infauna community</t>
        </is>
      </c>
    </row>
    <row r="142">
      <c r="A142" s="21" t="inlineStr">
        <is>
          <t>Whiteley, J. &amp; Bendell-Young, L.</t>
        </is>
      </c>
      <c r="B142" s="21" t="inlineStr">
        <is>
          <t>Ecological implications of intertidal mariculture: observed differences in bivalve community structure between farm and reference sites</t>
        </is>
      </c>
      <c r="C142" s="21" t="inlineStr">
        <is>
          <t>Journal of Applied Ecology</t>
        </is>
      </c>
      <c r="D142" s="21" t="n">
        <v>44</v>
      </c>
      <c r="E142" s="21" t="n">
        <v>3</v>
      </c>
      <c r="F142" s="21" t="inlineStr">
        <is>
          <t>495-505</t>
        </is>
      </c>
      <c r="G142" s="21" t="n">
        <v>2007</v>
      </c>
      <c r="H142" s="21" t="inlineStr">
        <is>
          <t>Wiley</t>
        </is>
      </c>
      <c r="I142" s="21" t="inlineStr">
        <is>
          <t>Maps to H&amp;B 2.1.1 — Community composition. Intertidal Manila clam farms (seeded and netted for 1–10 years) and paired unfarmed reference beaches matched for sediment, slope, size and exposure in three British Columbia regions (Baynes, Barkley and Desolation Sounds), May–Aug 2003: 12–18 random 0.5 × 0.5 m quadrats per site and tide stratum (low 1–2 m, mid &gt;2 m above chart datum), dug to 20 cm and sieved at 6 mm, with a 0.25 × 0.25 m corner also through 1 mm; bivalves identified in the field to species, counted, and weighed (blotted wet weight) in a third of quadrats; bivalve species richness, evenness and composition compared between paired farm and reference sites (MDS, ANOSIM). Match: Partial — bivalve community only; references are matched unfarmed beaches.</t>
        </is>
      </c>
      <c r="J142" s="21" t="inlineStr">
        <is>
          <t>Protocol</t>
        </is>
      </c>
      <c r="K142" s="21" t="inlineStr">
        <is>
          <t>Confirmed standalone (full read). Paired farm and reference beaches across three regions gave bivalve richness, evenness and composition; composition did not differ overall, but farm sites were more alike than reference sites, eroding regional distinctness — usable for H&amp;B 2.1.1 for intertidal clam farming (Partial: bivalves only).</t>
        </is>
      </c>
      <c r="L142" s="21" t="inlineStr">
        <is>
          <t>Yes — digging quadrats at low tide, sieving and identifying clams with a regional field guide is farmer-doable; doubtful specimens can go to an expert.</t>
        </is>
      </c>
      <c r="M142" s="21" t="inlineStr">
        <is>
          <t>Yes</t>
        </is>
      </c>
      <c r="N142" s="21" t="inlineStr">
        <is>
          <t>Stainless steel quadrat frame (0.5 × 0.5 × 0.3 m deep); shovel; 6 mm sieve over a 1 mm sieve for a 0.25 × 0.25 m subsample; regional field guides (Harbo 1997; Sept 1999) and expert help for doubtful specimens; balance (0.1 g) and calipers; 5 × 10 cm sediment cores wet-sieved for grain size.</t>
        </is>
      </c>
      <c r="O142" s="21" t="inlineStr">
        <is>
          <t>Low — ~$410 yr 1: $410 start-up (quadrat frame $30 [est]; 6 mm sieve $150 [est]; 1 mm sieve $150 [est]; field ID kit $80 [est]) + no recurring cost</t>
        </is>
      </c>
      <c r="P142" s="21" t="inlineStr">
        <is>
          <t>Seasonal (1–3 months) — one survey per site at daytime low tides, May–Aug 2003</t>
        </is>
      </c>
      <c r="Q142" s="21" t="inlineStr">
        <is>
          <t>Bray–Curtis similarity on fourth-root density and biomass, MDS and two-way crossed ANOSIM (farming × stratum, farming × region) and SIMPER (PRIMER); paired tests of richness and evenness.</t>
        </is>
      </c>
      <c r="R142" s="21" t="inlineStr">
        <is>
          <t>No — Paywalled (Wiley)</t>
        </is>
      </c>
      <c r="S142" s="21" t="inlineStr">
        <is>
          <t>Full PDF</t>
        </is>
      </c>
      <c r="T142" s="21" t="inlineStr">
        <is>
          <t>https://doi.org/10.1111/j.1365-2664.2007.01283.x</t>
        </is>
      </c>
      <c r="U142" s="21" t="inlineStr">
        <is>
          <t>Bivalves only (over 80% of infauna on these coarse beaches). Farms were both seeded and netted, so the two practices cannot be separated; reference beaches are also hand-raked by wild harvesters. One reference closed to harvest was excluded as a biomass outlier.</t>
        </is>
      </c>
      <c r="V142" s="21" t="inlineStr">
        <is>
          <t>Original list</t>
        </is>
      </c>
      <c r="W142" s="43" t="inlineStr">
        <is>
          <t>4 — Practitioner</t>
        </is>
      </c>
      <c r="X142" s="21" t="inlineStr">
        <is>
          <t>Mollusk</t>
        </is>
      </c>
      <c r="Y142" s="21" t="inlineStr">
        <is>
          <t>Habitat &amp; Biodiversity</t>
        </is>
      </c>
      <c r="Z142" s="21" t="inlineStr">
        <is>
          <t>H&amp;B 2.1.1 — Community composition</t>
        </is>
      </c>
      <c r="AA142" s="21" t="inlineStr">
        <is>
          <t>Temperate Pacific</t>
        </is>
      </c>
      <c r="AB142" s="21" t="inlineStr">
        <is>
          <t>Manila clam (Ruditapes philippinarum)</t>
        </is>
      </c>
      <c r="AC142" s="21" t="inlineStr">
        <is>
          <t>Bottom culture</t>
        </is>
      </c>
      <c r="AD142" s="21" t="inlineStr">
        <is>
          <t>Multi-farm regional</t>
        </is>
      </c>
      <c r="AE142" s="21" t="inlineStr">
        <is>
          <t>Variable / seasonal</t>
        </is>
      </c>
      <c r="AF142" s="21" t="inlineStr">
        <is>
          <t>Monoculture</t>
        </is>
      </c>
      <c r="AG142" s="21" t="inlineStr">
        <is>
          <t>Sediment sampling</t>
        </is>
      </c>
      <c r="AH142" s="21" t="inlineStr">
        <is>
          <t>Not algae-specific</t>
        </is>
      </c>
      <c r="AI142" s="21" t="inlineStr">
        <is>
          <t>Intertidal / very shallow (&lt; 2 m)</t>
        </is>
      </c>
      <c r="AJ142" s="21" t="inlineStr">
        <is>
          <t>Sheltered</t>
        </is>
      </c>
      <c r="AK142" s="16" t="inlineStr">
        <is>
          <t>To compare the bivalve community on your clam plots with natural beach nearby, choose [2] reference beaches outside the lease that match your plots for sediment type, slope, size and wave exposure. At low tide in each tide band (low and mid intertidal), dig [3] random 0.5 × 0.5 m quadrats to 20 cm under the nets, [3] at the farm edge and [3] at each reference, sieve at 6 mm (with one 0.25 × 0.25 m corner also through 1 mm), and identify, count and weigh the bivalves with a regional field guide before returning them. Compare species number, evenness and species mix between farm and reference once per season, with and without the farmed clams. The source found farms held more of the seeded clam but no fewer native species, while farm sites became more alike than reference sites; it recorded bivalves only.</t>
        </is>
      </c>
      <c r="AL142" s="17" t="inlineStr">
        <is>
          <t>High</t>
        </is>
      </c>
      <c r="AM142" s="18" t="inlineStr">
        <is>
          <t>whiteley_2007_hb211</t>
        </is>
      </c>
      <c r="AN142" s="19" t="n"/>
      <c r="AO142" s="19" t="n"/>
      <c r="AP142" s="19" t="n"/>
      <c r="AQ142" s="16" t="inlineStr">
        <is>
          <t>Community-composition survey — Mollusk</t>
        </is>
      </c>
      <c r="AR142" s="16" t="inlineStr">
        <is>
          <t>Whiteley, Jonathan; Bendell-Young, Leah</t>
        </is>
      </c>
      <c r="AS142" s="16" t="inlineStr">
        <is>
          <t>BC Canada intertidal Manila clam farms with predator-exclusion netting on seeded clam beds. Reports limited site-scale impact on bivalve community structure but flags potential regional-scale cumulative impacts. Calls for regional-scale baseline + monitoring. Reference benchmark for intertidal clam-bed netting context. AC = Bottom culture chosen as closest vocab; the gear is laid-net-over-substrate rather than rack-and-bag — minor vocab gap to log for v1.4.  |  Migration (one-indicator-per-row, 2026-09-04): split from whiteley_2007 -&gt; {whiteley_2007_hb131, whiteley_2007_hb211}. This row = whiteley_2007_hb211 (H&amp;B 2.1.1 — Community composition). Candidate: AK/N/Q blanked and I/K/W/O/P provisional; per-indicator method text, tier/cost/effort and match adjudication to be finalised at generation. Combined parent I/AK/N/Q retained in v37 (pre-split).  |  [2026-10-16 method-summary pass] Full read (Peter's PDF). S: 'Abstract + DOI metadata' → 'Full PDF'. I, K: candidate-split text replaced; Match Partial (bivalve community only). L → Yes. W: '2 — Researcher' → '4 — Practitioner' (Rule 14; field ID with a guide, lab-fee waiver); fill → T4 lime. N, Q, U filled; P → Seasonal + detail. O: 'Medium' (never re-rated) → 'Low — ~$410' (Rule 15: Mol H&amp;B 2.1.1, 4 locations, seasonal, 48 quadrats; gear only). AK written; AL Low → High.  |  [2026-10-16 method-summary pass] Peter's call (2026-10-16): Partial kept.  |  [2026-10-16 monitoring-methods pass] AT (Monitoring Methods) set from the protocol's method summary (AK): Site exposure characterisation.</t>
        </is>
      </c>
      <c r="AT142" s="21" t="inlineStr">
        <is>
          <t>Site exposure characterisation</t>
        </is>
      </c>
    </row>
    <row r="143">
      <c r="A143" t="inlineStr">
        <is>
          <t>Žydelis, R., et al.</t>
        </is>
      </c>
      <c r="B143" t="inlineStr">
        <is>
          <t>Effects of off-bottom shellfish aquaculture on winter habitat use by molluscivorous sea ducks</t>
        </is>
      </c>
      <c r="C143" t="inlineStr">
        <is>
          <t>Aquatic Conservation: Marine and Freshwater Ecosystems</t>
        </is>
      </c>
      <c r="D143" t="n">
        <v>19</v>
      </c>
      <c r="E143" t="n">
        <v>1</v>
      </c>
      <c r="F143" t="inlineStr">
        <is>
          <t>34-42</t>
        </is>
      </c>
      <c r="G143" t="n">
        <v>2009</v>
      </c>
      <c r="H143" t="inlineStr">
        <is>
          <t>Wiley</t>
        </is>
      </c>
      <c r="I143" t="inlineStr">
        <is>
          <t>Maps to H&amp;B 1.2.1 — Mobile fauna (birds). Boat-based counts of wintering surf scoters and Barrow's goldeneyes in 34 shoreline survey polygons (out to 250 m) in the Malaspina Complex, BC, 18 of them holding off-bottom oyster longline/raft gear; cumulative winter densities modelled against % farm coverage, intertidal width, reefs, rocky shore and intertidal mussel density. Match: Partial — abundance of two sea-duck species only; no assemblage diversity.</t>
        </is>
      </c>
      <c r="J143" t="inlineStr">
        <is>
          <t>Protocol</t>
        </is>
      </c>
      <c r="K143" t="inlineStr">
        <is>
          <t>Yes (full read) — 12 core-winter counts per polygon give robust relative-use densities; % aquaculture coverage was the best-supported predictor for both species (R² ~0.43–0.69), attributed to wild mussels fouling the gear. Correlational, one winter; the farm vs non-farm contrast is a gradient across polygons rather than paired references.</t>
        </is>
      </c>
      <c r="L143" t="inlineStr">
        <is>
          <t>Yes — counts from the farm boat with binoculars and a field guide; % gear cover from GPS-traced lease outlines; a simple farm vs non-farm density comparison can stand in for the model selection.</t>
        </is>
      </c>
      <c r="M143" t="inlineStr">
        <is>
          <t>Yes</t>
        </is>
      </c>
      <c r="N143" t="inlineStr">
        <is>
          <t>Small boat with outboard (≤10 km/h, ~100 m offshore); binoculars; handheld GPS and compass (waypoint, bearing and estimated distance per flock); datasheets; GIS (ArcView) for polygon and farm-footprint areas; nautical charts and BC ShoreZone data for habitat covariates; clinometer and 1 × 1 m / 0.1 × 0.1 m quadrats for intertidal mussel density.</t>
        </is>
      </c>
      <c r="O143" t="inlineStr">
        <is>
          <t>Low — ~$220 yr 1: $220 start-up (binoculars $150 [est]; slate + datasheets $40 [est]; bird ID guide $30 [est]) + no recurring cost</t>
        </is>
      </c>
      <c r="P143" t="inlineStr">
        <is>
          <t>Multi-season (3–9 months) — 2–3 boat surveys a month, Oct 2004–Apr 2005; the 12 core-winter surveys (late Oct–late Feb) were analysed</t>
        </is>
      </c>
      <c r="Q143" t="inlineStr">
        <is>
          <t>Cumulative bird density per polygon (birds km⁻²) regressed on all combinations of five habitat variables (31 models + null) per species; models ranked by AICc with Akaike weights, parameter likelihoods and model-averaged estimates (SAS v8).</t>
        </is>
      </c>
      <c r="R143" t="inlineStr">
        <is>
          <t>No — Paywalled (Wiley)</t>
        </is>
      </c>
      <c r="S143" t="inlineStr">
        <is>
          <t>Full PDF</t>
        </is>
      </c>
      <c r="T143" t="inlineStr">
        <is>
          <t>https://doi.org/10.1002/aqc.977</t>
        </is>
      </c>
      <c r="U143" t="inlineStr">
        <is>
          <t>Off-bottom suspended oyster culture can provide winter foraging habitat for sea ducks.</t>
        </is>
      </c>
      <c r="V143" t="inlineStr">
        <is>
          <t>Original list</t>
        </is>
      </c>
      <c r="W143" s="10" t="inlineStr">
        <is>
          <t>4 — Practitioner</t>
        </is>
      </c>
      <c r="X143" t="inlineStr">
        <is>
          <t>Mollusk</t>
        </is>
      </c>
      <c r="Y143" t="inlineStr">
        <is>
          <t>Habitat &amp; Biodiversity</t>
        </is>
      </c>
      <c r="Z143" t="inlineStr">
        <is>
          <t>H&amp;B 1.2.1 — Mobile fauna</t>
        </is>
      </c>
      <c r="AA143" t="inlineStr">
        <is>
          <t>Temperate Pacific</t>
        </is>
      </c>
      <c r="AB143" t="inlineStr">
        <is>
          <t>Pacific oyster (Crassostrea / Magallana gigas)</t>
        </is>
      </c>
      <c r="AC143" t="inlineStr">
        <is>
          <t>Longline (surface)</t>
        </is>
      </c>
      <c r="AD143" t="inlineStr">
        <is>
          <t>Multi-farm regional</t>
        </is>
      </c>
      <c r="AE143" t="inlineStr">
        <is>
          <t>Variable / seasonal</t>
        </is>
      </c>
      <c r="AF143" t="inlineStr">
        <is>
          <t>Monoculture</t>
        </is>
      </c>
      <c r="AG143" t="inlineStr">
        <is>
          <t>Visual survey</t>
        </is>
      </c>
      <c r="AH143" t="inlineStr">
        <is>
          <t>Not algae-specific</t>
        </is>
      </c>
      <c r="AI143" t="inlineStr">
        <is>
          <t>Shallow nearshore (2–10 m)</t>
        </is>
      </c>
      <c r="AJ143" t="inlineStr">
        <is>
          <t>Sheltered</t>
        </is>
      </c>
      <c r="AK143" t="inlineStr">
        <is>
          <t>To check whether your shellfish farm attracts diving sea ducks and other waterbirds, divide the shoreline out to about 250 m into survey sections, some holding farm gear and some without, and map each section's area and the share covered by gear (GPS-trace the lease). From the farm boat, travel slowly (≤10 km/h) about 100 m offshore in daylight and count every bird by species on both sides, logging a GPS point, bearing and estimated distance for each flock. Survey at least [4] times across the wintering season (more surveys give steadier totals), sum counts per section and convert to birds per km². Compare densities in sections with and without gear, or against % gear cover (e.g. regression). Keep a steady distance so flocks aren't flushed; counts show where birds concentrate, not why, and one winter at one site may not carry over.</t>
        </is>
      </c>
      <c r="AL143" t="inlineStr">
        <is>
          <t>High</t>
        </is>
      </c>
      <c r="AM143" s="18" t="inlineStr">
        <is>
          <t>zydelis_2009</t>
        </is>
      </c>
      <c r="AN143" s="19" t="n"/>
      <c r="AO143" s="19" t="n"/>
      <c r="AP143" s="19" t="n"/>
      <c r="AR143" s="16" t="inlineStr">
        <is>
          <t>Žydelis, Ramūnas; Esler, Daniel; Kirk, Molly; Boyd, W Sean</t>
        </is>
      </c>
      <c r="AS143" s="16" t="inlineStr">
        <is>
          <t>Documents that off-bottom suspended oyster aquaculture provides winter foraging habitat for molluscivorous sea ducks (concentrated, energetically-rich prey). H&amp;B 1.2.1 (Mobile fauna — vertebrate top predators) is the focal indicator. Demonstrates positive habitat-function interaction (aquaculture supports sea-duck winter survival). Farm Structure: off-bottom suspended oyster — vocab is imperfect; 'Not gear-specific' chosen since the Mollusk-vocab suspended-oyster options (lantern net, longline) don't quite fit BC off-bottom oyster culture. Minor vocab gap to log for v1.4.  [v22] Methods confirmed: structured sea-duck density surveys (surf scoter, Barrow's goldeneye) vs habitat variables + statistical habitat-selection modelling. Field counts practitioner-doable with ID training; model selection needs partner -&gt; T3 Partnership.  |  [2026-10-09 Rule 15 cost re-rate, batch 5] Framework basis: Mol H&amp;B 1.2.1: amongst farmed biomass, within farm + edge; seasonal (4 visits); 2 locations × 4 visits × 3 replicates = 24. Shore- or boat-based sea-duck counts; phone GPS counts as a basic tool; habitat modelling in free software is labour. Prior O: 'Low–Medium'.  |  [2026-10-13 method-summary pass] Full read (Peter-supplied PDF). T: DOI corrected aqc.973 → aqc.977 (per the publisher PDF). W: 3 → 4 (Rule 14: field bird counts, no lab step; model selection replaceable by a simple comparison). L → Yes. O: spotting scope + tripod dropped — the source counts from a boat ~100 m offshore and the farm boat is farm-owned (Low ~$520 → ~$220). AD 'Not site-specific' was off-vocabulary → Multi-farm regional (40 tenures, ~200 ha). AC 'Not gear-specific' → Longline (surface) (oyster longlines under barrels/rafts dominant). Match: Partial (two species, abundance only). N, Q, AK, AL written. Prior: O: 'Low — ~$520 yr 1: $520 start-up (spotting scope + tripod $300 [list]; '; P: 'Seasonal (1–3 months)'; S: 'Abstract + Methods (fetched)'; T: 'https://doi.org/10.1002/aqc.973'; W: '3 — Partnership'; AC: 'Not gear-specific'; AD: 'Not site-specific'.  |  [2026-10-16 monitoring-methods pass] AT (Monitoring Methods) set from the protocol's method summary (AK): Bird / shorebird counts.</t>
        </is>
      </c>
      <c r="AT143" s="21" t="inlineStr">
        <is>
          <t>Bird / shorebird counts</t>
        </is>
      </c>
    </row>
    <row r="144">
      <c r="A144" t="inlineStr">
        <is>
          <t>Maurin, C. E., et al.</t>
        </is>
      </c>
      <c r="B144" t="inlineStr">
        <is>
          <t>Food webs and species biodiversity of the fouling community associated with bivalve aquaculture farms compared to analogous non-farm structures</t>
        </is>
      </c>
      <c r="C144" t="inlineStr">
        <is>
          <t>Marine Environmental Research</t>
        </is>
      </c>
      <c r="D144" t="n">
        <v>147</v>
      </c>
      <c r="F144" t="inlineStr">
        <is>
          <t>49-61</t>
        </is>
      </c>
      <c r="G144" t="n">
        <v>2019</v>
      </c>
      <c r="H144" t="inlineStr">
        <is>
          <t>Elsevier</t>
        </is>
      </c>
      <c r="I144" t="inlineStr">
        <is>
          <t>Maps to H&amp;B 1.1.1 — Epibiota. Fouling community on two floating mussel raft farms (rope culture; ropes to 10 m in 24 m of water) in Casco Bay, Maine, June and July 2017: ten 10 × 10 cm quadrats scraped from the sunlit float surfaces just below the waterline per farm per visit; every organism identified to genus or species, macrofauna counted and macroalgae wet-weighed by pigment group; species richness, Shannon diversity and algal biomass; stable isotopes (δ13C, δ15N) for food-web structure. Match: Partial — fouling on the farm's floats rather than on the mussels or ropes; farm only, no edge stations.</t>
        </is>
      </c>
      <c r="J144" t="inlineStr">
        <is>
          <t>Protocol</t>
        </is>
      </c>
      <c r="K144" t="inlineStr">
        <is>
          <t>Confirmed standalone (full read). Quadrat scrapes gave counts, richness and Shannon diversity of the fouling fauna and algal biomass on the farm structure (16 and 22 macrofaunal taxa on the two farms; diversity higher and steadier than on docks, green algae far more abundant) — usable for H&amp;B 1.1.1 (Partial: float surfaces rather than the farmed mussels; no edge).</t>
        </is>
      </c>
      <c r="L144" t="inlineStr">
        <is>
          <t>Yes — scraping quadrats from floats or lines at the waterline and sorting them in a tray with a hand lens and a regional field guide is farmer-doable (amphipods and small worms can be recorded to group); the source's stable-isotope food-web work (partner lab) is optional and not part of the indicator.</t>
        </is>
      </c>
      <c r="M144" t="inlineStr">
        <is>
          <t>Yes</t>
        </is>
      </c>
      <c r="N144" t="inlineStr">
        <is>
          <t>10 × 10 cm quadrat held against the sunlit side of each float just below the waterline, 10 per structure per visit; scraper and aquarium net; 2 L bottles on ice; identification to genus or species; macrofauna counted, macroalgae wet-weighed by pigment group (brown, green, red); HOBO temperature, ONSET dissolved-oxygen and salinity loggers (context); freeze-drying and EA-IRMS (UC Davis Stable Isotope Facility) for δ13C/δ15N food-web work; PVC sediment traps (biodeposition, 2016).</t>
        </is>
      </c>
      <c r="O144" t="inlineStr">
        <is>
          <t>Low — ~$110 yr 1: $110 start-up (field ID kit $80 [est]; quadrat $30 [est]) + no recurring cost</t>
        </is>
      </c>
      <c r="P144" t="inlineStr">
        <is>
          <t>Seasonal (1–3 months) — two visits per structure, June and July 2017 (plus a 2016 isotope collection at one farm)</t>
        </is>
      </c>
      <c r="Q144" t="inlineStr">
        <is>
          <t>Shannon–Wiener H per quadrat, averaged per structure; repeated-measures ANOVA (structure × month) for each farm–dock pair; macroalgal wet biomass (g m⁻²) by pigment group by MANOVA (structure × month; structure × location); Layman isotope metrics on δ13C–δ15N biplots and Welch t-tests on trap isotopes (supplementary).</t>
        </is>
      </c>
      <c r="R144" t="inlineStr">
        <is>
          <t>Yes — Open access (CC BY-NC-ND)</t>
        </is>
      </c>
      <c r="S144" t="inlineStr">
        <is>
          <t>Full PDF</t>
        </is>
      </c>
      <c r="T144" t="inlineStr">
        <is>
          <t>https://doi.org/10.1016/j.marenvres.2019.03.012</t>
        </is>
      </c>
      <c r="U144" t="inlineStr">
        <is>
          <t>Two farms and two docks sampled twice in one summer; a bivalve settlement pulse on the docks between visits drove the month effect. Amphipods were counted mostly as Jassa falcata without checking every individual. The farm floats sit beside dense mussel lines, so light, nutrients from the mussels and structure age are mixed in the farm effect; only the outer, sunlit float surfaces were sampled.</t>
        </is>
      </c>
      <c r="V144" t="inlineStr">
        <is>
          <t>Original list</t>
        </is>
      </c>
      <c r="W144" s="10" t="inlineStr">
        <is>
          <t>4 — Practitioner</t>
        </is>
      </c>
      <c r="X144" t="inlineStr">
        <is>
          <t>Mollusk</t>
        </is>
      </c>
      <c r="Y144" t="inlineStr">
        <is>
          <t>Habitat &amp; Biodiversity</t>
        </is>
      </c>
      <c r="Z144" t="inlineStr">
        <is>
          <t>H&amp;B 1.1.1 — Epibiota</t>
        </is>
      </c>
      <c r="AA144" t="inlineStr">
        <is>
          <t>Temperate Atlantic</t>
        </is>
      </c>
      <c r="AB144" t="inlineStr">
        <is>
          <t>Blue mussel (Mytilus edulis)</t>
        </is>
      </c>
      <c r="AC144" t="inlineStr">
        <is>
          <t>Raft / floating</t>
        </is>
      </c>
      <c r="AD144" t="inlineStr">
        <is>
          <t>Not scale-specific</t>
        </is>
      </c>
      <c r="AE144" t="inlineStr">
        <is>
          <t>Variable / seasonal</t>
        </is>
      </c>
      <c r="AF144" t="inlineStr">
        <is>
          <t>Monoculture</t>
        </is>
      </c>
      <c r="AG144" t="inlineStr">
        <is>
          <t>Visual survey</t>
        </is>
      </c>
      <c r="AH144" t="inlineStr">
        <is>
          <t>Not algae-specific</t>
        </is>
      </c>
      <c r="AI144" t="inlineStr">
        <is>
          <t>Coastal (10–30 m)</t>
        </is>
      </c>
      <c r="AJ144" t="inlineStr">
        <is>
          <t>Sheltered</t>
        </is>
      </c>
      <c r="AK144" s="16" t="inlineStr">
        <is>
          <t>To measure what grows on your farm gear, hold a 10 × 10 cm quadrat against the sunlit side of a float, or against a section of mussel rope, just below the waterline and scrape everything inside into a fine net: [10] quadrats spread through the farm and [10] on floats or lines at the farm edge, once per season. Keep each sample cool, then sort it in a tray with a hand lens and a regional field guide, counting the animals by species or group and, if you have a kitchen scale, weighing the seaweeds by colour group (brown, green, red). Report counts, number of species and Shannon diversity for farm and edge. The source scraped floats only, on two farms twice in one summer, so the rope sections and edge are added here. Expect settlement pulses of young mussels and barnacles to swing numbers between visits.</t>
        </is>
      </c>
      <c r="AL144" s="17" t="inlineStr">
        <is>
          <t>High</t>
        </is>
      </c>
      <c r="AM144" s="18" t="inlineStr">
        <is>
          <t>maurin_2019_hb111</t>
        </is>
      </c>
      <c r="AN144" s="19" t="n"/>
      <c r="AO144" s="19" t="n"/>
      <c r="AP144" s="19" t="n"/>
      <c r="AQ144" s="16" t="inlineStr">
        <is>
          <t>Epibiota / fouling survey — Mollusk</t>
        </is>
      </c>
      <c r="AR144" s="16" t="inlineStr">
        <is>
          <t>Maurin, Carissa Elizabeth; Byron, Carrie J; Wilson, Karen A; St Gelais, Adam T</t>
        </is>
      </c>
      <c r="AS144" s="16" t="inlineStr">
        <is>
          <t>Stable-isotope food-web methodology adds a trophic dimension beyond standard biodiversity surveys. Floating dock controls (similar substrate, no mussels) provide an elegant structural-only contrast. Useful for studies that need to link biodiversity (H&amp;B) to trophic-function (food-web) indicators. Macroalgae biomass was higher on farm structures (green macroalgae driver).  |  Migration (one-indicator-per-row, 2026-09-04): split from maurin_2019 -&gt; {maurin_2019_hb111, maurin_2019_hb211}. This row = maurin_2019_hb111 (H&amp;B 1.1.1 — Epibiota). Candidate: AK/N/Q blanked and I/K/W/O/P provisional; per-indicator method text, tier/cost/effort and match adjudication to be finalised at generation. Combined parent I/AK/N/Q retained in v37 (pre-split).  |  [2026-10-13 Rule 15 cost re-rate, batch 12] Framework basis: Mol H&amp;B 1.1.1: amongst farmed biomass, within farm + edge; seasonal (4 visits); 2 locations × 4 visits × 3 replicates = 24. Fouling-community quadrats on the rafts identified in the field; lab fee waived (species counts / field-identifiable taxa); stable isotopes excluded as supplementary (attribution); method from method note. Prior O: 'Medium–High (isotope lab adds cost)'.  |  [2026-10-16 method-summary pass] Full read (Peter's PDF). T: DOI corrected …2019.04.005 → 10.1016/j.marenvres.2019.03.012 (printed on the article). I, K: candidate-split text replaced; Match Partial (fouling on floats rather than the farmed mussels; no edge) — brought to Peter. L → Yes. W: '2 — Researcher' → '4 — Practitioner' (Rule 14; field ID with a guide, lab-fee waiver as batch 12); fill → T4 lime. AG: 'Visual survey, Tissue analysis' → 'Visual survey' (isotopes do not measure the indicator). AD 'Not site-specific' → 'Not scale-specific' (vocabulary). AI → 'Coastal (10–30 m)' (farms in 24 m). N, Q, U filled; P 'Multi-season' → 'Seasonal' + detail. O unchanged (batch-12 basis; algal weighing optional). AK written; AL Med → High.  |  [2026-10-16 method-summary pass] Peter's call (2026-10-16): Partial kept.  |  [2026-10-16 monitoring-methods pass] AT (Monitoring Methods) set from the protocol's method summary (AK): Epibiota on lines / structures.</t>
        </is>
      </c>
      <c r="AT144" s="21" t="inlineStr">
        <is>
          <t>Epibiota on lines / structures</t>
        </is>
      </c>
    </row>
    <row r="145">
      <c r="A145" s="21" t="inlineStr">
        <is>
          <t>Maurin, C. E., et al.</t>
        </is>
      </c>
      <c r="B145" s="21" t="inlineStr">
        <is>
          <t>Food webs and species biodiversity of the fouling community associated with bivalve aquaculture farms compared to analogous non-farm structures</t>
        </is>
      </c>
      <c r="C145" s="21" t="inlineStr">
        <is>
          <t>Marine Environmental Research</t>
        </is>
      </c>
      <c r="D145" s="21" t="n">
        <v>147</v>
      </c>
      <c r="E145" s="21" t="n"/>
      <c r="F145" s="21" t="inlineStr">
        <is>
          <t>49-61</t>
        </is>
      </c>
      <c r="G145" s="21" t="n">
        <v>2019</v>
      </c>
      <c r="H145" s="21" t="inlineStr">
        <is>
          <t>Elsevier</t>
        </is>
      </c>
      <c r="I145" s="21" t="inlineStr">
        <is>
          <t>Maps to H&amp;B 2.1.1 — Community composition. Two floating mussel raft farms paired with two analogous floating docks without mussels (wood and black plastic floats, not tidally exposed; 2.4 and 1.3 km away) in Casco Bay, Maine, June and July 2017: ten 10 × 10 cm quadrats scraped from the sunlit float surfaces per structure per visit; organisms identified to genus or species, macrofauna counted, macroalgae wet-weighed by pigment group; species lists, richness, Shannon diversity and algal biomass compared farm vs dock; stable isotopes for food-web structure. Match: Partial — fouling assemblage only (no mobile or seabed fauna); one reference dock per farm.</t>
        </is>
      </c>
      <c r="J145" s="21" t="inlineStr">
        <is>
          <t>Protocol</t>
        </is>
      </c>
      <c r="K145" s="21" t="inlineStr">
        <is>
          <t>Confirmed standalone (full read). The paired farm–dock design compares the farm with similarly structured non-farm habitat: richness 16 vs 15 (inner bay) and 22 vs 13 (outer bay), Shannon diversity significantly higher at both farms, green algal biomass much higher on farm floats — usable for H&amp;B 2.1.1 (Partial: fouling only; one dock per farm; composition compared through species lists and indices, not multivariate).</t>
        </is>
      </c>
      <c r="L145" s="21" t="inlineStr">
        <is>
          <t>Yes — scraping quadrats from floats or lines at the waterline and sorting them in a tray with a hand lens and a regional field guide is farmer-doable (amphipods and small worms can be recorded to group); the source's stable-isotope food-web work (partner lab) is optional and not part of the indicator.</t>
        </is>
      </c>
      <c r="M145" s="21" t="inlineStr">
        <is>
          <t>Yes</t>
        </is>
      </c>
      <c r="N145" s="21" t="inlineStr">
        <is>
          <t>10 × 10 cm quadrat held against the sunlit side of each float just below the waterline, 10 per structure per visit; scraper and aquarium net; 2 L bottles on ice; identification to genus or species; macrofauna counted, macroalgae wet-weighed by pigment group (brown, green, red); HOBO temperature, ONSET dissolved-oxygen and salinity loggers (context); freeze-drying and EA-IRMS (UC Davis Stable Isotope Facility) for δ13C/δ15N food-web work; PVC sediment traps (biodeposition, 2016).</t>
        </is>
      </c>
      <c r="O145" s="21" t="inlineStr">
        <is>
          <t>Low — ~$110 yr 1: $110 start-up (field ID kit $80 [est]; quadrat $30 [est]) + no recurring cost</t>
        </is>
      </c>
      <c r="P145" s="21" t="inlineStr">
        <is>
          <t>Seasonal (1–3 months) — two visits per structure, June and July 2017 (plus a 2016 isotope collection at one farm)</t>
        </is>
      </c>
      <c r="Q145" s="21" t="inlineStr">
        <is>
          <t>Shannon–Wiener H per quadrat, averaged per structure; repeated-measures ANOVA (structure × month) for each farm–dock pair; macroalgal wet biomass (g m⁻²) by pigment group by MANOVA (structure × month; structure × location); Layman isotope metrics on δ13C–δ15N biplots and Welch t-tests on trap isotopes (supplementary).</t>
        </is>
      </c>
      <c r="R145" s="21" t="inlineStr">
        <is>
          <t>Yes — Open access (CC BY-NC-ND)</t>
        </is>
      </c>
      <c r="S145" s="21" t="inlineStr">
        <is>
          <t>Full PDF</t>
        </is>
      </c>
      <c r="T145" s="21" t="inlineStr">
        <is>
          <t>https://doi.org/10.1016/j.marenvres.2019.03.012</t>
        </is>
      </c>
      <c r="U145" s="21" t="inlineStr">
        <is>
          <t>Two farms and two docks sampled twice in one summer; a bivalve settlement pulse on the docks between visits drove the month effect. Amphipods were counted mostly as Jassa falcata without checking every individual. The farm floats sit beside dense mussel lines, so light, nutrients from the mussels and structure age are mixed in the farm effect; only the outer, sunlit float surfaces were sampled.</t>
        </is>
      </c>
      <c r="V145" s="21" t="inlineStr">
        <is>
          <t>Original list</t>
        </is>
      </c>
      <c r="W145" s="10" t="inlineStr">
        <is>
          <t>4 — Practitioner</t>
        </is>
      </c>
      <c r="X145" s="21" t="inlineStr">
        <is>
          <t>Mollusk</t>
        </is>
      </c>
      <c r="Y145" s="21" t="inlineStr">
        <is>
          <t>Habitat &amp; Biodiversity</t>
        </is>
      </c>
      <c r="Z145" s="21" t="inlineStr">
        <is>
          <t>H&amp;B 2.1.1 — Community composition</t>
        </is>
      </c>
      <c r="AA145" s="21" t="inlineStr">
        <is>
          <t>Temperate Atlantic</t>
        </is>
      </c>
      <c r="AB145" s="21" t="inlineStr">
        <is>
          <t>Blue mussel (Mytilus edulis)</t>
        </is>
      </c>
      <c r="AC145" s="21" t="inlineStr">
        <is>
          <t>Raft / floating</t>
        </is>
      </c>
      <c r="AD145" s="21" t="inlineStr">
        <is>
          <t>Not scale-specific</t>
        </is>
      </c>
      <c r="AE145" s="21" t="inlineStr">
        <is>
          <t>Variable / seasonal</t>
        </is>
      </c>
      <c r="AF145" s="21" t="inlineStr">
        <is>
          <t>Monoculture</t>
        </is>
      </c>
      <c r="AG145" s="21" t="inlineStr">
        <is>
          <t>Visual survey</t>
        </is>
      </c>
      <c r="AH145" s="21" t="inlineStr">
        <is>
          <t>Not algae-specific</t>
        </is>
      </c>
      <c r="AI145" s="21" t="inlineStr">
        <is>
          <t>Coastal (10–30 m)</t>
        </is>
      </c>
      <c r="AJ145" s="21" t="inlineStr">
        <is>
          <t>Sheltered</t>
        </is>
      </c>
      <c r="AK145" s="16" t="inlineStr">
        <is>
          <t>To compare the community growing on your farm with similar structure that has no shellfish, pick [2] floating structures nearby, such as docks or pontoons of similar material and depth that are not exposed at low tide, as references. Once per season, within a few days, scrape [10] 10 × 10 cm quadrats from the sunlit float surfaces just below the waterline inside the farm, [10] at the farm edge and [10] on each reference, keep them cool and sort them in a tray with a hand lens and a regional guide: count the animals by species and weigh the seaweeds by colour group if you can. Compare species lists, number of species, Shannon diversity and seaweed biomass between farm and references. The source used one dock per farm, so the second reference is added; it found higher diversity and far more green seaweed on the farm floats, likely from mussel nutrients. References without shellfish separate the mussels' effect from that of the hard structure.</t>
        </is>
      </c>
      <c r="AL145" s="17" t="inlineStr">
        <is>
          <t>High</t>
        </is>
      </c>
      <c r="AM145" s="18" t="inlineStr">
        <is>
          <t>maurin_2019_hb211</t>
        </is>
      </c>
      <c r="AN145" s="19" t="n"/>
      <c r="AO145" s="19" t="n"/>
      <c r="AP145" s="19" t="n"/>
      <c r="AQ145" s="16" t="inlineStr">
        <is>
          <t>Community-composition survey — Mollusk</t>
        </is>
      </c>
      <c r="AR145" s="16" t="inlineStr">
        <is>
          <t>Maurin, Carissa Elizabeth; Byron, Carrie J; Wilson, Karen A; St Gelais, Adam T</t>
        </is>
      </c>
      <c r="AS145" s="16" t="inlineStr">
        <is>
          <t>Stable-isotope food-web methodology adds a trophic dimension beyond standard biodiversity surveys. Floating dock controls (similar substrate, no mussels) provide an elegant structural-only contrast. Useful for studies that need to link biodiversity (H&amp;B) to trophic-function (food-web) indicators. Macroalgae biomass was higher on farm structures (green macroalgae driver).  |  Migration (one-indicator-per-row, 2026-09-04): split from maurin_2019 -&gt; {maurin_2019_hb111, maurin_2019_hb211}. This row = maurin_2019_hb211 (H&amp;B 2.1.1 — Community composition). Candidate: AK/N/Q blanked and I/K/W/O/P provisional; per-indicator method text, tier/cost/effort and match adjudication to be finalised at generation. Combined parent I/AK/N/Q retained in v37 (pre-split).  |  [2026-10-13 Rule 15 cost re-rate, batch 12] Framework basis: Mol H&amp;B 2.1.1: 2 farm strata + 2 nearby non-farm refs (the paper's floating dock is one); seasonal (4 visits); 4 locations × 4 visits × 3 replicates = 48. Fouling quadrats on rafts and reference structures, field ID; lab fee waived; isotopes excluded as supplementary; method from method note. Prior O: 'Medium–High (isotope lab adds cost)'.  |  [2026-10-16 method-summary pass] Full read (Peter's PDF). T: DOI corrected …2019.04.005 → 10.1016/j.marenvres.2019.03.012 (printed on the article). I, K: candidate-split text replaced; Match Partial (fouling only; one reference dock per farm) — brought to Peter. L → Yes. W: '2 — Researcher' → '4 — Practitioner' (Rule 14; field ID with a guide, lab-fee waiver as batch 12); fill → T4 lime. AG: 'Visual survey, Tissue analysis' → 'Visual survey' (isotopes do not measure the indicator). AD 'Not site-specific' → 'Not scale-specific' (vocabulary). AI → 'Coastal (10–30 m)' (farms in 24 m). N, Q, U filled; P 'Multi-season' → 'Seasonal' + detail. O unchanged (batch-12 basis; algal weighing optional). AK written; AL Med → High.  |  [2026-10-16 method-summary pass] Peter's call (2026-10-16): Partial kept.  |  [2026-10-16 monitoring-methods pass] AT (Monitoring Methods) set from the protocol's method summary (AK): Epibiota on lines / structures.</t>
        </is>
      </c>
      <c r="AT145" s="21" t="inlineStr">
        <is>
          <t>Epibiota on lines / structures</t>
        </is>
      </c>
    </row>
    <row r="146">
      <c r="A146" t="inlineStr">
        <is>
          <t>Callier, M. D., et al.</t>
        </is>
      </c>
      <c r="B146" t="inlineStr">
        <is>
          <t>Evaluation of indicators used to detect mussel farm influence on the benthos: Two case studies in the Magdalen Islands, Eastern Canada</t>
        </is>
      </c>
      <c r="C146" t="inlineStr">
        <is>
          <t>Aquaculture</t>
        </is>
      </c>
      <c r="D146" t="n">
        <v>278</v>
      </c>
      <c r="E146" t="inlineStr">
        <is>
          <t>1-4</t>
        </is>
      </c>
      <c r="F146" t="inlineStr">
        <is>
          <t>77-88</t>
        </is>
      </c>
      <c r="G146" t="n">
        <v>2008</v>
      </c>
      <c r="H146" t="inlineStr">
        <is>
          <t>Elsevier</t>
        </is>
      </c>
      <c r="I146" t="inlineStr">
        <is>
          <t>Maps to H&amp;B 1.3.1 — Benthic infauna. Two suspended mussel farms in separate Magdalen Islands lagoons (Great-Entry and Havre-aux-Maisons, Quebec; 5–7 m), early Aug 2004: stations on a transect down-current from the outermost 0+ mussel line at 0, 3, 6, 9, 15 and 30 m plus a control at 300 or 500 m; 5 diver cores (10 cm diameter, 15 cm deep) per station sieved at 0.5 mm and identified to species; abundance, wet biomass, species number, Margalef d, Shannon H′, Pielou J′, trophic groups, individual body mass and AMBI. Match: Yes.</t>
        </is>
      </c>
      <c r="J146" t="inlineStr">
        <is>
          <t>Protocol</t>
        </is>
      </c>
      <c r="K146" t="inlineStr">
        <is>
          <t>Confirmed standalone (full read). Standard core-and-sieve survey along a farm-distance gradient with a distant control; at Havre-aux-Maisons abundance and richness rose with distance and community structure split into under-line, intermediate and control groups, while Great-Entry showed no gradient — robust for H&amp;B 1.3.1; multivariate structure was the most sensitive index.</t>
        </is>
      </c>
      <c r="L146" t="inlineStr">
        <is>
          <t>Partial — diver coring (or a grab) and sieving are farmer-doable; sorting and species identification need a partner lab.</t>
        </is>
      </c>
      <c r="M146" t="inlineStr">
        <is>
          <t>Yes</t>
        </is>
      </c>
      <c r="N146" t="inlineStr">
        <is>
          <t>Diver-collected cores (10 cm diameter, 15 cm deep), 5 per station; 0.5 mm sieve; 5% buffered formalin, then 70% ethanol; species identification; blotted wet weight; AMBI 4.0 software (free); PRIMER.</t>
        </is>
      </c>
      <c r="O146" t="inlineStr">
        <is>
          <t>High — ~$12K yr 1: $1.77K start-up (Petite Ponar grab $1.57K [list]; grab line $50 [est]; 500 µm sieve $150 [est]) + $10.1K/yr (infauna sort + ID 24 × $414 [lab fee]; preservative + jars $150 [est])</t>
        </is>
      </c>
      <c r="P146" t="inlineStr">
        <is>
          <t>Single deployment (hours to 1 day) — one survey per farm, early Aug 2004</t>
        </is>
      </c>
      <c r="Q146" t="inlineStr">
        <is>
          <t>ANOVA with Tukey tests on univariate indices among distances; ANOSIM, MDS and SIMPER on √-transformed abundance (PRIMER); AMBI biotic index; individual body mass against sediment % OM.</t>
        </is>
      </c>
      <c r="R146" t="inlineStr">
        <is>
          <t>No — Paywalled (Elsevier)</t>
        </is>
      </c>
      <c r="S146" t="inlineStr">
        <is>
          <t>Full PDF</t>
        </is>
      </c>
      <c r="T146" t="inlineStr">
        <is>
          <t>https://doi.org/10.1016/j.aquaculture.2008.03.026</t>
        </is>
      </c>
      <c r="U146" t="inlineStr">
        <is>
          <t>Single summer survey at the edge of the youngest (0+) lines; effects were confined to ~30 m at one lagoon and diffuse at the other. The authors advise divers for precise placement under lines, as grabs may miss very local effects, and caution that univariate indices alone can mislead.</t>
        </is>
      </c>
      <c r="V146" t="inlineStr">
        <is>
          <t>Original list</t>
        </is>
      </c>
      <c r="W146" s="9" t="inlineStr">
        <is>
          <t>3 — Partnership</t>
        </is>
      </c>
      <c r="X146" t="inlineStr">
        <is>
          <t>Mollusk</t>
        </is>
      </c>
      <c r="Y146" t="inlineStr">
        <is>
          <t>Habitat &amp; Biodiversity</t>
        </is>
      </c>
      <c r="Z146" t="inlineStr">
        <is>
          <t>H&amp;B 1.3.1 — Benthic infauna</t>
        </is>
      </c>
      <c r="AA146" t="inlineStr">
        <is>
          <t>Temperate Atlantic</t>
        </is>
      </c>
      <c r="AB146" t="inlineStr">
        <is>
          <t>Blue mussel (Mytilus edulis)</t>
        </is>
      </c>
      <c r="AC146" t="inlineStr">
        <is>
          <t>Suspended longline (mussel)</t>
        </is>
      </c>
      <c r="AD146" t="inlineStr">
        <is>
          <t>Large (&gt;20 ha)</t>
        </is>
      </c>
      <c r="AE146" t="inlineStr">
        <is>
          <t>Variable / seasonal</t>
        </is>
      </c>
      <c r="AF146" t="inlineStr">
        <is>
          <t>Monoculture</t>
        </is>
      </c>
      <c r="AG146" t="inlineStr">
        <is>
          <t>Sediment sampling</t>
        </is>
      </c>
      <c r="AH146" t="inlineStr">
        <is>
          <t>Not algae-specific</t>
        </is>
      </c>
      <c r="AI146" t="inlineStr">
        <is>
          <t>Shallow nearshore (2–10 m)</t>
        </is>
      </c>
      <c r="AJ146" t="inlineStr">
        <is>
          <t>Sheltered</t>
        </is>
      </c>
      <c r="AK146" s="16" t="inlineStr">
        <is>
          <t>To check how your mussel lines affect the animals living in the seabed, take [5] sediment cores (10 cm wide, 15 cm deep; by diver, or a small grab if diving is not possible) directly under the outermost line and at [3, 15 and 30 m] down-current, plus a control station [300–500 m] away at similar depth, once per season. Wash each through a 0.5 mm sieve, preserve the residue and have a partner lab sort, identify, count and weigh the animals. Report abundance, number of species, Shannon diversity and AMBI (free software), and compare community make-up between stations with an ordination — in the source, community structure and sediment profile images picked up farm effects more reliably than single indices. Effects were mostly within 30 m of the lines, so keep stations close in, where a grab may lack the precision divers give.</t>
        </is>
      </c>
      <c r="AL146" s="17" t="inlineStr">
        <is>
          <t>High</t>
        </is>
      </c>
      <c r="AM146" s="18" t="inlineStr">
        <is>
          <t>callier_2008_hb131</t>
        </is>
      </c>
      <c r="AN146" s="19" t="n"/>
      <c r="AO146" s="19" t="n"/>
      <c r="AP146" s="19" t="n"/>
      <c r="AQ146" s="16" t="inlineStr">
        <is>
          <t>Benthic-infauna sampling — Mollusk</t>
        </is>
      </c>
      <c r="AR146" s="16" t="inlineStr">
        <is>
          <t>Callier, Myriam D; McKindsey, Christopher W; Desrosiers, Gaston</t>
        </is>
      </c>
      <c r="AS146" s="16" t="inlineStr">
        <is>
          <t>Canonical paper on benthic-indicator evaluation for mussel farm impacts; the within-/between-line transect design and SPI methodology are widely cited templates. Contrasting patterns across the two farms (GE = no gradient; HAM = clear gradient with Pectinaria granulata enrichment) illustrate why multi-site replication is essential. Companion to Cranford 2006 (R75) DFO indicators-and-thresholds report.  |  Migration (one-indicator-per-row, 2026-09-04): split from callier_2008 -&gt; {callier_2008_hb131, callier_2008_hb141}. This row = callier_2008_hb131 (H&amp;B 1.3.1 — Benthic infauna). Candidate: AK/N/Q blanked and I/K/W/O/P provisional; per-indicator method text, tier/cost/effort and match adjudication to be finalised at generation. Combined parent I/AK/N/Q retained in v37 (pre-split).  |  [2026-10-13 Rule 15 cost re-rate, batch 12] Framework basis: Mol H&amp;B 1.3.1: under/within farm + edge; seasonal (4 visits); 2 locations × 4 visits × 3 replicates = 24. Grab, partner-lab sort + ID; not field-identifiable, so no waiver; the paper's extra farms and transect stations are above the Framework minimum. Prior O: 'Medium–High (SPI camera is specialty equipment)'.  |  [2026-10-16 method-summary pass] Full read (Peter's PDF). I, K: candidate-split text replaced; Match Yes. L → Partial. W: '2 — Researcher' → '3 — Partnership' (Rule 14; partner-lab sort/ID); fill → T3 pale green. AG: 'Sediment sampling, Visual survey' → 'Sediment sampling'. N, Q, U filled; P → single survey. O unchanged (500 µm sieve matches the source's 0.5 mm). AK written; AL Med → High.  |  [2026-10-16 monitoring-methods pass] AT (Monitoring Methods) set from the protocol's method summary (AK): Benthic infauna community.</t>
        </is>
      </c>
      <c r="AT146" s="21" t="inlineStr">
        <is>
          <t>Benthic infauna community</t>
        </is>
      </c>
    </row>
    <row r="147">
      <c r="A147" s="21" t="inlineStr">
        <is>
          <t>Callier, M. D., et al.</t>
        </is>
      </c>
      <c r="B147" s="21" t="inlineStr">
        <is>
          <t>Evaluation of indicators used to detect mussel farm influence on the benthos: Two case studies in the Magdalen Islands, Eastern Canada</t>
        </is>
      </c>
      <c r="C147" s="21" t="inlineStr">
        <is>
          <t>Aquaculture</t>
        </is>
      </c>
      <c r="D147" s="21" t="n">
        <v>278</v>
      </c>
      <c r="E147" s="21" t="inlineStr">
        <is>
          <t>1-4</t>
        </is>
      </c>
      <c r="F147" s="21" t="inlineStr">
        <is>
          <t>77-88</t>
        </is>
      </c>
      <c r="G147" s="21" t="n">
        <v>2008</v>
      </c>
      <c r="H147" s="21" t="inlineStr">
        <is>
          <t>Elsevier</t>
        </is>
      </c>
      <c r="I147" s="21" t="inlineStr">
        <is>
          <t>Maps to H&amp;B 1.4.1 — Sediment. Two suspended mussel farms in separate Magdalen Islands lagoons (Great-Entry and Havre-aux-Maisons, Quebec; 5–7 m), early Aug 2004: stations on a transect down-current from the outermost 0+ mussel line at 0, 3, 6, 9, 15 and 30 m plus a control at 300 or 500 m: 3 syringe cores of the 0–2 cm layer per station for organic matter (loss on ignition, 450 °C, 5 h); 3 cores (3 cm, 5 cm deep) for grain size by laser diffraction; one diver wedge core per station photographed for sediment profile imaging (apparent redox discontinuity depth, faecal pellets, bioturbation). Match: Yes.</t>
        </is>
      </c>
      <c r="J147" s="21" t="inlineStr">
        <is>
          <t>Protocol</t>
        </is>
      </c>
      <c r="K147" s="21" t="inlineStr">
        <is>
          <t>Confirmed standalone (full read). Organic matter fell from 6.8% under the lines to 2.5% at the control at Havre-aux-Maisons, with SPI showing reduced sediment near the farm; at Great-Entry only grain size and SPI separated the control — adequate for H&amp;B 1.4.1. Redox and sulphide were not measured, having failed to show mussel effects at these sites the year before.</t>
        </is>
      </c>
      <c r="L147" s="21" t="inlineStr">
        <is>
          <t>Partial — cores are farmer-doable (by diver or from a grab); organic matter and grain size need a partner lab; sediment profile imaging needs a wedge corer and camera.</t>
        </is>
      </c>
      <c r="M147" s="21" t="inlineStr">
        <is>
          <t>Yes</t>
        </is>
      </c>
      <c r="N147" s="21" t="inlineStr">
        <is>
          <t>Cut-off 10 ml syringes (0–2 cm); 3 cm syringe cores (5 cm deep); laser diffraction particle-size analyser (LS 13 320); combustion at 450 °C; transparent Plexiglas wedge corer, camera and Image-Pro Express for SPI.</t>
        </is>
      </c>
      <c r="O147" s="21" t="inlineStr">
        <is>
          <t>Medium — ~$2.8K yr 1: $1.62K start-up (Petite Ponar grab $1.57K [list]; grab line $50 [est]) + $1.23K/yr (grain size 24 × $30 [lab fee]; sediment LOI 24 × $19 [lab fee]; sample jars $50 [est])</t>
        </is>
      </c>
      <c r="P147" s="21" t="inlineStr">
        <is>
          <t>Single deployment (hours to 1 day) — one survey per farm, early Aug 2004</t>
        </is>
      </c>
      <c r="Q147" s="21" t="inlineStr">
        <is>
          <t>ANOVA with Tukey tests on % OM among distances; grain-size classes compared descriptively; SPI images read for aRPD depth and features.</t>
        </is>
      </c>
      <c r="R147" s="21" t="inlineStr">
        <is>
          <t>No — Paywalled (Elsevier)</t>
        </is>
      </c>
      <c r="S147" s="21" t="inlineStr">
        <is>
          <t>Full PDF</t>
        </is>
      </c>
      <c r="T147" s="21" t="inlineStr">
        <is>
          <t>https://doi.org/10.1016/j.aquaculture.2008.03.026</t>
        </is>
      </c>
      <c r="U147" s="21" t="inlineStr">
        <is>
          <t>Single summer survey. In naturally enriched, low-energy lagoons the farm signal in % OM can be weak (Great-Entry), so grain size and SPI added sensitivity; SPI suits muddy and silty bottoms only.</t>
        </is>
      </c>
      <c r="V147" s="21" t="inlineStr">
        <is>
          <t>Original list</t>
        </is>
      </c>
      <c r="W147" s="9" t="inlineStr">
        <is>
          <t>3 — Partnership</t>
        </is>
      </c>
      <c r="X147" s="21" t="inlineStr">
        <is>
          <t>Mollusk</t>
        </is>
      </c>
      <c r="Y147" s="21" t="inlineStr">
        <is>
          <t>Habitat &amp; Biodiversity</t>
        </is>
      </c>
      <c r="Z147" s="21" t="inlineStr">
        <is>
          <t>H&amp;B 1.4.1 — Sediment</t>
        </is>
      </c>
      <c r="AA147" s="21" t="inlineStr">
        <is>
          <t>Temperate Atlantic</t>
        </is>
      </c>
      <c r="AB147" s="21" t="inlineStr">
        <is>
          <t>Blue mussel (Mytilus edulis)</t>
        </is>
      </c>
      <c r="AC147" s="21" t="inlineStr">
        <is>
          <t>Suspended longline (mussel)</t>
        </is>
      </c>
      <c r="AD147" s="21" t="inlineStr">
        <is>
          <t>Large (&gt;20 ha)</t>
        </is>
      </c>
      <c r="AE147" s="21" t="inlineStr">
        <is>
          <t>Variable / seasonal</t>
        </is>
      </c>
      <c r="AF147" s="21" t="inlineStr">
        <is>
          <t>Monoculture</t>
        </is>
      </c>
      <c r="AG147" s="21" t="inlineStr">
        <is>
          <t>Sediment sampling</t>
        </is>
      </c>
      <c r="AH147" s="21" t="inlineStr">
        <is>
          <t>Not algae-specific</t>
        </is>
      </c>
      <c r="AI147" s="21" t="inlineStr">
        <is>
          <t>Shallow nearshore (2–10 m)</t>
        </is>
      </c>
      <c r="AJ147" s="21" t="inlineStr">
        <is>
          <t>Sheltered</t>
        </is>
      </c>
      <c r="AK147" s="16" t="inlineStr">
        <is>
          <t>To track organic enrichment of the seabed around your mussel lines, take [3] small cores of the top 2 cm (a cut-off syringe pushed into a grab or diver core) directly under the outermost line, at [3, 15 and 30 m] down-current and at a control station [300–500 m] away at similar depth, twice a year including late summer. Send them to a partner lab for organic matter (loss on ignition) and grain size, and compare stations: higher organic matter and finer sediment under the lines signal enrichment. If you can use a clear wedge corer, a photograph of each core shows how deep the brown, oxygenated layer goes above black, reduced sediment — in the source this picked up farm effects that organic matter alone missed. The source did not measure redox or sulphide, which had failed to show mussel effects at these sites.</t>
        </is>
      </c>
      <c r="AL147" s="17" t="inlineStr">
        <is>
          <t>High</t>
        </is>
      </c>
      <c r="AM147" s="18" t="inlineStr">
        <is>
          <t>callier_2008_hb141</t>
        </is>
      </c>
      <c r="AN147" s="19" t="n"/>
      <c r="AO147" s="19" t="n"/>
      <c r="AP147" s="19" t="n"/>
      <c r="AQ147" s="16" t="inlineStr">
        <is>
          <t>Sediment-condition monitoring — Mollusk</t>
        </is>
      </c>
      <c r="AR147" s="16" t="inlineStr">
        <is>
          <t>Callier, Myriam D; McKindsey, Christopher W; Desrosiers, Gaston</t>
        </is>
      </c>
      <c r="AS147" s="16" t="inlineStr">
        <is>
          <t>Canonical paper on benthic-indicator evaluation for mussel farm impacts; the within-/between-line transect design and SPI methodology are widely cited templates. Contrasting patterns across the two farms (GE = no gradient; HAM = clear gradient with Pectinaria granulata enrichment) illustrate why multi-site replication is essential. Companion to Cranford 2006 (R75) DFO indicators-and-thresholds report.  |  Migration (one-indicator-per-row, 2026-09-04): split from callier_2008 -&gt; {callier_2008_hb131, callier_2008_hb141}. This row = callier_2008_hb141 (H&amp;B 1.4.1 — Sediment). Candidate: AK/N/Q blanked and I/K/W/O/P provisional; per-indicator method text, tier/cost/effort and match adjudication to be finalised at generation. Combined parent I/AK/N/Q retained in v37 (pre-split).  |  [2026-10-13 Rule 15 cost re-rate, batch 12] Framework basis: Mol H&amp;B 1.4.1: 2 farm strata + 2 nearby non-farm refs; biannual (2 visits; least frequent option); 4 locations × 2 visits × 3 replicates = 24. Grab subsamples for grain size + LOI at a partner lab (analytes inferred; band holds Medium for any subset); the SPI camera is a costlier route to the same metric and is not priced. Prior O: 'Medium–High (SPI camera is specialty equipment)'.  |  [2026-10-16 method-summary pass] Full read (Peter's PDF). I, K: candidate-split text replaced; Match Yes. L → Partial. W: '2 — Researcher' → '3 — Partnership' (Rule 14; partner-lab LOI + grain size); fill → T3 pale green. AG → 'Sediment sampling'. N, Q, U filled; P → single survey. O unchanged (grain size + LOI confirmed as the source's analytes; SPI not priced). AK written; AL Med → High.  |  [2026-10-16 monitoring-methods pass] AT (Monitoring Methods) set from the protocol's method summary (AK): Grain size / particle size, Sediment chemistry (OC / TN / redox / AVS).</t>
        </is>
      </c>
      <c r="AT147" s="21" t="inlineStr">
        <is>
          <t>Grain size / particle size, Sediment chemistry (OC / TN / redox / AVS)</t>
        </is>
      </c>
    </row>
    <row r="148">
      <c r="A148" s="21" t="inlineStr">
        <is>
          <t>Mascorda-Cabre, L., et al.</t>
        </is>
      </c>
      <c r="B148" s="21" t="inlineStr">
        <is>
          <t>Biogenic reef creation and biodiversity enhancement by an offshore longline mussel farm</t>
        </is>
      </c>
      <c r="C148" s="21" t="inlineStr">
        <is>
          <t>Ecological Indicators</t>
        </is>
      </c>
      <c r="D148" s="21" t="n">
        <v>167</v>
      </c>
      <c r="E148" s="21" t="n"/>
      <c r="F148" s="21" t="inlineStr">
        <is>
          <t>112708</t>
        </is>
      </c>
      <c r="G148" s="21" t="n">
        <v>2024</v>
      </c>
      <c r="H148" s="21" t="inlineStr">
        <is>
          <t>Elsevier</t>
        </is>
      </c>
      <c r="I148" s="21" t="inlineStr">
        <is>
          <t>Maps to H&amp;B 1.2.1 — Mobile fauna. Lyme Bay offshore longline Mytilus edulis farm (Offshore Shellfish Ltd; 3–10 km offshore, 20–30 m), BACI/BAG surveys every July–August 2013–2020: baited remote underwater video (camera, LED light, 100 g mackerel in a bait box on a 1 m pole), 3 drops per site at least 30 m apart, 45 min each, under spat ropes and mussel ropes, at near controls 250–500 m from the farm and at far controls 4 km away; MaxN per taxon over 30 min; number of taxa, total abundance, Shannon and Pielou. Match: Yes.</t>
        </is>
      </c>
      <c r="J148" s="21" t="inlineStr">
        <is>
          <t>Protocol</t>
        </is>
      </c>
      <c r="K148" s="21" t="inlineStr">
        <is>
          <t>Confirmed standalone (full read). Annual baited-camera drops inside the farm and at near and far controls tracked fish and crustaceans over seven years: taxa and abundance rose under the mussel ropes, and lobster, edible crab, spider crab and velvet swimming crab were recorded mainly or only beneath the headlines — robust for H&amp;B 1.2.1.</t>
        </is>
      </c>
      <c r="L148" s="21" t="inlineStr">
        <is>
          <t>Yes — a drop-down camera with scaling lasers and a baited camera can be run from the farm boat; animals are identified from video with a regional guide; no lab step. The source's ROV and towed video array are costlier routes to the same counts.</t>
        </is>
      </c>
      <c r="M148" s="21" t="inlineStr">
        <is>
          <t>Yes</t>
        </is>
      </c>
      <c r="N148" s="21" t="inlineStr">
        <is>
          <t>BRUV rigs (Rees et al. 2021 design): HD camera, LED light, 1 m pole with bait box (100 g mackerel) and weights; rope and surface float; 3 units per site ≥30 m apart; R (glmmADMB, lme4) and PRIMER v7.</t>
        </is>
      </c>
      <c r="O148" s="21" t="inlineStr">
        <is>
          <t>Low — ~$580 yr 1: $580 start-up (action camera + dive housing $430 [list]; BRUV frame $100 [est]; rope + float $50 [est]) + no recurring cost</t>
        </is>
      </c>
      <c r="P148" s="21" t="inlineStr">
        <is>
          <t>Multi-year monitoring (&gt; 1 year) — annual July–August surveys 2013–2020, starting before the first lines went in (ROV from 2014)</t>
        </is>
      </c>
      <c r="Q148" s="21" t="inlineStr">
        <is>
          <t>MaxN per taxon (greatest number in one frame, read at 1-min intervals over 30 min); GLMMs/LMMs of number of taxa, total abundance, Shannon and Pielou against time since deployment × treatment with site random (glmmADMB, lme4); three-factor PERMANOVA (time × treatment × site(treatment), 9999 permutations) on log(x+1) Bray–Curtis, nMDS, ANOSIM and SIMPER (PRIMER v7); commercial species analysed separately.</t>
        </is>
      </c>
      <c r="R148" s="21" t="inlineStr">
        <is>
          <t>Yes — Open access (CC BY, Elsevier)</t>
        </is>
      </c>
      <c r="S148" s="21" t="inlineStr">
        <is>
          <t>Full PDF</t>
        </is>
      </c>
      <c r="T148" s="21" t="inlineStr">
        <is>
          <t>https://doi.org/10.1016/j.ecolind.2024.112708</t>
        </is>
      </c>
      <c r="U148" s="21" t="inlineStr">
        <is>
          <t>Exposed site with strong tides and often poor visibility. Controls are trawled and dredged up to the farm edge, so part of the farm effect is fishing exclusion; near controls (250–500 m) moved toward the farm by year 7 (possible spillover), so far controls (4 km) are the cleaner reference. Bait draws animals in, so MaxN is relative abundance.</t>
        </is>
      </c>
      <c r="V148" s="21" t="inlineStr">
        <is>
          <t>Original list</t>
        </is>
      </c>
      <c r="W148" s="10" t="inlineStr">
        <is>
          <t>4 — Practitioner</t>
        </is>
      </c>
      <c r="X148" s="21" t="inlineStr">
        <is>
          <t>Mollusk</t>
        </is>
      </c>
      <c r="Y148" s="21" t="inlineStr">
        <is>
          <t>Habitat &amp; Biodiversity</t>
        </is>
      </c>
      <c r="Z148" s="21" t="inlineStr">
        <is>
          <t>H&amp;B 1.2.1 — Mobile fauna</t>
        </is>
      </c>
      <c r="AA148" s="21" t="inlineStr">
        <is>
          <t>Temperate Atlantic</t>
        </is>
      </c>
      <c r="AB148" s="21" t="inlineStr">
        <is>
          <t>Blue mussel (Mytilus edulis)</t>
        </is>
      </c>
      <c r="AC148" s="21" t="inlineStr">
        <is>
          <t>Suspended longline (mussel)</t>
        </is>
      </c>
      <c r="AD148" s="21" t="inlineStr">
        <is>
          <t>Large (&gt;20 ha)</t>
        </is>
      </c>
      <c r="AE148" s="21" t="inlineStr">
        <is>
          <t>Variable / seasonal</t>
        </is>
      </c>
      <c r="AF148" s="21" t="inlineStr">
        <is>
          <t>Monoculture</t>
        </is>
      </c>
      <c r="AG148" s="21" t="inlineStr">
        <is>
          <t>BRUVs / video</t>
        </is>
      </c>
      <c r="AH148" s="21" t="inlineStr">
        <is>
          <t>Not algae-specific</t>
        </is>
      </c>
      <c r="AI148" s="21" t="inlineStr">
        <is>
          <t>Coastal (10–30 m)</t>
        </is>
      </c>
      <c r="AJ148" s="21" t="inlineStr">
        <is>
          <t>Exposed</t>
        </is>
      </c>
      <c r="AK148" s="16" t="inlineStr">
        <is>
          <t>To track the fish, crabs and lobsters using your mussel farm, drop a baited underwater camera — an action camera and light on a weighted frame, with [100] g of oily fish such as mackerel in a mesh box on a pole 1 m in front of the lens — onto the seabed at [3] spots at least 30 m apart under the lines and [3] at the farm edge, once per season (the source surveyed each July–August). Leave each drop [45] minutes and, ignoring the settling time, record over [30] minutes the most individuals of each species seen in a single frame (MaxN), using a regional guide. Compare number of species, total MaxN and Shannon diversity between farm and edge and over the years, ideally starting before the lines go in. Keep bait, soak time and time of day the same; MaxN is relative abundance, not density. The source also used far controls 4 km away, which help tell whether animals are produced or just drawn in; strong tides and murky water can spoil footage, so plan extra drops.</t>
        </is>
      </c>
      <c r="AL148" s="17" t="inlineStr">
        <is>
          <t>High</t>
        </is>
      </c>
      <c r="AM148" s="18" t="inlineStr">
        <is>
          <t>mascordacabre_2024-b_hb121</t>
        </is>
      </c>
      <c r="AN148" s="19" t="n"/>
      <c r="AO148" s="19" t="n"/>
      <c r="AP148" s="19" t="n"/>
      <c r="AQ148" s="16" t="inlineStr">
        <is>
          <t>Mobile-fauna monitoring — Mollusk</t>
        </is>
      </c>
      <c r="AR148" s="16" t="inlineStr">
        <is>
          <t>Mascorda-Cabre, Llucia; Hosegood, Phil; Attrill, Martin J; Sheehan, Emma V</t>
        </is>
      </c>
      <c r="AS148" s="16" t="inlineStr">
        <is>
          <t>Long-term BACI study at the UK's first commercial offshore mussel farm; rare 8-year record. Companion to Bridger 2022 (Lyme Bay restoration potential), Mascorda-Cabre 2024 R60 in v14 (local water circulation), and Underwood 2023 (R20 fish recruitment). Strong evidence base for biogenic-reef formation + OECM (Other Effective Area-Based Conservation Measures) framing. Three-mechanism framework (recruitment, settlement, subsidy) for explaining results.  |  Migration (one-indicator-per-row, 2026-09-04): split from mascordacabre_2024-b -&gt; {mascordacabre_2024-b_hb111, mascordacabre_2024-b_hb121, mascordacabre_2024-b_hb211}. This row = mascordacabre_2024-b_hb121 (H&amp;B 1.2.1 — Mobile fauna). Candidate: AK/N/Q blanked and I/K/W/O/P provisional; per-indicator method text, tier/cost/effort and match adjudication to be finalised at generation. Combined parent I/AK/N/Q retained in v37 (pre-split).  |  [2026-10-13 Rule 15 cost re-rate, batch 12] Framework basis: Mol H&amp;B 1.2.1: amongst farmed biomass, within farm + edge; seasonal (4 visits); 2 locations × 4 visits × 3 replicates = 24. Drop-down/BRUV camera kit carried between sites (as bridger_2022); ROV and towed video not priced; video scoring is labour. Prior O: 'High (ROV + boat time)'.  |  [2026-10-16 method-summary pass] Full read (Peter's PDF). R: 'No — Paywalled (Elsevier)' → 'Yes — Open access (CC BY, Elsevier)'. I, K: candidate-split text replaced; Match Yes. L → Yes. W: '2 — Researcher' → '4 — Practitioner' (Rule 14; camera MaxN, no lab, as bridger_2022_hb121); fill → T4 lime. AG: 'BRUVs / video, Visual survey' → 'BRUVs / video'. N, Q, U filled; P → controlled phrase + detail. O unchanged (batch-12 camera-kit basis, same cell as bridger_2022). AK written; AL Med → High.  |  [2026-10-16 monitoring-methods pass] AT (Monitoring Methods) set from the protocol's method summary (AK): Baited remote underwater video (BRUV), Bivalve condition index / growth.</t>
        </is>
      </c>
      <c r="AT148" s="21" t="inlineStr">
        <is>
          <t>Baited remote underwater video (BRUV), Bivalve condition index / growth</t>
        </is>
      </c>
    </row>
    <row r="149">
      <c r="A149" s="21" t="inlineStr">
        <is>
          <t>Mascorda-Cabre, L., et al.</t>
        </is>
      </c>
      <c r="B149" s="21" t="inlineStr">
        <is>
          <t>Biogenic reef creation and biodiversity enhancement by an offshore longline mussel farm</t>
        </is>
      </c>
      <c r="C149" s="21" t="inlineStr">
        <is>
          <t>Ecological Indicators</t>
        </is>
      </c>
      <c r="D149" s="21" t="n">
        <v>167</v>
      </c>
      <c r="E149" s="21" t="n"/>
      <c r="F149" s="21" t="inlineStr">
        <is>
          <t>112708</t>
        </is>
      </c>
      <c r="G149" s="21" t="n">
        <v>2024</v>
      </c>
      <c r="H149" s="21" t="inlineStr">
        <is>
          <t>Elsevier</t>
        </is>
      </c>
      <c r="I149" s="21" t="inlineStr">
        <is>
          <t>Maps to H&amp;B 2.1.1 — Community composition. Lyme Bay offshore longline mussel farm (20–30 m), BACI/BAG surveys every July–August 2013–2020 across spat ropes, mussel ropes, near controls (250–500 m) and far controls (4 km): sessile and sedentary epibenthos by ROV transects (~100 m) beneath the headlines and towed video array transects (~200 m, lasers 30 cm apart for scaling) at controls, counted between the lasers as density (ind m⁻²) with habitat type; mobile fauna by baited video (MaxN); mussel clump and mussel bed cover from ROV; community composition by PERMANOVA, nMDS, ANOSIM and SIMPER. Match: Yes.</t>
        </is>
      </c>
      <c r="J149" s="21" t="inlineStr">
        <is>
          <t>Protocol</t>
        </is>
      </c>
      <c r="K149" s="21" t="inlineStr">
        <is>
          <t>Confirmed standalone (full read). The multi-method survey inside and outside the farm over seven years showed sessile, sedentary and mobile assemblages diverging from controls (57 sessile/sedentary taxa, 76% of them recorded within the farm), with mussel bed covering 30% of the seabed surveyed under the farm by 2020 — robust for H&amp;B 2.1.1.</t>
        </is>
      </c>
      <c r="L149" s="21" t="inlineStr">
        <is>
          <t>Yes — a drop-down camera with scaling lasers and a baited camera can be run from the farm boat; animals are identified from video with a regional guide; no lab step. The source's ROV and towed video array are costlier routes to the same counts.</t>
        </is>
      </c>
      <c r="M149" s="21" t="inlineStr">
        <is>
          <t>Yes</t>
        </is>
      </c>
      <c r="N149" s="21" t="inlineStr">
        <is>
          <t>ROV (VideoRay) beneath the mussel headlines; towed video array (HD camera, lasers 30 cm apart, flown about 1 m above the seabed at 0.3–0.5 kn) at controls; BRUV rigs (camera, LED light, 100 g mackerel bait box on a 1 m pole); R (glmmADMB, lme4) and PRIMER v7 (PERMANOVA, SIMPER, ANOSIM).</t>
        </is>
      </c>
      <c r="O149" s="21" t="inlineStr">
        <is>
          <t>Low — ~$580 yr 1: $580 start-up (action camera + dive housing $430 [list]; BRUV frame $100 [est]; rope + float $50 [est]) + no recurring cost</t>
        </is>
      </c>
      <c r="P149" s="21" t="inlineStr">
        <is>
          <t>Multi-year monitoring (&gt; 1 year) — annual July–August surveys 2013–2020, starting before the first lines went in (ROV from 2014)</t>
        </is>
      </c>
      <c r="Q149" s="21" t="inlineStr">
        <is>
          <t>Towed-video and ROV counts converted to density (ind m⁻²), BRUV as MaxN; GLMMs/LMMs of number of taxa, abundance, Shannon and Pielou (time × treatment, site random); three-factor PERMANOVA (time × treatment × site(treatment), 9999 permutations) on log(x+1) Bray–Curtis, nMDS, ANOSIM and SIMPER with pairwise tests (PRIMER v7); two-way ANOVA of mussel clump abundance and bed cover.</t>
        </is>
      </c>
      <c r="R149" s="21" t="inlineStr">
        <is>
          <t>Yes — Open access (CC BY, Elsevier)</t>
        </is>
      </c>
      <c r="S149" s="21" t="inlineStr">
        <is>
          <t>Full PDF</t>
        </is>
      </c>
      <c r="T149" s="21" t="inlineStr">
        <is>
          <t>https://doi.org/10.1016/j.ecolind.2024.112708</t>
        </is>
      </c>
      <c r="U149" s="21" t="inlineStr">
        <is>
          <t>Exposed site with strong tides and often poor visibility. Controls are trawled and dredged up to the farm edge, so part of the farm effect is fishing exclusion; near controls (250–500 m) moved toward the farm by year 7 (possible spillover), so far controls (4 km) are the cleaner reference. Bait draws animals in, so MaxN is relative abundance.</t>
        </is>
      </c>
      <c r="V149" s="21" t="inlineStr">
        <is>
          <t>Original list</t>
        </is>
      </c>
      <c r="W149" s="10" t="inlineStr">
        <is>
          <t>4 — Practitioner</t>
        </is>
      </c>
      <c r="X149" s="21" t="inlineStr">
        <is>
          <t>Mollusk</t>
        </is>
      </c>
      <c r="Y149" s="21" t="inlineStr">
        <is>
          <t>Habitat &amp; Biodiversity</t>
        </is>
      </c>
      <c r="Z149" s="21" t="inlineStr">
        <is>
          <t>H&amp;B 2.1.1 — Community composition</t>
        </is>
      </c>
      <c r="AA149" s="21" t="inlineStr">
        <is>
          <t>Temperate Atlantic</t>
        </is>
      </c>
      <c r="AB149" s="21" t="inlineStr">
        <is>
          <t>Blue mussel (Mytilus edulis)</t>
        </is>
      </c>
      <c r="AC149" s="21" t="inlineStr">
        <is>
          <t>Suspended longline (mussel)</t>
        </is>
      </c>
      <c r="AD149" s="21" t="inlineStr">
        <is>
          <t>Large (&gt;20 ha)</t>
        </is>
      </c>
      <c r="AE149" s="21" t="inlineStr">
        <is>
          <t>Variable / seasonal</t>
        </is>
      </c>
      <c r="AF149" s="21" t="inlineStr">
        <is>
          <t>Monoculture</t>
        </is>
      </c>
      <c r="AG149" s="21" t="inlineStr">
        <is>
          <t>BRUVs / video</t>
        </is>
      </c>
      <c r="AH149" s="21" t="inlineStr">
        <is>
          <t>Not algae-specific</t>
        </is>
      </c>
      <c r="AI149" s="21" t="inlineStr">
        <is>
          <t>Coastal (10–30 m)</t>
        </is>
      </c>
      <c r="AJ149" s="21" t="inlineStr">
        <is>
          <t>Exposed</t>
        </is>
      </c>
      <c r="AK149" s="16" t="inlineStr">
        <is>
          <t>To compare the community under your mussel farm with the surrounding seabed, survey [2] areas under the lines, [2] at the farm edge and [2] reference areas of similar depth and sediment well away from the farm (the source used 4 km), each season, ideally starting before the lines go in. In each area make [3] drop-down camera recordings of the seabed from a frame carrying two parallel scaling lasers, and count the sessile and slow-moving animals in view (sea stars, hermit crabs, brittlestars, mussel clumps) as density per m², noting the bottom type. Add [3] baited-camera drops of [45] minutes per area, scored as MaxN for fish and crabs. Compare species lists, number of species, abundance and diversity between farm, edge and reference, and the overall species mix with an ordination (nMDS and PERMANOVA in free software). The source used an ROV under the lines and a towed camera at the controls. Record fishing activity: references trawled up to the farm edge differ partly because the farm keeps fishing out.</t>
        </is>
      </c>
      <c r="AL149" s="17" t="inlineStr">
        <is>
          <t>High</t>
        </is>
      </c>
      <c r="AM149" s="18" t="inlineStr">
        <is>
          <t>mascordacabre_2024-b_hb211</t>
        </is>
      </c>
      <c r="AN149" s="19" t="n"/>
      <c r="AO149" s="19" t="n"/>
      <c r="AP149" s="19" t="n"/>
      <c r="AQ149" s="16" t="inlineStr">
        <is>
          <t>Community-composition survey — Mollusk</t>
        </is>
      </c>
      <c r="AR149" s="16" t="inlineStr">
        <is>
          <t>Mascorda-Cabre, Llucia; Hosegood, Phil; Attrill, Martin J; Sheehan, Emma V</t>
        </is>
      </c>
      <c r="AS149" s="16" t="inlineStr">
        <is>
          <t>Long-term BACI study at the UK's first commercial offshore mussel farm; rare 8-year record. Companion to Bridger 2022 (Lyme Bay restoration potential), Mascorda-Cabre 2024 R60 in v14 (local water circulation), and Underwood 2023 (R20 fish recruitment). Strong evidence base for biogenic-reef formation + OECM (Other Effective Area-Based Conservation Measures) framing. Three-mechanism framework (recruitment, settlement, subsidy) for explaining results.  |  Migration (one-indicator-per-row, 2026-09-04): split from mascordacabre_2024-b -&gt; {mascordacabre_2024-b_hb111, mascordacabre_2024-b_hb121, mascordacabre_2024-b_hb211}. This row = mascordacabre_2024-b_hb211 (H&amp;B 2.1.1 — Community composition). Candidate: AK/N/Q blanked and I/K/W/O/P provisional; per-indicator method text, tier/cost/effort and match adjudication to be finalised at generation. Combined parent I/AK/N/Q retained in v37 (pre-split).  |  [2026-10-13 Rule 15 cost re-rate, batch 12] Framework basis: Mol H&amp;B 2.1.1: 2 farm strata + 2 nearby non-farm refs; seasonal (4 visits); 4 locations × 4 visits × 3 replicates = 48. One camera kit carried between farm and reference sites (as bridger_2022); BACI before-years excluded; ROV and towed video not priced. Prior O: 'High (ROV + boat time)'.  |  [2026-10-16 method-summary pass] Full read (Peter's PDF). R: 'No — Paywalled (Elsevier)' → 'Yes — Open access (CC BY, Elsevier)'. I, K: candidate-split text replaced; Match Yes. L → Yes. W: '2 — Researcher' → '4 — Practitioner' (Rule 14; video counts and MaxN with a guide, no lab, as bridger_2022_hb211); fill → T4 lime. AG: 'BRUVs / video, Visual survey' → 'BRUVs / video'. N, Q, U filled; P → controlled phrase + detail. O unchanged (batch-12 camera-kit basis; ROV and towed video not priced). AK written; AL Med → High.  |  [2026-10-16 monitoring-methods pass] AT (Monitoring Methods) set from the protocol's method summary (AK): Baited remote underwater video (BRUV), Towed video / ROV, Nets &amp; baited traps.</t>
        </is>
      </c>
      <c r="AT149" s="21" t="inlineStr">
        <is>
          <t>Baited remote underwater video (BRUV), Towed video / ROV, Nets &amp; baited traps</t>
        </is>
      </c>
    </row>
    <row r="150">
      <c r="A150" t="inlineStr">
        <is>
          <t>Chan, S. S., et al.</t>
        </is>
      </c>
      <c r="B150" t="inlineStr">
        <is>
          <t>Increased biodiversity associated with abandoned benthic oyster farms highlight ecosystem benefits of both oyster reefs and traditional aquaculture</t>
        </is>
      </c>
      <c r="C150" t="inlineStr">
        <is>
          <t>Frontiers in Marine Science</t>
        </is>
      </c>
      <c r="D150" t="n">
        <v>9</v>
      </c>
      <c r="F150" t="inlineStr">
        <is>
          <t>862548</t>
        </is>
      </c>
      <c r="G150" t="n">
        <v>2022</v>
      </c>
      <c r="H150" t="inlineStr">
        <is>
          <t>Frontiers Media</t>
        </is>
      </c>
      <c r="I150" t="inlineStr">
        <is>
          <t>Maps to H&amp;B 1.1.1 — Epibiota. Abandoned traditional benthic oyster farm (fallow 5–7 years, still within a protected lease) at Pak Nai, Deep Bay, Hong Kong: lines of concrete posts overgrown by Hong Kong oysters (Magallana hongkongensis) on an intertidal mudflat. Six haphazard 0.25 m² quadrats at daytime low tide in Nov 2018 and May 2019; all oysters counted and measured; all fauna removed from the live and dead shells, sieved at 500 µm, preserved in 70% ethanol and identified under a dissecting microscope; abundance, biomass, richness, Shannon and evenness. Match: Partial — shell fauna pooled with the core infauna for analysis; fallow rather than actively farmed.</t>
        </is>
      </c>
      <c r="J150" t="inlineStr">
        <is>
          <t>Protocol</t>
        </is>
      </c>
      <c r="K150" t="inlineStr">
        <is>
          <t>Confirmed standalone (full read). Fauna stripped from the oyster clusters supplied the crustaceans and molluscs behind most of the oyster habitat's 61 species and 90% of its extra biomass (including the invasive mussel Xenostrobus securis at 882 m⁻²) — usable for H&amp;B 1.1.1 (Partial: reported pooled with core infauna; fallow farm).</t>
        </is>
      </c>
      <c r="L150" t="inlineStr">
        <is>
          <t>Partial — collecting oyster clusters from quadrats at low tide is farmer-doable; sorting at 500 µm and identification under a dissecting microscope need a partner lab.</t>
        </is>
      </c>
      <c r="M150" t="inlineStr">
        <is>
          <t>Yes</t>
        </is>
      </c>
      <c r="N150" t="inlineStr">
        <is>
          <t>0.25 m² quadrat (0.5 × 0.5 m); dial callipers (oyster shell length to 0.1 mm); 10 cm diameter PVC core to 10 cm depth; 500 µm stainless sieve; 70% ethanol; dissecting microscope; 50% fixed-fraction subsampling of bulky samples; R (vegan, BiodiversityR via R-Commander).</t>
        </is>
      </c>
      <c r="O150" t="inlineStr">
        <is>
          <t>High — ~$10.2K yr 1: $180 start-up (quadrat $30 [est]; 500 µm sieve $150 [est]) + $10.0K/yr (epibiota ID 24 × $414 [est]; bags + preservative $100 [est])</t>
        </is>
      </c>
      <c r="P150" t="inlineStr">
        <is>
          <t>Multi-season (3–9 months) — two daytime low-tide surveys, Nov 2018 (dry season) and May 2019 (wet season)</t>
        </is>
      </c>
      <c r="Q150" t="inlineStr">
        <is>
          <t>Abundance, biomass, density, species richness, Shannon H and Pielou J per sample; two-way ANOVA (habitat × season) with Kruskal–Wallis where variances were unequal; PERMANOVA (habitat × season) on square-root Bray–Curtis and nMDS; densities of taxonomic groups; oyster density and shell length by one-way ANOVA (R vegan, BiodiversityR).</t>
        </is>
      </c>
      <c r="R150" t="inlineStr">
        <is>
          <t>Yes — Open access (Frontiers)</t>
        </is>
      </c>
      <c r="S150" t="inlineStr">
        <is>
          <t>Full PDF</t>
        </is>
      </c>
      <c r="T150" t="inlineStr">
        <is>
          <t>https://doi.org/10.3389/fmars.2022.862548</t>
        </is>
      </c>
      <c r="U150" t="inlineStr">
        <is>
          <t>A farm left fallow for 5–7 years but protected from harvest within the lease, so it shows what benthic culture structure can support when left to develop, not an actively harvested farm (a managed farm in the region held about half as many species). Controls are mudflat patches interspersed within the site; six samples per habitat per season; polychaetes made up up to 96% of individuals and masked other groups. The invasive mussel Xenostrobus securis occurred only in the oyster habitat.</t>
        </is>
      </c>
      <c r="V150" t="inlineStr">
        <is>
          <t>Original list</t>
        </is>
      </c>
      <c r="W150" s="42" t="inlineStr">
        <is>
          <t>3 — Partnership</t>
        </is>
      </c>
      <c r="X150" t="inlineStr">
        <is>
          <t>Mollusk</t>
        </is>
      </c>
      <c r="Y150" t="inlineStr">
        <is>
          <t>Habitat &amp; Biodiversity</t>
        </is>
      </c>
      <c r="Z150" t="inlineStr">
        <is>
          <t>H&amp;B 1.1.1 — Epibiota</t>
        </is>
      </c>
      <c r="AA150" t="inlineStr">
        <is>
          <t>Subtropical</t>
        </is>
      </c>
      <c r="AB150" t="inlineStr">
        <is>
          <t>Native oyster — other / unspecified</t>
        </is>
      </c>
      <c r="AC150" t="inlineStr">
        <is>
          <t>Bottom culture</t>
        </is>
      </c>
      <c r="AD150" t="inlineStr">
        <is>
          <t>Not scale-specific</t>
        </is>
      </c>
      <c r="AE150" t="inlineStr">
        <is>
          <t>Turbid (visual methods limited)</t>
        </is>
      </c>
      <c r="AF150" t="inlineStr">
        <is>
          <t>Monoculture</t>
        </is>
      </c>
      <c r="AG150" t="inlineStr">
        <is>
          <t>Visual survey</t>
        </is>
      </c>
      <c r="AH150" t="inlineStr">
        <is>
          <t>Not algae-specific</t>
        </is>
      </c>
      <c r="AI150" t="inlineStr">
        <is>
          <t>Intertidal / very shallow (&lt; 2 m)</t>
        </is>
      </c>
      <c r="AJ150" t="inlineStr">
        <is>
          <t>Sheltered</t>
        </is>
      </c>
      <c r="AK150" s="16" t="inlineStr">
        <is>
          <t>To measure what lives among your bottom-cultured oysters, place a 0.25 m² quadrat at [3] random spots among the oyster clusters within the farm and [3] at its edge at low tide, once per season. Collect all oysters inside the quadrat, count them and measure shell length, then pick or wash off every animal living on the live and dead shells, sieve the washings at 500 µm and preserve them in ethanol. A partner lab sorts and identifies the animals under a dissecting microscope; report abundance, biomass, number of species and Shannon diversity for farm and edge, and note any non-native species. The source sampled an abandoned post farm in Hong Kong in the wet and dry seasons and pooled the shell fauna with cores of the mud beneath, so keep the two separate for this indicator; crabs, snails and small mussels supplied most of the extra species and biomass.</t>
        </is>
      </c>
      <c r="AL150" s="17" t="inlineStr">
        <is>
          <t>High</t>
        </is>
      </c>
      <c r="AM150" s="18" t="inlineStr">
        <is>
          <t>chan_2022_hb111</t>
        </is>
      </c>
      <c r="AN150" s="19" t="n"/>
      <c r="AO150" s="19" t="n"/>
      <c r="AP150" s="19" t="n"/>
      <c r="AQ150" s="16" t="inlineStr">
        <is>
          <t>Epibiota / fouling survey — Mollusk</t>
        </is>
      </c>
      <c r="AR150" s="16" t="inlineStr">
        <is>
          <t>Chan, Sharon SW; Wong, Ho Tin; Thomas, Marine; Alleway, Heidi K; Hancock, Boze; Russell, Bayden D</t>
        </is>
      </c>
      <c r="AS150" s="16" t="inlineStr">
        <is>
          <t>Subtropical Pearl River Delta context; traditional benthic oyster farms left fallow develop into complex habitats with biodiversity comparable to natural oyster reefs. Documents one invasive species (Xenostrobus securis) at lower densities than artificial-substrate controls. Cites D'Amours 2008 (R81) as comparator. AB = Pacific oyster used as closest vocab match; HK oysters are typically Magallana hongkongensis — minor vocab-gap to log for v1.4.  |  Migration (one-indicator-per-row, 2026-09-04): split from chan_2022 -&gt; {chan_2022_hb111, chan_2022_hb131, chan_2022_hb211}. This row = chan_2022_hb111 (H&amp;B 1.1.1 — Epibiota). Candidate: AK/N/Q blanked and I/K/W/O/P provisional; per-indicator method text, tier/cost/effort and match adjudication to be finalised at generation. Combined parent I/AK/N/Q retained in v37 (pre-split).  |  [2026-10-16 method-summary pass] Full read (Frontiers PDF). S: 'Abstract + DOI metadata' → 'Full PDF'. AB: 'Pacific oyster' → 'Native oyster — other / unspecified' (the farmed oyster is Magallana hongkongensis). AD 'Not site-specific' → 'Not scale-specific'. I, K: candidate-split text replaced; Match Partial (shell fauna pooled with core infauna; fallow farm) — brought to Peter. L → Partial. W: '2 — Researcher' → '3 — Partnership' (Rule 14; partner-lab sort/ID under a microscope, no field-ID waiver); fill → T3 pale green. AG → 'Visual survey'. N, Q, U filled; P detail. O: 'Medium' (never re-rated) → 'High — ~$10.2K' (Rule 15: Mol H&amp;B 1.1.1, amongst farmed biomass + edge, seasonal, 2 × 4 × 3 = 24; quadrat + 500 µm sieve; epibiota ID fee). AK written; AL Low → High.  |  [2026-10-16 method-summary pass] Peter's call (2026-10-16): Partial kept.  |  [2026-10-16 monitoring-methods pass] AT (Monitoring Methods) set from the protocol's method summary (AK): Benthic infauna community, Epibiota on lines / structures, Bivalve condition index / growth.</t>
        </is>
      </c>
      <c r="AT150" s="21" t="inlineStr">
        <is>
          <t>Benthic infauna community, Epibiota on lines / structures, Bivalve condition index / growth</t>
        </is>
      </c>
    </row>
    <row r="151">
      <c r="A151" s="21" t="inlineStr">
        <is>
          <t>Chan, S. S., et al.</t>
        </is>
      </c>
      <c r="B151" s="21" t="inlineStr">
        <is>
          <t>Increased biodiversity associated with abandoned benthic oyster farms highlight ecosystem benefits of both oyster reefs and traditional aquaculture</t>
        </is>
      </c>
      <c r="C151" s="21" t="inlineStr">
        <is>
          <t>Frontiers in Marine Science</t>
        </is>
      </c>
      <c r="D151" s="21" t="n">
        <v>9</v>
      </c>
      <c r="E151" s="21" t="n"/>
      <c r="F151" s="21" t="inlineStr">
        <is>
          <t>862548</t>
        </is>
      </c>
      <c r="G151" s="21" t="n">
        <v>2022</v>
      </c>
      <c r="H151" s="21" t="inlineStr">
        <is>
          <t>Frontiers Media</t>
        </is>
      </c>
      <c r="I151" s="21" t="inlineStr">
        <is>
          <t>Maps to H&amp;B 1.3.1 — Benthic infauna. Same site and surveys: once each oyster quadrat was cleared, a 10 cm diameter PVC core was taken to 10 cm; the same cores were taken in six interspersed mudflat quadrats as controls; sieved at 500 µm, 70% ethanol, identified under a dissecting microscope. Match: Partial — oyster-habitat cores pooled with shell fauna for analysis; controls are mudflat patches within the site; fallow farm.</t>
        </is>
      </c>
      <c r="J151" s="21" t="inlineStr">
        <is>
          <t>Protocol</t>
        </is>
      </c>
      <c r="K151" s="21" t="inlineStr">
        <is>
          <t>Confirmed standalone (full read). Cores showed mudflat infauna made up almost entirely (~96%) of small polychaetes, with sedentary burrowing and tube-dwelling polychaetes twice as dense on the mudflat as among the oysters while total density was similar (~5,700 m⁻²) — usable for H&amp;B 1.3.1 (Partial: pooled with shell fauna; interspersed controls; fallow farm).</t>
        </is>
      </c>
      <c r="L151" s="21" t="inlineStr">
        <is>
          <t>Partial — pushing a hand core at low tide and sieving are farmer-doable; sorting and identification under a dissecting microscope need a partner lab.</t>
        </is>
      </c>
      <c r="M151" s="21" t="inlineStr">
        <is>
          <t>Yes</t>
        </is>
      </c>
      <c r="N151" s="21" t="inlineStr">
        <is>
          <t>0.25 m² quadrat (0.5 × 0.5 m); dial callipers (oyster shell length to 0.1 mm); 10 cm diameter PVC core to 10 cm depth; 500 µm stainless sieve; 70% ethanol; dissecting microscope; 50% fixed-fraction subsampling of bulky samples; R (vegan, BiodiversityR via R-Commander).</t>
        </is>
      </c>
      <c r="O151" s="21" t="inlineStr">
        <is>
          <t>High — ~$10.5K yr 1: $400 start-up (hand corer $250 [est]; 500 µm sieve $150 [est]) + $10.1K/yr (infauna sort + ID 24 × $414 [lab fee]; preservative + jars $150 [est])</t>
        </is>
      </c>
      <c r="P151" s="21" t="inlineStr">
        <is>
          <t>Multi-season (3–9 months) — two daytime low-tide surveys, Nov 2018 (dry season) and May 2019 (wet season)</t>
        </is>
      </c>
      <c r="Q151" s="21" t="inlineStr">
        <is>
          <t>Abundance, biomass, density, species richness, Shannon H and Pielou J per sample; two-way ANOVA (habitat × season) with Kruskal–Wallis where variances were unequal; PERMANOVA (habitat × season) on square-root Bray–Curtis and nMDS; densities of taxonomic groups; oyster density and shell length by one-way ANOVA (R vegan, BiodiversityR).</t>
        </is>
      </c>
      <c r="R151" s="21" t="inlineStr">
        <is>
          <t>Yes — Open access (Frontiers)</t>
        </is>
      </c>
      <c r="S151" s="21" t="inlineStr">
        <is>
          <t>Full PDF</t>
        </is>
      </c>
      <c r="T151" s="21" t="inlineStr">
        <is>
          <t>https://doi.org/10.3389/fmars.2022.862548</t>
        </is>
      </c>
      <c r="U151" s="21" t="inlineStr">
        <is>
          <t>A farm left fallow for 5–7 years but protected from harvest within the lease, so it shows what benthic culture structure can support when left to develop, not an actively harvested farm (a managed farm in the region held about half as many species). Controls are mudflat patches interspersed within the site; six samples per habitat per season; polychaetes made up up to 96% of individuals and masked other groups. The invasive mussel Xenostrobus securis occurred only in the oyster habitat.</t>
        </is>
      </c>
      <c r="V151" s="21" t="inlineStr">
        <is>
          <t>Original list</t>
        </is>
      </c>
      <c r="W151" s="41" t="inlineStr">
        <is>
          <t>3 — Partnership</t>
        </is>
      </c>
      <c r="X151" s="21" t="inlineStr">
        <is>
          <t>Mollusk</t>
        </is>
      </c>
      <c r="Y151" s="21" t="inlineStr">
        <is>
          <t>Habitat &amp; Biodiversity</t>
        </is>
      </c>
      <c r="Z151" s="21" t="inlineStr">
        <is>
          <t>H&amp;B 1.3.1 — Benthic infauna</t>
        </is>
      </c>
      <c r="AA151" s="21" t="inlineStr">
        <is>
          <t>Subtropical</t>
        </is>
      </c>
      <c r="AB151" s="21" t="inlineStr">
        <is>
          <t>Native oyster — other / unspecified</t>
        </is>
      </c>
      <c r="AC151" s="21" t="inlineStr">
        <is>
          <t>Bottom culture</t>
        </is>
      </c>
      <c r="AD151" s="21" t="inlineStr">
        <is>
          <t>Not scale-specific</t>
        </is>
      </c>
      <c r="AE151" s="21" t="inlineStr">
        <is>
          <t>Turbid (visual methods limited)</t>
        </is>
      </c>
      <c r="AF151" s="21" t="inlineStr">
        <is>
          <t>Monoculture</t>
        </is>
      </c>
      <c r="AG151" s="21" t="inlineStr">
        <is>
          <t>Sediment sampling</t>
        </is>
      </c>
      <c r="AH151" s="21" t="inlineStr">
        <is>
          <t>Not algae-specific</t>
        </is>
      </c>
      <c r="AI151" s="21" t="inlineStr">
        <is>
          <t>Intertidal / very shallow (&lt; 2 m)</t>
        </is>
      </c>
      <c r="AJ151" s="21" t="inlineStr">
        <is>
          <t>Sheltered</t>
        </is>
      </c>
      <c r="AK151" s="16" t="inlineStr">
        <is>
          <t>To check how your bottom-cultured oysters affect the animals living in the mud, push a 10 cm wide core 10 cm into the sediment at low tide at [3] random spots under the oyster clusters (clearing the oysters off the surface first) and [3] at the farm edge, once per season. Sieve each core at 500 µm, preserve it in ethanol and have a partner lab sort, identify and count the animals under a dissecting microscope. Report abundance, number of species and Shannon diversity, and compare farm with edge, adding bare mudflat nearby if you can. In the source, total density was similar under oysters and on open mudflat, but the mudflat was almost all small polychaetes and burrowing tube worms were twice as common there. The source pooled these cores with the shell fauna, so keep them separate here.</t>
        </is>
      </c>
      <c r="AL151" s="17" t="inlineStr">
        <is>
          <t>High</t>
        </is>
      </c>
      <c r="AM151" s="18" t="inlineStr">
        <is>
          <t>chan_2022_hb131</t>
        </is>
      </c>
      <c r="AN151" s="19" t="n"/>
      <c r="AO151" s="19" t="n"/>
      <c r="AP151" s="19" t="n"/>
      <c r="AQ151" s="16" t="inlineStr">
        <is>
          <t>Benthic-infauna sampling — Mollusk</t>
        </is>
      </c>
      <c r="AR151" s="16" t="inlineStr">
        <is>
          <t>Chan, Sharon SW; Wong, Ho Tin; Thomas, Marine; Alleway, Heidi K; Hancock, Boze; Russell, Bayden D</t>
        </is>
      </c>
      <c r="AS151" s="16" t="inlineStr">
        <is>
          <t>Subtropical Pearl River Delta context; traditional benthic oyster farms left fallow develop into complex habitats with biodiversity comparable to natural oyster reefs. Documents one invasive species (Xenostrobus securis) at lower densities than artificial-substrate controls. Cites D'Amours 2008 (R81) as comparator. AB = Pacific oyster used as closest vocab match; HK oysters are typically Magallana hongkongensis — minor vocab-gap to log for v1.4.  |  Migration (one-indicator-per-row, 2026-09-04): split from chan_2022 -&gt; {chan_2022_hb111, chan_2022_hb131, chan_2022_hb211}. This row = chan_2022_hb131 (H&amp;B 1.3.1 — Benthic infauna). Candidate: AK/N/Q blanked and I/K/W/O/P provisional; per-indicator method text, tier/cost/effort and match adjudication to be finalised at generation. Combined parent I/AK/N/Q retained in v37 (pre-split).  |  [2026-10-16 method-summary pass] Full read (Frontiers PDF). S: → 'Full PDF'. AB → 'Native oyster — other / unspecified' (Magallana hongkongensis). AD → 'Not scale-specific'. I, K: candidate-split text replaced; Match Partial (cores pooled with shell fauna; interspersed controls; fallow farm) — brought to Peter. L → Partial. W: '2 — Researcher' → '3 — Partnership' (Rule 14; partner-lab sort/ID); fill → T3 pale green. AG → 'Sediment sampling'. N, Q, U filled; P detail. O: 'Medium' (never re-rated) → 'High — ~$10.5K' (Rule 15: Mol H&amp;B 1.3.1, under farm + edge, seasonal, 24 samples; intertidal hand cores, 500 µm sieve as the source). AK written; AL Low → High.  |  [2026-10-16 method-summary pass] Peter's call (2026-10-16): Partial kept.  |  [2026-10-16 monitoring-methods pass] AT (Monitoring Methods) set from the protocol's method summary (AK): Benthic infauna community.</t>
        </is>
      </c>
      <c r="AT151" s="21" t="inlineStr">
        <is>
          <t>Benthic infauna community</t>
        </is>
      </c>
    </row>
    <row r="152">
      <c r="A152" s="21" t="inlineStr">
        <is>
          <t>Chan, S. S., et al.</t>
        </is>
      </c>
      <c r="B152" s="21" t="inlineStr">
        <is>
          <t>Increased biodiversity associated with abandoned benthic oyster farms highlight ecosystem benefits of both oyster reefs and traditional aquaculture</t>
        </is>
      </c>
      <c r="C152" s="21" t="inlineStr">
        <is>
          <t>Frontiers in Marine Science</t>
        </is>
      </c>
      <c r="D152" s="21" t="n">
        <v>9</v>
      </c>
      <c r="E152" s="21" t="n"/>
      <c r="F152" s="21" t="inlineStr">
        <is>
          <t>862548</t>
        </is>
      </c>
      <c r="G152" s="21" t="n">
        <v>2022</v>
      </c>
      <c r="H152" s="21" t="inlineStr">
        <is>
          <t>Frontiers Media</t>
        </is>
      </c>
      <c r="I152" s="21" t="inlineStr">
        <is>
          <t>Maps to H&amp;B 2.1.1 — Community composition. Same site and surveys: macrobenthic assemblage of the oyster habitat (quadrat shell fauna plus core) vs adjacent interspersed mudflat (core only), six replicates per habitat in each of two seasons; 70 taxa; composition by PERMANOVA (habitat × season) on square-root Bray–Curtis and nMDS; richness, Shannon, evenness, density and biomass by two-way ANOVA; densities of molluscs, crustaceans, polychaetes and the invasive Xenostrobus securis. Match: Yes.</t>
        </is>
      </c>
      <c r="J152" s="21" t="inlineStr">
        <is>
          <t>Protocol</t>
        </is>
      </c>
      <c r="K152" s="21" t="inlineStr">
        <is>
          <t>Confirmed standalone (full read). The oyster habitat held an assemblage distinct from the surrounding mudflat (PERMANOVA p = 0.002; 61 vs 26 species; biomass about ten times higher; molluscs and crustaceans one to two orders of magnitude denser) — adequate for H&amp;B 2.1.1 against unstructured mudflat.</t>
        </is>
      </c>
      <c r="L152" s="21" t="inlineStr">
        <is>
          <t>Partial — quadrats, shell stripping and hand cores at low tide are farmer-doable; sorting and identification under a dissecting microscope need a partner lab; PERMANOVA and nMDS run in free software.</t>
        </is>
      </c>
      <c r="M152" s="21" t="inlineStr">
        <is>
          <t>Yes</t>
        </is>
      </c>
      <c r="N152" s="21" t="inlineStr">
        <is>
          <t>0.25 m² quadrat (0.5 × 0.5 m); dial callipers (oyster shell length to 0.1 mm); 10 cm diameter PVC core to 10 cm depth; 500 µm stainless sieve; 70% ethanol; dissecting microscope; 50% fixed-fraction subsampling of bulky samples; R (vegan, BiodiversityR via R-Commander).</t>
        </is>
      </c>
      <c r="O152" s="21" t="inlineStr">
        <is>
          <t>High — ~$20K yr 1: $430 start-up (quadrat $30 [est]; hand corer $250 [est]; 500 µm sieve $150 [est]) + $20.0K/yr (infauna sort + ID 48 × $414 [lab fee]; preservative + jars $150 [est])</t>
        </is>
      </c>
      <c r="P152" s="21" t="inlineStr">
        <is>
          <t>Multi-season (3–9 months) — two daytime low-tide surveys, Nov 2018 (dry season) and May 2019 (wet season)</t>
        </is>
      </c>
      <c r="Q152" s="21" t="inlineStr">
        <is>
          <t>Abundance, biomass, density, species richness, Shannon H and Pielou J per sample; two-way ANOVA (habitat × season) with Kruskal–Wallis where variances were unequal; PERMANOVA (habitat × season) on square-root Bray–Curtis and nMDS; densities of taxonomic groups; oyster density and shell length by one-way ANOVA (R vegan, BiodiversityR).</t>
        </is>
      </c>
      <c r="R152" s="21" t="inlineStr">
        <is>
          <t>Yes — Open access (Frontiers)</t>
        </is>
      </c>
      <c r="S152" s="21" t="inlineStr">
        <is>
          <t>Full PDF</t>
        </is>
      </c>
      <c r="T152" s="21" t="inlineStr">
        <is>
          <t>https://doi.org/10.3389/fmars.2022.862548</t>
        </is>
      </c>
      <c r="U152" s="21" t="inlineStr">
        <is>
          <t>A farm left fallow for 5–7 years but protected from harvest within the lease, so it shows what benthic culture structure can support when left to develop, not an actively harvested farm (a managed farm in the region held about half as many species). Controls are mudflat patches interspersed within the site; six samples per habitat per season; polychaetes made up up to 96% of individuals and masked other groups. The invasive mussel Xenostrobus securis occurred only in the oyster habitat.</t>
        </is>
      </c>
      <c r="V152" s="21" t="inlineStr">
        <is>
          <t>Original list</t>
        </is>
      </c>
      <c r="W152" s="41" t="inlineStr">
        <is>
          <t>3 — Partnership</t>
        </is>
      </c>
      <c r="X152" s="21" t="inlineStr">
        <is>
          <t>Mollusk</t>
        </is>
      </c>
      <c r="Y152" s="21" t="inlineStr">
        <is>
          <t>Habitat &amp; Biodiversity</t>
        </is>
      </c>
      <c r="Z152" s="21" t="inlineStr">
        <is>
          <t>H&amp;B 2.1.1 — Community composition</t>
        </is>
      </c>
      <c r="AA152" s="21" t="inlineStr">
        <is>
          <t>Subtropical</t>
        </is>
      </c>
      <c r="AB152" s="21" t="inlineStr">
        <is>
          <t>Native oyster — other / unspecified</t>
        </is>
      </c>
      <c r="AC152" s="21" t="inlineStr">
        <is>
          <t>Bottom culture</t>
        </is>
      </c>
      <c r="AD152" s="21" t="inlineStr">
        <is>
          <t>Not scale-specific</t>
        </is>
      </c>
      <c r="AE152" s="21" t="inlineStr">
        <is>
          <t>Turbid (visual methods limited)</t>
        </is>
      </c>
      <c r="AF152" s="21" t="inlineStr">
        <is>
          <t>Monoculture</t>
        </is>
      </c>
      <c r="AG152" s="21" t="inlineStr">
        <is>
          <t>Sediment sampling, Visual survey</t>
        </is>
      </c>
      <c r="AH152" s="21" t="inlineStr">
        <is>
          <t>Not algae-specific</t>
        </is>
      </c>
      <c r="AI152" s="21" t="inlineStr">
        <is>
          <t>Intertidal / very shallow (&lt; 2 m)</t>
        </is>
      </c>
      <c r="AJ152" s="21" t="inlineStr">
        <is>
          <t>Sheltered</t>
        </is>
      </c>
      <c r="AK152" s="16" t="inlineStr">
        <is>
          <t>To compare the community on your bottom-cultured oyster ground with the bare mudflat around it, sample at low tide, once per season, [3] random 0.25 m² quadrats among the oysters within the farm, [3] at the farm edge and [3] at each of [2] mudflat reference areas nearby at similar sediment and tide height. In each quadrat strip the animals off the oyster shells, then take a 10 cm wide core 10 cm deep from the cleared sediment; sieve at 500 µm, preserve in ethanol and have a partner lab identify, count and weigh everything. Compare number of species, Shannon diversity, density, biomass and the overall species mix (nMDS and PERMANOVA in free software) between farm and reference, and note any non-native species. In the source, a fallow post farm held 61 species against 26 on the mudflat and about ten times the biomass, mostly crabs and snails; its controls were mudflat patches inside the site, so separate reference areas are added.</t>
        </is>
      </c>
      <c r="AL152" s="17" t="inlineStr">
        <is>
          <t>High</t>
        </is>
      </c>
      <c r="AM152" s="18" t="inlineStr">
        <is>
          <t>chan_2022_hb211</t>
        </is>
      </c>
      <c r="AN152" s="19" t="n"/>
      <c r="AO152" s="19" t="n"/>
      <c r="AP152" s="19" t="n"/>
      <c r="AQ152" s="16" t="inlineStr">
        <is>
          <t>Community-composition survey — Mollusk</t>
        </is>
      </c>
      <c r="AR152" s="16" t="inlineStr">
        <is>
          <t>Chan, Sharon SW; Wong, Ho Tin; Thomas, Marine; Alleway, Heidi K; Hancock, Boze; Russell, Bayden D</t>
        </is>
      </c>
      <c r="AS152" s="16" t="inlineStr">
        <is>
          <t>Subtropical Pearl River Delta context; traditional benthic oyster farms left fallow develop into complex habitats with biodiversity comparable to natural oyster reefs. Documents one invasive species (Xenostrobus securis) at lower densities than artificial-substrate controls. Cites D'Amours 2008 (R81) as comparator. AB = Pacific oyster used as closest vocab match; HK oysters are typically Magallana hongkongensis — minor vocab-gap to log for v1.4.  |  Migration (one-indicator-per-row, 2026-09-04): split from chan_2022 -&gt; {chan_2022_hb111, chan_2022_hb131, chan_2022_hb211}. This row = chan_2022_hb211 (H&amp;B 2.1.1 — Community composition). Candidate: AK/N/Q blanked and I/K/W/O/P provisional; per-indicator method text, tier/cost/effort and match adjudication to be finalised at generation. Combined parent I/AK/N/Q retained in v37 (pre-split).  |  [2026-10-16 method-summary pass] Full read (Frontiers PDF). S: → 'Full PDF'. AB → 'Native oyster — other / unspecified' (Magallana hongkongensis). AD → 'Not scale-specific'. I, K: candidate-split text replaced; Match Yes. L → Partial. W: '2 — Researcher' → '3 — Partnership' (Rule 14; partner-lab sort/ID); fill → T3 pale green. N, Q, U filled; P detail. O: 'Medium' (never re-rated) → 'High — ~$20K' (Rule 15: Mol H&amp;B 2.1.1, 4 locations × 4 visits × 3 = 48; shell fauna + core sorted as one sample, as the source). AK written; AL Low → High.  |  [2026-10-16 monitoring-methods pass] AT (Monitoring Methods) set from the protocol's method summary (AK): Benthic infauna community, Epibiota on lines / structures.</t>
        </is>
      </c>
      <c r="AT152" s="21" t="inlineStr">
        <is>
          <t>Benthic infauna community, Epibiota on lines / structures</t>
        </is>
      </c>
    </row>
    <row r="153">
      <c r="A153" t="inlineStr">
        <is>
          <t>Zhang, J., et al.</t>
        </is>
      </c>
      <c r="B153" t="inlineStr">
        <is>
          <t>Assessment of the local environmental impact of intensive marine shellfish and seaweed farming—application of the MOM system in the Sungo Bay, China</t>
        </is>
      </c>
      <c r="C153" t="inlineStr">
        <is>
          <t>Aquaculture</t>
        </is>
      </c>
      <c r="D153" t="n">
        <v>287</v>
      </c>
      <c r="E153" t="inlineStr">
        <is>
          <t>3-4</t>
        </is>
      </c>
      <c r="F153" t="inlineStr">
        <is>
          <t>304-310</t>
        </is>
      </c>
      <c r="G153" t="n">
        <v>2009</v>
      </c>
      <c r="H153" t="inlineStr">
        <is>
          <t>Elsevier</t>
        </is>
      </c>
      <c r="I153" t="inlineStr">
        <is>
          <t>Maps to H&amp;B 1.3.1 — Benthic infauna. MOM-B Group 1: grab or core samples sieved at 1 mm for macrofauna presence, with summer infauna identified to species (39 species, Shannon index) at ten stations across shellfish, kelp, polyculture and no-culture areas. Match: Exact.</t>
        </is>
      </c>
      <c r="J153" t="inlineStr">
        <is>
          <t>Protocol</t>
        </is>
      </c>
      <c r="K153" t="inlineStr">
        <is>
          <t>Confirmed standalone (full read). At least two samples per station in four seasons; animals present in all samples; summer species lists and diversity per station — robust for H&amp;B 1.3.1 (Exact; species ID in one season only).</t>
        </is>
      </c>
      <c r="L153" t="inlineStr">
        <is>
          <t>Partial — grab sampling, sieving at 1 mm and checking for animals are farmer-doable; identifying the infauna to species needs a partner lab.</t>
        </is>
      </c>
      <c r="M153" t="inlineStr">
        <is>
          <t>Yes</t>
        </is>
      </c>
      <c r="N153" t="inlineStr">
        <is>
          <t>Gravity corer (6.6 cm) or modified Van Veen grab (250 cm²); 1 mm sieve; white sorting tray; 70% ethanol; partner-lab taxonomic identification.</t>
        </is>
      </c>
      <c r="O153" t="inlineStr">
        <is>
          <t>Medium — ~$8.6K yr 1: $1.77K start-up (Petite Ponar grab $1.57K [list]; grab line $50 [est]; 1 mm sieve $150 [est]) + $6.78K/yr (infauna sort + ID 16 × $414 [lab fee]; preservative + jars $150 [est])</t>
        </is>
      </c>
      <c r="P153" t="inlineStr">
        <is>
          <t>Year-long study (12 months) — four seasonal surveys, Apr 2006–Jan 2007</t>
        </is>
      </c>
      <c r="Q153" t="inlineStr">
        <is>
          <t>MOM-B Group 1 (macrofauna present/absent); species number and Shannon-Wiener diversity per station (summer).</t>
        </is>
      </c>
      <c r="R153" t="inlineStr">
        <is>
          <t>No — Paywalled (Elsevier)</t>
        </is>
      </c>
      <c r="S153" t="inlineStr">
        <is>
          <t>Full PDF</t>
        </is>
      </c>
      <c r="T153" t="inlineStr">
        <is>
          <t>https://doi.org/10.1016/j.aquaculture.2008.10.008</t>
        </is>
      </c>
      <c r="U153" t="inlineStr">
        <is>
          <t>First adaptation of the Norwegian MOM-B to a Chinese IMTA bivalve+seaweed system.</t>
        </is>
      </c>
      <c r="V153" t="inlineStr">
        <is>
          <t>Original list</t>
        </is>
      </c>
      <c r="W153" s="9" t="inlineStr">
        <is>
          <t>3 — Partnership</t>
        </is>
      </c>
      <c r="X153" t="inlineStr">
        <is>
          <t>Mollusk, Seaweed</t>
        </is>
      </c>
      <c r="Y153" t="inlineStr">
        <is>
          <t>Habitat &amp; Biodiversity</t>
        </is>
      </c>
      <c r="Z153" t="inlineStr">
        <is>
          <t>H&amp;B 1.3.1 — Benthic infauna</t>
        </is>
      </c>
      <c r="AA153" t="inlineStr">
        <is>
          <t>Temperate Pacific</t>
        </is>
      </c>
      <c r="AB153" t="inlineStr">
        <is>
          <t>Pacific oyster (Crassostrea / Magallana gigas), Scallop (Pecten / Argopecten / Placopecten spp.), Saccharina (sugar kelp)</t>
        </is>
      </c>
      <c r="AC153" t="inlineStr">
        <is>
          <t>Mixed</t>
        </is>
      </c>
      <c r="AD153" t="inlineStr">
        <is>
          <t>Large (&gt;20 ha)</t>
        </is>
      </c>
      <c r="AE153" t="inlineStr">
        <is>
          <t>Variable / seasonal</t>
        </is>
      </c>
      <c r="AF153" t="inlineStr">
        <is>
          <t>Seaweed + shellfish</t>
        </is>
      </c>
      <c r="AG153" t="inlineStr">
        <is>
          <t>Sediment sampling</t>
        </is>
      </c>
      <c r="AH153" t="inlineStr">
        <is>
          <t>Brown</t>
        </is>
      </c>
      <c r="AI153" t="inlineStr">
        <is>
          <t>Shallow nearshore (2–10 m)</t>
        </is>
      </c>
      <c r="AJ153" t="inlineStr">
        <is>
          <t>Sheltered</t>
        </is>
      </c>
      <c r="AK153" s="16" t="inlineStr">
        <is>
          <t>To check the bottom-living animals (infauna) under your farm, take [2] sediment grabs (or cores) at each station within and at the edge of the farm, plus a no-culture station for comparison, once per season. Sieve each sample on a 1 mm mesh, tip what remains into a white tray to see whether animals are present (none at all marks unacceptable conditions), then preserve them in 70% ethanol for a partner lab to identify and count. Report species number, abundance and Shannon diversity per station alongside the sediment condition score. Infauna respond to the habitat as well as the farm, so keep stations fixed between years and compare like with like.</t>
        </is>
      </c>
      <c r="AL153" s="17" t="inlineStr">
        <is>
          <t>High</t>
        </is>
      </c>
      <c r="AM153" s="18" t="inlineStr">
        <is>
          <t>zhang_2009_hb131</t>
        </is>
      </c>
      <c r="AN153" s="19" t="n"/>
      <c r="AO153" s="19" t="n"/>
      <c r="AP153" s="19" t="n"/>
      <c r="AQ153" s="16" t="inlineStr">
        <is>
          <t>Benthic-infauna sampling — Mollusk, Seaweed</t>
        </is>
      </c>
      <c r="AR153" s="16" t="inlineStr">
        <is>
          <t>Zhang, Jihong; Hansen, Pia Kupka; Fang, Jianguang; Wang, Wei; Jiang, Zengjie</t>
        </is>
      </c>
      <c r="AS153" s="16" t="inlineStr">
        <is>
          <t>First adaptation of MOM-B from Norwegian fish-farm context to Chinese IMTA bivalve+seaweed system. Multi-tagged Mollusk + Seaweed per IMTA-primacy convention (Rule 2 / Example 1). Foundational companion paper to Zhang 2020 Sungo (R50) which extends to 10+ year trends, and to Liu 2024 (R96 = #3 new row) which adapts MOM-B to intertidal Manila clam culture. Sungo Bay is a 144 km² semi-enclosed bay with ~2/3 of area under bivalve+seaweed culture for &gt;30 years.  [v22] Methods confirmed: MOM B-investigation, 66 sediment samples / 10 stations via modified Van Veen grab (250 cm2); pH/Eh/sensory scoring practitioner-doable but macrofauna ID needs partner lab -&gt; T3 Partnership.  |  Migration (one-indicator-per-row, 2026-09-04): split from zhang_2009 -&gt; {zhang_2009_hb131, zhang_2009_hb141}. This row = zhang_2009_hb131 (H&amp;B 1.3.1 — Benthic infauna). Candidate: AK/N/Q blanked and I/K/W/O/P provisional; per-indicator method text, tier/cost/effort and match adjudication to be finalised at generation. Combined parent I/AK/N/Q retained in v37 (pre-split).  |  [2026-10-09 Rule 15 cost re-rate, batch 5] Framework basis: Mol H&amp;B 1.3.1 (Mollusk + Seaweed; the mollusc row is the most demanding): under/within farm + edge; seasonal (4 visits); 2 locations × 4 visits × 3 replicates = 24. MOM-B macrofauna sorted and ID'd by a partner lab; Petite Ponar replaces the small Van Veen grab. Prior O: 'Medium'.  |  [2026-10-13 method-summary pass] I, K: candidate-split text replaced after full read (prior: 'Maps to H&amp;B 1.3.1 — Benthic infauna. Candidate split…' / 'Standalone-candidate…'). S: 'Abstract + Methods (fetched)' → 'Full PDF'. P: 'Multi-season (3–9 months)' → Year-long (four seasons spanning ~10 months; Rule 6). N, Q: blank → filled. L: 'Partial — sediment parameters (pH, Eh, sensory) achievable; macrofauna requires lab.' → infauna-specific. O: 'High — ~$12K yr 1: … 500 µm sieve $150 [est]) + $10.1K/yr (infauna sort + ID 24 × $414 [lab fee]; …)' → Medium ~$8.6K: source n = 2 samples per station (not the default 3) and a 1 mm sieve; Mol H&amp;B 1.3.1 within + edge × 4 seasonal visits × 2 = 16 samples. AK written; AL High (unchanged).  |  [2026-10-16 monitoring-methods pass] AT (Monitoring Methods) set from the protocol's method summary (AK): Benthic infauna community.</t>
        </is>
      </c>
      <c r="AT153" s="21" t="inlineStr">
        <is>
          <t>Benthic infauna community</t>
        </is>
      </c>
    </row>
    <row r="154">
      <c r="A154" s="21" t="inlineStr">
        <is>
          <t>Zhang, J., et al.</t>
        </is>
      </c>
      <c r="B154" s="21" t="inlineStr">
        <is>
          <t>Assessment of the local environmental impact of intensive marine shellfish and seaweed farming—application of the MOM system in the Sungo Bay, China</t>
        </is>
      </c>
      <c r="C154" s="21" t="inlineStr">
        <is>
          <t>Aquaculture</t>
        </is>
      </c>
      <c r="D154" s="21" t="n">
        <v>287</v>
      </c>
      <c r="E154" s="21" t="inlineStr">
        <is>
          <t>3-4</t>
        </is>
      </c>
      <c r="F154" s="21" t="inlineStr">
        <is>
          <t>304-310</t>
        </is>
      </c>
      <c r="G154" s="21" t="n">
        <v>2009</v>
      </c>
      <c r="H154" s="21" t="inlineStr">
        <is>
          <t>Elsevier</t>
        </is>
      </c>
      <c r="I154" s="21" t="inlineStr">
        <is>
          <t>Maps to H&amp;B 1.4.1 — Sediment. MOM-B Groups 2 and 3: pH and redox potential at 2 cm intervals in cores or grabs, plus sensory scores (gas, colour, smell, consistency, grab volume, sludge thickness), combined into a sediment condition class at ten stations in four seasons. Match: Exact.</t>
        </is>
      </c>
      <c r="J154" s="21" t="inlineStr">
        <is>
          <t>Protocol</t>
        </is>
      </c>
      <c r="K154" s="21" t="inlineStr">
        <is>
          <t>Confirmed standalone (full read). Standardised MOM-B scoring (NS 9410) of pH/Eh and sensory parameters, at least two samples per station per season, placed all stations in condition 1 — robust for H&amp;B 1.4.1 (Exact; the farm-vs-reference contrast uses one no-culture station).</t>
        </is>
      </c>
      <c r="L154" s="21" t="inlineStr">
        <is>
          <t>Yes — portable pH/redox readings and sensory scoring of grab samples are field methods that trained farm staff can run; no lab step.</t>
        </is>
      </c>
      <c r="M154" s="21" t="inlineStr">
        <is>
          <t>Yes</t>
        </is>
      </c>
      <c r="N154" s="21" t="inlineStr">
        <is>
          <t>Gravity corer (6.6 cm) or modified Van Veen grab (250 cm²); portable pH meter and redox (Pt) electrode with reference; MOM-B sensory scoring sheet.</t>
        </is>
      </c>
      <c r="O154" s="21" t="inlineStr">
        <is>
          <t>Medium — ~$2.7K yr 1: $2.64K start-up (Petite Ponar grab $1.57K [list]; grab line $50 [est]; pH/ORP meter $760 [list]; ORP electrode $220 [list]; slate + datasheets $40 [est]) + $50/yr (calibration supplies $50 [est])</t>
        </is>
      </c>
      <c r="P154" s="21" t="inlineStr">
        <is>
          <t>Year-long study (12 months) — four seasonal surveys, Apr 2006–Jan 2007</t>
        </is>
      </c>
      <c r="Q154" s="21" t="inlineStr">
        <is>
          <t>MOM-B scoring (NS 9410): pH/Eh scores by the pH–Eh diagram (Group 2), sensory scores (Group 3), combined condition 1–4; seasonal comparison.</t>
        </is>
      </c>
      <c r="R154" s="21" t="inlineStr">
        <is>
          <t>No — Paywalled (Elsevier)</t>
        </is>
      </c>
      <c r="S154" s="21" t="inlineStr">
        <is>
          <t>Full PDF</t>
        </is>
      </c>
      <c r="T154" s="21" t="inlineStr">
        <is>
          <t>https://doi.org/10.1016/j.aquaculture.2008.10.008</t>
        </is>
      </c>
      <c r="U154" s="21" t="inlineStr">
        <is>
          <t>First adaptation of the Norwegian MOM-B to a Chinese IMTA bivalve+seaweed system.</t>
        </is>
      </c>
      <c r="V154" s="21" t="inlineStr">
        <is>
          <t>Original list</t>
        </is>
      </c>
      <c r="W154" s="10" t="inlineStr">
        <is>
          <t>4 — Practitioner</t>
        </is>
      </c>
      <c r="X154" s="21" t="inlineStr">
        <is>
          <t>Mollusk, Seaweed</t>
        </is>
      </c>
      <c r="Y154" s="21" t="inlineStr">
        <is>
          <t>Habitat &amp; Biodiversity</t>
        </is>
      </c>
      <c r="Z154" s="21" t="inlineStr">
        <is>
          <t>H&amp;B 1.4.1 — Sediment</t>
        </is>
      </c>
      <c r="AA154" s="21" t="inlineStr">
        <is>
          <t>Temperate Pacific</t>
        </is>
      </c>
      <c r="AB154" s="21" t="inlineStr">
        <is>
          <t>Pacific oyster (Crassostrea / Magallana gigas), Scallop (Pecten / Argopecten / Placopecten spp.), Saccharina (sugar kelp)</t>
        </is>
      </c>
      <c r="AC154" s="21" t="inlineStr">
        <is>
          <t>Mixed</t>
        </is>
      </c>
      <c r="AD154" s="21" t="inlineStr">
        <is>
          <t>Large (&gt;20 ha)</t>
        </is>
      </c>
      <c r="AE154" s="21" t="inlineStr">
        <is>
          <t>Variable / seasonal</t>
        </is>
      </c>
      <c r="AF154" s="21" t="inlineStr">
        <is>
          <t>Seaweed + shellfish</t>
        </is>
      </c>
      <c r="AG154" s="21" t="inlineStr">
        <is>
          <t>Sediment sampling</t>
        </is>
      </c>
      <c r="AH154" s="21" t="inlineStr">
        <is>
          <t>Brown</t>
        </is>
      </c>
      <c r="AI154" s="21" t="inlineStr">
        <is>
          <t>Shallow nearshore (2–10 m)</t>
        </is>
      </c>
      <c r="AJ154" s="21" t="inlineStr">
        <is>
          <t>Sheltered</t>
        </is>
      </c>
      <c r="AK154" s="16" t="inlineStr">
        <is>
          <t>To score the condition of the sediment under your farm, take [2] grabs (or cores) at stations within and at the edge of the farm and at [2] nearby non-farm sites, twice a year. In each sample measure pH and redox potential with a portable meter about 2 cm below the surface, then score the sensory signs — gas bubbles, colour, smell, consistency, grab fullness and thickness of any sludge layer — on the standard MOM-B sheet. Combine the pH/redox and sensory scores into a condition class from 1 (best) to 4 (unacceptable), with the presence of animals in the sieved sample as the pass/fail check. The scores were designed for fish-farm waste, so sediment colour and consistency may read differently under shellfish and seaweed and may need local adjustment.</t>
        </is>
      </c>
      <c r="AL154" s="17" t="inlineStr">
        <is>
          <t>High</t>
        </is>
      </c>
      <c r="AM154" s="18" t="inlineStr">
        <is>
          <t>zhang_2009_hb141</t>
        </is>
      </c>
      <c r="AN154" s="19" t="n"/>
      <c r="AO154" s="19" t="n"/>
      <c r="AP154" s="19" t="n"/>
      <c r="AQ154" s="16" t="inlineStr">
        <is>
          <t>Sediment-condition monitoring — Mollusk, Seaweed</t>
        </is>
      </c>
      <c r="AR154" s="16" t="inlineStr">
        <is>
          <t>Zhang, Jihong; Hansen, Pia Kupka; Fang, Jianguang; Wang, Wei; Jiang, Zengjie</t>
        </is>
      </c>
      <c r="AS154" s="16" t="inlineStr">
        <is>
          <t>First adaptation of MOM-B from Norwegian fish-farm context to Chinese IMTA bivalve+seaweed system. Multi-tagged Mollusk + Seaweed per IMTA-primacy convention (Rule 2 / Example 1). Foundational companion paper to Zhang 2020 Sungo (R50) which extends to 10+ year trends, and to Liu 2024 (R96 = #3 new row) which adapts MOM-B to intertidal Manila clam culture. Sungo Bay is a 144 km² semi-enclosed bay with ~2/3 of area under bivalve+seaweed culture for &gt;30 years.  [v22] Methods confirmed: MOM B-investigation, 66 sediment samples / 10 stations via modified Van Veen grab (250 cm2); pH/Eh/sensory scoring practitioner-doable but macrofauna ID needs partner lab -&gt; T3 Partnership.  |  Migration (one-indicator-per-row, 2026-09-04): split from zhang_2009 -&gt; {zhang_2009_hb131, zhang_2009_hb141}. This row = zhang_2009_hb141 (H&amp;B 1.4.1 — Sediment). Candidate: AK/N/Q blanked and I/K/W/O/P provisional; per-indicator method text, tier/cost/effort and match adjudication to be finalised at generation. Combined parent I/AK/N/Q retained in v37 (pre-split).  |  [2026-10-09 Rule 15 cost re-rate, batch 5] Framework basis: Mol/SW H&amp;B 1.4.1: 2 farm strata + 2 nearby non-farm refs; biannual (2 visits); 4 locations × 2 visits × 3 replicates = 24. MOM-B chemical (pH, Eh) and sensory scoring on grab samples in the field, no lab fees; Petite Ponar replaces the small Van Veen grab. Prior O: 'Medium'.  |  [2026-10-13 method-summary pass] I, K: candidate-split text replaced after full read (prior: 'Maps to H&amp;B 1.4.1 — Sediment. Candidate split…' / 'Standalone-candidate…'). S: 'Abstract + Methods (fetched)' → 'Full PDF'. P: 'Multi-season (3–9 months)' → Year-long (four seasons spanning ~10 months; Rule 6). N, Q: blank → filled. L: 'Partial — sediment parameters (pH, Eh, sensory) achievable; macrofauna requires lab.' → Yes (the sediment row needs no lab). W: '3 — Partnership' → '4 — Practitioner' (Rule 14; source states the B-investigation can be run by trained personnel). O unchanged. AK written; AL High (unchanged).  |  [2026-10-16 monitoring-methods pass] AT (Monitoring Methods) set from the protocol's method summary (AK): pH, Sediment chemistry (OC / TN / redox / AVS), MOM-B condition survey.</t>
        </is>
      </c>
      <c r="AT154" s="21" t="inlineStr">
        <is>
          <t>pH, Sediment chemistry (OC / TN / redox / AVS), MOM-B condition survey</t>
        </is>
      </c>
    </row>
    <row r="155">
      <c r="A155" t="inlineStr">
        <is>
          <t>Ping, X., et al.</t>
        </is>
      </c>
      <c r="B155" t="inlineStr">
        <is>
          <t>Sediment properties and benthic fauna associated with stock enhancement and farming of marine bivalve populations in Xiangshan Bay, China</t>
        </is>
      </c>
      <c r="C155" t="inlineStr">
        <is>
          <t>Aquaculture Research</t>
        </is>
      </c>
      <c r="D155" t="n">
        <v>2023</v>
      </c>
      <c r="E155" t="n">
        <v>1</v>
      </c>
      <c r="F155" t="inlineStr">
        <is>
          <t>4729267</t>
        </is>
      </c>
      <c r="G155" t="n">
        <v>2023</v>
      </c>
      <c r="H155" t="inlineStr">
        <is>
          <t>Hindawi / Wiley</t>
        </is>
      </c>
      <c r="I155" t="inlineStr">
        <is>
          <t>Maps to H&amp;B 1.3.1 — Benthic infauna. Tiegang inner bay, Xiangshan Bay, China: a suspended Kumamoto oyster (Crassostrea sikamea) raft and long-line farm running more than ten years (~1.5 km², 6–7 m), an ark shell (Scapharca subcrenata) stock-enhancement area (~1 km², 3–4 m; hatchery juveniles released at 50–100 m⁻² 319 days earlier) and an unfarmed control area; 4 stations ~200 m apart per area, 4 Van Veen grabs (0.1 m²) per station on 20 Oct 2019, sieved at 500 µm, fixed in 5% formaldehyde and identified to species; abundance, Shannon diversity, Bray–Curtis cluster and ANOSIM. Match: Yes.</t>
        </is>
      </c>
      <c r="J155" t="inlineStr">
        <is>
          <t>Protocol</t>
        </is>
      </c>
      <c r="K155" t="inlineStr">
        <is>
          <t>Confirmed standalone (full read). Grabs under the oyster farm, in the enhancement area and at a control showed a distinct, sparse community beneath the rafts (no suspension feeders, lower density) while the enhancement area resembled the control (16 taxa overall) — adequate for H&amp;B 1.3.1 as a single-survey farm-versus-control comparison.</t>
        </is>
      </c>
      <c r="L155" t="inlineStr">
        <is>
          <t>Partial — grabbing from the farm boat and sieving are farmer-doable; sorting and species identification (infauna) and sulphide and organic-carbon analyses (sediment) need a partner lab.</t>
        </is>
      </c>
      <c r="M155" t="inlineStr">
        <is>
          <t>Yes</t>
        </is>
      </c>
      <c r="N155" t="inlineStr">
        <is>
          <t>Van Veen grab (0.1 m²), 4 per station; 500 µm sieve; 5% formaldehyde; identification to species (WoRMS nomenclature); Vernier calipers and balance for ark shell length and wet weight; PRIMER 6.</t>
        </is>
      </c>
      <c r="O155" t="inlineStr">
        <is>
          <t>High — ~$12K yr 1: $1.77K start-up (Petite Ponar grab $1.57K [list]; grab line $50 [est]; 500 µm sieve $150 [est]) + $10.1K/yr (infauna sort + ID 24 × $414 [lab fee]; preservative + jars $150 [est])</t>
        </is>
      </c>
      <c r="P155" t="inlineStr">
        <is>
          <t>Single deployment (hours to 1 day) — one survey on 20 Oct 2019, 319 days after the ark shell release</t>
        </is>
      </c>
      <c r="Q155" t="inlineStr">
        <is>
          <t>Mean abundance per species and area; Shannon–Wiener diversity (PRIMER 6); ANOVA with LSD post hoc on density; hierarchical cluster on Bray–Curtis similarity of ln(x+1) abundance; ANOSIM with pairwise tests between areas.</t>
        </is>
      </c>
      <c r="R155" t="inlineStr">
        <is>
          <t>Yes — Open access (Hindawi / Wiley CC BY)</t>
        </is>
      </c>
      <c r="S155" t="inlineStr">
        <is>
          <t>Full PDF</t>
        </is>
      </c>
      <c r="T155" t="inlineStr">
        <is>
          <t>https://doi.org/10.1155/2023/4729267</t>
        </is>
      </c>
      <c r="U155" t="inlineStr">
        <is>
          <t>Single autumn survey with one control area. The oyster farm lies deeper (6–7 m) than the enhancement and control areas (3–4 m), so depth and flow are confounded with farming. The authors attribute the farm effect to slowed currents under the rafts and more than ten years of biodeposition.</t>
        </is>
      </c>
      <c r="V155" t="inlineStr">
        <is>
          <t>Original list</t>
        </is>
      </c>
      <c r="W155" s="42" t="inlineStr">
        <is>
          <t>3 — Partnership</t>
        </is>
      </c>
      <c r="X155" t="inlineStr">
        <is>
          <t>Mollusk</t>
        </is>
      </c>
      <c r="Y155" t="inlineStr">
        <is>
          <t>Habitat &amp; Biodiversity</t>
        </is>
      </c>
      <c r="Z155" t="inlineStr">
        <is>
          <t>H&amp;B 1.3.1 — Benthic infauna</t>
        </is>
      </c>
      <c r="AA155" t="inlineStr">
        <is>
          <t>Subtropical</t>
        </is>
      </c>
      <c r="AB155" t="inlineStr">
        <is>
          <t>Native oyster — other / unspecified, Native clam — other / unspecified</t>
        </is>
      </c>
      <c r="AC155" t="inlineStr">
        <is>
          <t>Mixed</t>
        </is>
      </c>
      <c r="AD155" t="inlineStr">
        <is>
          <t>Large (&gt;20 ha)</t>
        </is>
      </c>
      <c r="AE155" t="inlineStr">
        <is>
          <t>Variable / seasonal</t>
        </is>
      </c>
      <c r="AF155" t="inlineStr">
        <is>
          <t>Monoculture</t>
        </is>
      </c>
      <c r="AG155" t="inlineStr">
        <is>
          <t>Sediment sampling</t>
        </is>
      </c>
      <c r="AH155" t="inlineStr">
        <is>
          <t>Not algae-specific</t>
        </is>
      </c>
      <c r="AI155" t="inlineStr">
        <is>
          <t>Shallow nearshore (2–10 m)</t>
        </is>
      </c>
      <c r="AJ155" t="inlineStr">
        <is>
          <t>Sheltered</t>
        </is>
      </c>
      <c r="AK155" s="16" t="inlineStr">
        <is>
          <t>To check how your oyster rafts or lines affect the animals living in the seabed, take [3] grabs of known area (the source used a 0.1 m² Van Veen; a small hand-line grab works from a farm boat) at each of [4] stations about 200 m apart under the farm, [4] at the farm edge and [4] in an unfarmed control area of similar depth and sediment, once per season. Wash each grab through a 500 µm sieve, fix the residue and have a partner lab sort, identify and count the animals. Report abundance, number of species and Shannon diversity, and compare the community mix between farm, edge and control (cluster analysis or ANOSIM in free software). The source sampled once, in autumn, and found a sparse community with no suspension feeders under rafts farmed for over ten years, while seabed where ark shells had been released looked like the control. Pick a control at the same depth as the farm; the source's farm sat in deeper water.</t>
        </is>
      </c>
      <c r="AL155" s="17" t="inlineStr">
        <is>
          <t>High</t>
        </is>
      </c>
      <c r="AM155" s="18" t="inlineStr">
        <is>
          <t>ping_2023_hb131</t>
        </is>
      </c>
      <c r="AN155" s="19" t="n"/>
      <c r="AO155" s="19" t="n"/>
      <c r="AP155" s="19" t="n"/>
      <c r="AQ155" s="16" t="inlineStr">
        <is>
          <t>Benthic-infauna sampling — Mollusk</t>
        </is>
      </c>
      <c r="AR155" s="16" t="inlineStr">
        <is>
          <t>Ping, Xianyin; Zhang, Hui; Jiang, Yazhou; Ling, Jianzhong; Sun, Peng; Tang, Baojun</t>
        </is>
      </c>
      <c r="AS155" s="16" t="inlineStr">
        <is>
          <t>Combines two contrasting bivalve interventions: bottom stock-enhancement (ark shell, minimal benthic impact) and suspended raft oyster culture (elevated AVS + heavy metals, no suspension-feeders found in sediment beneath rafts). Useful for separating impact of infaunal bivalve enhancement vs suspended-culture biodeposition. Subtropical East China Sea context. AB uses 'Native oyster — other / unspecified' for C. sikamea (Suminoe oyster) and 'Native clam — other / unspecified' for ark shell — minor vocab gap to log for v1.4 (Suminoe oyster, ark shell).  |  Migration (one-indicator-per-row, 2026-09-04): split from ping_2023 -&gt; {ping_2023_hb131, ping_2023_hb141}. This row = ping_2023_hb131 (H&amp;B 1.3.1 — Benthic infauna). Candidate: AK/N/Q blanked and I/K/W/O/P provisional; per-indicator method text, tier/cost/effort and match adjudication to be finalised at generation. Combined parent I/AK/N/Q retained in v37 (pre-split).  |  [2026-10-13 Rule 15 cost re-rate, batch 12] Framework basis: Mol H&amp;B 1.3.1: under/within farm + edge; seasonal (4 visits); 2 locations × 4 visits × 3 replicates = 24. Grab, partner-lab sort + ID; the third (infaunal-enhancement) treatment is above the Framework minimum. Prior O: 'Medium–High'.  |  [2026-10-16 method-summary pass] Full read (Peter's PDF). I, K: candidate-split text replaced; Match Yes. L → Partial. W: '2 — Researcher' → '3 — Partnership' (Rule 14; partner-lab sort/ID); fill → T3 pale green. N, Q, U filled; P 'Seasonal' → 'Single deployment' + detail. O unchanged (500 µm sieve matches the source). AK written; AL Med → High.  |  [2026-10-16 monitoring-methods pass] AT (Monitoring Methods) set from the protocol's method summary (AK): Benthic infauna community.</t>
        </is>
      </c>
      <c r="AT155" s="21" t="inlineStr">
        <is>
          <t>Benthic infauna community</t>
        </is>
      </c>
    </row>
    <row r="156">
      <c r="A156" s="21" t="inlineStr">
        <is>
          <t>Ping, X., et al.</t>
        </is>
      </c>
      <c r="B156" s="21" t="inlineStr">
        <is>
          <t>Sediment properties and benthic fauna associated with stock enhancement and farming of marine bivalve populations in Xiangshan Bay, China</t>
        </is>
      </c>
      <c r="C156" s="21" t="inlineStr">
        <is>
          <t>Aquaculture Research</t>
        </is>
      </c>
      <c r="D156" s="21" t="n">
        <v>2023</v>
      </c>
      <c r="E156" s="21" t="n">
        <v>1</v>
      </c>
      <c r="F156" s="21" t="inlineStr">
        <is>
          <t>4729267</t>
        </is>
      </c>
      <c r="G156" s="21" t="n">
        <v>2023</v>
      </c>
      <c r="H156" s="21" t="inlineStr">
        <is>
          <t>Hindawi / Wiley</t>
        </is>
      </c>
      <c r="I156" s="21" t="inlineStr">
        <is>
          <t>Maps to H&amp;B 1.4.1 — Sediment. Same three areas and grabs (oyster farm, ark shell enhancement area, control; 4 stations each, 20 Oct 2019): the central part of each grab frozen on dry ice and analysed for acid-volatile sulphide (cold-acid purge, spectrophotometry at 670 nm), total organic carbon (acid-washed, elemental analyser), moisture content (105 °C), grain size (laser diffraction) and Cu, Zn, Pb and Cd (atomic absorption). Match: Yes.</t>
        </is>
      </c>
      <c r="J156" s="21" t="inlineStr">
        <is>
          <t>Protocol</t>
        </is>
      </c>
      <c r="K156" s="21" t="inlineStr">
        <is>
          <t>Confirmed standalone (full read). AVS under the oyster rafts was more than ten times that of the control and enhancement areas, with higher moisture and metals, while TOC did not separate farm from control — adequate for H&amp;B 1.4.1 (sulphide and organic content are in the Framework profile).</t>
        </is>
      </c>
      <c r="L156" s="21" t="inlineStr">
        <is>
          <t>Partial — grabbing from the farm boat and sieving are farmer-doable; sorting and species identification (infauna) and sulphide and organic-carbon analyses (sediment) need a partner lab.</t>
        </is>
      </c>
      <c r="M156" s="21" t="inlineStr">
        <is>
          <t>Yes</t>
        </is>
      </c>
      <c r="N156" s="21" t="inlineStr">
        <is>
          <t>Van Veen grab (0.1 m²); dry-ice freezing and −20 °C storage; AVS by cold-acid purge (6 M HCl, N₂ carrier, NaOH trap, 670 nm; Allen et al. 1993); TOC by elemental analyser (Shimadzu TOC-5000A) after 10% HCl; oven drying at 105 °C for moisture; Malvern laser particle-size analyser; HNO₃–HClO₄ digestion and AAS for Cu, Zn, Pb, Cd.</t>
        </is>
      </c>
      <c r="O156" s="21" t="inlineStr">
        <is>
          <t>Medium — ~$4.3K yr 1: $1.62K start-up (Petite Ponar grab $1.57K [list]; grab line $50 [est]) + $2.67K/yr (sediment TOC 24 × $34 [lab fee]; AVS 24 × $75 [est]; sample jars $50 [est])</t>
        </is>
      </c>
      <c r="P156" s="21" t="inlineStr">
        <is>
          <t>Single deployment (hours to 1 day) — one survey on 20 Oct 2019, 319 days after the ark shell release</t>
        </is>
      </c>
      <c r="Q156" s="21" t="inlineStr">
        <is>
          <t>One-way ANOVA with LSD post hoc (p &lt; 0.05) on moisture, TOC, median grain size, AVS and metals among the three areas (percentages arcsine-square-root transformed; SPSS 20).</t>
        </is>
      </c>
      <c r="R156" s="21" t="inlineStr">
        <is>
          <t>Yes — Open access (Hindawi / Wiley CC BY)</t>
        </is>
      </c>
      <c r="S156" s="21" t="inlineStr">
        <is>
          <t>Full PDF</t>
        </is>
      </c>
      <c r="T156" s="21" t="inlineStr">
        <is>
          <t>https://doi.org/10.1155/2023/4729267</t>
        </is>
      </c>
      <c r="U156" s="21" t="inlineStr">
        <is>
          <t>Single autumn survey with one control area. The oyster farm lies deeper (6–7 m) than the enhancement and control areas (3–4 m), so depth and flow are confounded with farming. The authors attribute the farm effect to slowed currents under the rafts and more than ten years of biodeposition.</t>
        </is>
      </c>
      <c r="V156" s="21" t="inlineStr">
        <is>
          <t>Original list</t>
        </is>
      </c>
      <c r="W156" s="41" t="inlineStr">
        <is>
          <t>3 — Partnership</t>
        </is>
      </c>
      <c r="X156" s="21" t="inlineStr">
        <is>
          <t>Mollusk</t>
        </is>
      </c>
      <c r="Y156" s="21" t="inlineStr">
        <is>
          <t>Habitat &amp; Biodiversity</t>
        </is>
      </c>
      <c r="Z156" s="21" t="inlineStr">
        <is>
          <t>H&amp;B 1.4.1 — Sediment</t>
        </is>
      </c>
      <c r="AA156" s="21" t="inlineStr">
        <is>
          <t>Subtropical</t>
        </is>
      </c>
      <c r="AB156" s="21" t="inlineStr">
        <is>
          <t>Native oyster — other / unspecified, Native clam — other / unspecified</t>
        </is>
      </c>
      <c r="AC156" s="21" t="inlineStr">
        <is>
          <t>Mixed</t>
        </is>
      </c>
      <c r="AD156" s="21" t="inlineStr">
        <is>
          <t>Large (&gt;20 ha)</t>
        </is>
      </c>
      <c r="AE156" s="21" t="inlineStr">
        <is>
          <t>Variable / seasonal</t>
        </is>
      </c>
      <c r="AF156" s="21" t="inlineStr">
        <is>
          <t>Monoculture</t>
        </is>
      </c>
      <c r="AG156" s="21" t="inlineStr">
        <is>
          <t>Sediment sampling</t>
        </is>
      </c>
      <c r="AH156" s="21" t="inlineStr">
        <is>
          <t>Not algae-specific</t>
        </is>
      </c>
      <c r="AI156" s="21" t="inlineStr">
        <is>
          <t>Shallow nearshore (2–10 m)</t>
        </is>
      </c>
      <c r="AJ156" s="21" t="inlineStr">
        <is>
          <t>Sheltered</t>
        </is>
      </c>
      <c r="AK156" s="16" t="inlineStr">
        <is>
          <t>To check whether your oyster rafts or lines are enriching the seabed, take a grab at each of [4] stations about 200 m apart under the farm, [4] at the farm edge and [4] in an unfarmed control area of similar depth and sediment, twice a year including late summer or autumn. Scoop sediment from the centre of each grab into a jar, keep it cold (frozen if possible) and send it to a partner lab for acid-volatile sulphide (AVS) and total organic carbon; grain size and water content help interpret them. Compare farm, edge and control. In the source, sulphide under rafts farmed for over ten years was more than ten times the control while organic carbon did not differ, so measure sulphide as well as organic content. Black sediment or a rotten-egg smell in the grab is a quick warning sign.</t>
        </is>
      </c>
      <c r="AL156" s="17" t="inlineStr">
        <is>
          <t>High</t>
        </is>
      </c>
      <c r="AM156" s="18" t="inlineStr">
        <is>
          <t>ping_2023_hb141</t>
        </is>
      </c>
      <c r="AN156" s="19" t="n"/>
      <c r="AO156" s="19" t="n"/>
      <c r="AP156" s="19" t="n"/>
      <c r="AQ156" s="16" t="inlineStr">
        <is>
          <t>Sediment-condition monitoring — Mollusk</t>
        </is>
      </c>
      <c r="AR156" s="16" t="inlineStr">
        <is>
          <t>Ping, Xianyin; Zhang, Hui; Jiang, Yazhou; Ling, Jianzhong; Sun, Peng; Tang, Baojun</t>
        </is>
      </c>
      <c r="AS156" s="16" t="inlineStr">
        <is>
          <t>Combines two contrasting bivalve interventions: bottom stock-enhancement (ark shell, minimal benthic impact) and suspended raft oyster culture (elevated AVS + heavy metals, no suspension-feeders found in sediment beneath rafts). Useful for separating impact of infaunal bivalve enhancement vs suspended-culture biodeposition. Subtropical East China Sea context. AB uses 'Native oyster — other / unspecified' for C. sikamea (Suminoe oyster) and 'Native clam — other / unspecified' for ark shell — minor vocab gap to log for v1.4 (Suminoe oyster, ark shell).  |  Migration (one-indicator-per-row, 2026-09-04): split from ping_2023 -&gt; {ping_2023_hb131, ping_2023_hb141}. This row = ping_2023_hb141 (H&amp;B 1.4.1 — Sediment). Candidate: AK/N/Q blanked and I/K/W/O/P provisional; per-indicator method text, tier/cost/effort and match adjudication to be finalised at generation. Combined parent I/AK/N/Q retained in v37 (pre-split).  |  [2026-10-13 Rule 15 cost re-rate, batch 12] Framework basis: Mol H&amp;B 1.4.1: 2 farm strata + 2 nearby non-farm refs; biannual (2 visits; least frequent option); 4 locations × 2 visits × 3 replicates = 24. Sulphide (AVS) + TOC at a partner lab; metals are outside the indicator's metric; AVS fee is an estimate (quote needed). Prior O: 'Medium–High'.  |  [2026-10-16 method-summary pass] Full read (Peter's PDF). I, K: candidate-split text replaced; Match Yes. L → Partial. W: '2 — Researcher' → '3 — Partnership' (Rule 14; partner-lab AVS + TOC); fill → T3 pale green. N, Q, U filled; P 'Seasonal' → 'Single deployment' + detail. O unchanged (AVS + TOC confirmed as the source's metric analytes; grain size, moisture and metals not priced). AK written; AL Med → High.  |  [2026-10-16 monitoring-methods pass] AT (Monitoring Methods) set from the protocol's method summary (AK): Sediment chemistry (OC / TN / redox / AVS).</t>
        </is>
      </c>
      <c r="AT156" s="21" t="inlineStr">
        <is>
          <t>Sediment chemistry (OC / TN / redox / AVS)</t>
        </is>
      </c>
    </row>
    <row r="157">
      <c r="A157" t="inlineStr">
        <is>
          <t>Outinen, O., et al.</t>
        </is>
      </c>
      <c r="B157" t="inlineStr">
        <is>
          <t>Monitoring of sessile and mobile epifauna – Considerations for non-indigenous species</t>
        </is>
      </c>
      <c r="C157" t="inlineStr">
        <is>
          <t>Marine Pollution Bulletin</t>
        </is>
      </c>
      <c r="D157" t="n">
        <v>141</v>
      </c>
      <c r="F157" t="inlineStr">
        <is>
          <t>332-342</t>
        </is>
      </c>
      <c r="G157" t="n">
        <v>2019</v>
      </c>
      <c r="H157" t="inlineStr">
        <is>
          <t>Elsevier</t>
        </is>
      </c>
      <c r="I157" t="inlineStr">
        <is>
          <t>Maps to H&amp;B 1.1.1 — Epibiota. PVC fouling plates (15 × 15 cm) on weighted lines at 1, 2 and 3 m, soaked ~50 days; all settled organisms identified and relative abundance scored from five random squares of a 100-square grid on both sides. Match: Partial — settlement on clean plates, not the community on farm gear; tested at harbour and archipelago sites, not farms.</t>
        </is>
      </c>
      <c r="J157" t="inlineStr">
        <is>
          <t>Protocol</t>
        </is>
      </c>
      <c r="K157" t="inlineStr">
        <is>
          <t>Confirmed standalone (full read). HELCOM/OSPAR-style plates for non-indigenous species monitoring — robust for recruitment of fouling organisms (Partial for H&amp;B 1.1.1).</t>
        </is>
      </c>
      <c r="L157" t="inlineStr">
        <is>
          <t>Partial — hanging and retrieving plates is farmer-doable; identifying the settled organisms needs a partner lab.</t>
        </is>
      </c>
      <c r="M157" t="inlineStr">
        <is>
          <t>Yes</t>
        </is>
      </c>
      <c r="N157" t="inlineStr">
        <is>
          <t>PVC plates 15 × 15 cm on rope with buoy and brick weight; resealable bags and freezer; 100-square counting film; partner-lab stereo microscope.</t>
        </is>
      </c>
      <c r="O157" t="inlineStr">
        <is>
          <t>High — ~$10,290 yr 1: no start-up cost + $10.3K/yr (epibiota ID 24 × $414 [est]; settlement plate 24 × $10 [est]; bags + preservative $100 [est])</t>
        </is>
      </c>
      <c r="P157" t="inlineStr">
        <is>
          <t>Seasonal (1–3 months) — Jun–Sep 2012; plates soaked ~50 days, traps emptied every 2–4 weeks</t>
        </is>
      </c>
      <c r="Q157" t="inlineStr">
        <is>
          <t>Species list and relative abundance per plate side (five random grid squares); Shannon-Wiener index; comparison by depth and site.</t>
        </is>
      </c>
      <c r="R157" t="inlineStr">
        <is>
          <t>No — Paywalled (Elsevier)</t>
        </is>
      </c>
      <c r="S157" t="inlineStr">
        <is>
          <t>Full PDF</t>
        </is>
      </c>
      <c r="T157" t="inlineStr">
        <is>
          <t>https://doi.org/10.1016/j.marpolbul.2019.02.055</t>
        </is>
      </c>
      <c r="V157" t="inlineStr">
        <is>
          <t>Original list</t>
        </is>
      </c>
      <c r="W157" s="9" t="inlineStr">
        <is>
          <t>3 — Partnership</t>
        </is>
      </c>
      <c r="X157" t="inlineStr">
        <is>
          <t>Mollusk</t>
        </is>
      </c>
      <c r="Y157" t="inlineStr">
        <is>
          <t>Habitat &amp; Biodiversity</t>
        </is>
      </c>
      <c r="Z157" t="inlineStr">
        <is>
          <t>H&amp;B 1.1.1 — Epibiota</t>
        </is>
      </c>
      <c r="AA157" t="inlineStr">
        <is>
          <t>Boreal / Arctic</t>
        </is>
      </c>
      <c r="AB157" t="inlineStr">
        <is>
          <t>Not species-specific</t>
        </is>
      </c>
      <c r="AC157" t="inlineStr">
        <is>
          <t>Not gear-specific</t>
        </is>
      </c>
      <c r="AD157" t="inlineStr">
        <is>
          <t>Not site-specific</t>
        </is>
      </c>
      <c r="AE157" t="inlineStr">
        <is>
          <t>Variable / seasonal</t>
        </is>
      </c>
      <c r="AF157" t="inlineStr">
        <is>
          <t>Monoculture</t>
        </is>
      </c>
      <c r="AG157" t="inlineStr">
        <is>
          <t>Visual survey</t>
        </is>
      </c>
      <c r="AH157" t="inlineStr">
        <is>
          <t>Not algae-specific</t>
        </is>
      </c>
      <c r="AI157" t="inlineStr">
        <is>
          <t>Shallow nearshore (2–10 m)</t>
        </is>
      </c>
      <c r="AJ157" t="inlineStr">
        <is>
          <t>Sheltered</t>
        </is>
      </c>
      <c r="AK157" s="16" t="inlineStr">
        <is>
          <t>To track what settles on surfaces at your farm, including non-native species, hang PVC plates (15 × 15 cm) on weighted lines at [1, 2 and 3 m] depth within the farm and at its edge, and leave them for about [50] days, once per season. Freeze the retrieved plates in sealed bags; a partner lab identifies all organisms and estimates their cover from [5] random squares of a 100-square grid on both sides of each plate. Report species and relative abundance by depth and location. Plates show recruitment onto clean surfaces over one soak, not the established community on your gear, so pair them with a look at the gear itself.</t>
        </is>
      </c>
      <c r="AL157" s="17" t="inlineStr">
        <is>
          <t>High</t>
        </is>
      </c>
      <c r="AM157" s="18" t="inlineStr">
        <is>
          <t>outinen_2019_hb111</t>
        </is>
      </c>
      <c r="AN157" s="19" t="n"/>
      <c r="AO157" s="19" t="n"/>
      <c r="AP157" s="19" t="n"/>
      <c r="AQ157" s="16" t="inlineStr">
        <is>
          <t>Epibiota / fouling survey — Mollusk</t>
        </is>
      </c>
      <c r="AR157" s="16" t="inlineStr">
        <is>
          <t>Outinen, Okko; Forsström, Tiia; Yli-Rosti, Juho; Vesakoski, Outi; Lehtiniemi, Maiju</t>
        </is>
      </c>
      <c r="AS157" s="16" t="inlineStr">
        <is>
          <t>NIS-focused epifauna monitoring methodology — not bivalve-aquaculture in original context, but directly transferable to fouling-NIS monitoring at bivalve farm sites (Rule 2). The American collector with oyster shells is the recommended NIS-detection device. Useful as a methodological reference for monitoring biofouling-mediated NIS introductions at shellfish farms. Multi-tagged Mollusk per Rule 2 transferable-methodology convention; AB = Not species-specific because original system is general nearshore.  |  Migration (one-indicator-per-row, 2026-09-04): split from outinen_2019 -&gt; {outinen_2019_hb111, outinen_2019_hb121}. This row = outinen_2019_hb111 (H&amp;B 1.1.1 — Epibiota). Candidate: AK/N/Q blanked and I/K/W/O/P provisional; per-indicator method text, tier/cost/effort and match adjudication to be finalised at generation. Combined parent I/AK/N/Q retained in v37 (pre-split).  |  [2026-10-09 Rule 15 cost re-rate, batch 5] Framework basis: Mol H&amp;B 1.1.1: amongst farmed biomass, within farm + edge; seasonal (4 visits); 2 locations × 4 visits × 3 replicates = 24. HELCOM/OSPAR-style settlement plates hung from farm lines, one retrieved per sample, species-level ID by a partner lab (fee is a proxy estimate); a fee under about $400 a sample puts it in Medium. Prior O: 'Low–Medium'.  |  [2026-10-13 method-summary pass] I, K: candidate-split text replaced after full read. N, Q: blank → filled. P: controlled phrase + detail. L: 'Partial — traps and collectors deployable …' → plate-specific. O unchanged. AK written; AL High.  |  [2026-10-16 monitoring-methods pass] AT (Monitoring Methods) set from the protocol's method summary (AK): Epibiota on lines / structures, Settlement plates / artificial substrata.</t>
        </is>
      </c>
      <c r="AT157" s="21" t="inlineStr">
        <is>
          <t>Epibiota on lines / structures, Settlement plates / artificial substrata</t>
        </is>
      </c>
    </row>
    <row r="158">
      <c r="A158" s="21" t="inlineStr">
        <is>
          <t>Outinen, O., et al.</t>
        </is>
      </c>
      <c r="B158" s="21" t="inlineStr">
        <is>
          <t>Monitoring of sessile and mobile epifauna – Considerations for non-indigenous species</t>
        </is>
      </c>
      <c r="C158" s="21" t="inlineStr">
        <is>
          <t>Marine Pollution Bulletin</t>
        </is>
      </c>
      <c r="D158" s="21" t="n">
        <v>141</v>
      </c>
      <c r="E158" s="21" t="n"/>
      <c r="F158" s="21" t="inlineStr">
        <is>
          <t>332-342</t>
        </is>
      </c>
      <c r="G158" s="21" t="n">
        <v>2019</v>
      </c>
      <c r="H158" s="21" t="inlineStr">
        <is>
          <t>Elsevier</t>
        </is>
      </c>
      <c r="I158" s="21" t="inlineStr">
        <is>
          <t>Maps to H&amp;B 1.2.1 — Mobile fauna. Baited minnow and goby traps plus habitat collectors (baskets and net boxes filled with hose pieces, pot shards and stones) emptied every 2–4 weeks; catch identified and counted. Match: Partial — designed for non-native species at harbour and archipelago sites; trap- and collector-selective.</t>
        </is>
      </c>
      <c r="J158" s="21" t="inlineStr">
        <is>
          <t>Protocol</t>
        </is>
      </c>
      <c r="K158" s="21" t="inlineStr">
        <is>
          <t>Confirmed standalone (full read). Two trap types and four collector types compared for catch efficiency, richness and abundance over a summer — robust for small mobile fauna at a site (Partial for H&amp;B 1.2.1).</t>
        </is>
      </c>
      <c r="L158" s="21" t="inlineStr">
        <is>
          <t>Partial — deploying and emptying traps and collectors is farmer-doable; the source sent catches to a lab for identification (some groups only to genus).</t>
        </is>
      </c>
      <c r="M158" s="21" t="inlineStr">
        <is>
          <t>Yes</t>
        </is>
      </c>
      <c r="N158" s="21" t="inlineStr">
        <is>
          <t>Gee's minnow traps (6.4 mm mesh) and goby traps; DIY habitat collectors (mesh baskets with hose pieces, flowerpot shards and stones); rope and buoys; tub for emptying; field ID guide.</t>
        </is>
      </c>
      <c r="O158" s="21" t="inlineStr">
        <is>
          <t>Low — ~$960 yr 1: $886 start-up (fish trap ×6 $446 [list]; habitat collector ×6 $360 [est]; field ID kit $80 [est]) + $72/yr (bait 24 × $3 [est])</t>
        </is>
      </c>
      <c r="P158" s="21" t="inlineStr">
        <is>
          <t>Seasonal (1–3 months) — Jun–Sep 2012; plates soaked ~50 days, traps emptied every 2–4 weeks</t>
        </is>
      </c>
      <c r="Q158" s="21" t="inlineStr">
        <is>
          <t>Taxa richness and abundance per trap or collector; catch efficiency compared among gear types; Shannon-Wiener index.</t>
        </is>
      </c>
      <c r="R158" s="21" t="inlineStr">
        <is>
          <t>No — Paywalled (Elsevier)</t>
        </is>
      </c>
      <c r="S158" s="21" t="inlineStr">
        <is>
          <t>Full PDF</t>
        </is>
      </c>
      <c r="T158" s="21" t="inlineStr">
        <is>
          <t>https://doi.org/10.1016/j.marpolbul.2019.02.055</t>
        </is>
      </c>
      <c r="U158" s="21" t="n"/>
      <c r="V158" s="21" t="inlineStr">
        <is>
          <t>Original list</t>
        </is>
      </c>
      <c r="W158" s="9" t="inlineStr">
        <is>
          <t>3 — Partnership</t>
        </is>
      </c>
      <c r="X158" s="21" t="inlineStr">
        <is>
          <t>Mollusk</t>
        </is>
      </c>
      <c r="Y158" s="21" t="inlineStr">
        <is>
          <t>Habitat &amp; Biodiversity</t>
        </is>
      </c>
      <c r="Z158" s="21" t="inlineStr">
        <is>
          <t>H&amp;B 1.2.1 — Mobile fauna</t>
        </is>
      </c>
      <c r="AA158" s="21" t="inlineStr">
        <is>
          <t>Boreal / Arctic</t>
        </is>
      </c>
      <c r="AB158" s="21" t="inlineStr">
        <is>
          <t>Not species-specific</t>
        </is>
      </c>
      <c r="AC158" s="21" t="inlineStr">
        <is>
          <t>Not gear-specific</t>
        </is>
      </c>
      <c r="AD158" s="21" t="inlineStr">
        <is>
          <t>Not site-specific</t>
        </is>
      </c>
      <c r="AE158" s="21" t="inlineStr">
        <is>
          <t>Variable / seasonal</t>
        </is>
      </c>
      <c r="AF158" s="21" t="inlineStr">
        <is>
          <t>Monoculture</t>
        </is>
      </c>
      <c r="AG158" s="21" t="inlineStr">
        <is>
          <t>Visual survey</t>
        </is>
      </c>
      <c r="AH158" s="21" t="inlineStr">
        <is>
          <t>Not algae-specific</t>
        </is>
      </c>
      <c r="AI158" s="21" t="inlineStr">
        <is>
          <t>Shallow nearshore (2–10 m)</t>
        </is>
      </c>
      <c r="AJ158" s="21" t="inlineStr">
        <is>
          <t>Sheltered</t>
        </is>
      </c>
      <c r="AK158" s="16" t="inlineStr">
        <is>
          <t>To monitor small mobile animals at your farm, including non-native crabs and fish, hang [3] baited minnow-type traps and [3] habitat collectors (mesh baskets filled with hose pieces, pot shards and stones) from farm lines within the farm and at its edge. Every [2–4] weeks through the season, lift them into a tub of water, rinse all habitat pieces and frames, identify and count the catch with a field guide (sending hard groups such as amphipods for checking), and return the gear to the same spot. Report taxa richness and abundance per trap or collector per soak. Traps and collectors catch different groups, so use both and keep their design and soak times consistent.</t>
        </is>
      </c>
      <c r="AL158" s="17" t="inlineStr">
        <is>
          <t>High</t>
        </is>
      </c>
      <c r="AM158" s="18" t="inlineStr">
        <is>
          <t>outinen_2019_hb121</t>
        </is>
      </c>
      <c r="AN158" s="19" t="n"/>
      <c r="AO158" s="19" t="n"/>
      <c r="AP158" s="19" t="n"/>
      <c r="AQ158" s="16" t="inlineStr">
        <is>
          <t>Mobile-fauna monitoring — Mollusk</t>
        </is>
      </c>
      <c r="AR158" s="16" t="inlineStr">
        <is>
          <t>Outinen, Okko; Forsström, Tiia; Yli-Rosti, Juho; Vesakoski, Outi; Lehtiniemi, Maiju</t>
        </is>
      </c>
      <c r="AS158" s="16" t="inlineStr">
        <is>
          <t>NIS-focused epifauna monitoring methodology — not bivalve-aquaculture in original context, but directly transferable to fouling-NIS monitoring at bivalve farm sites (Rule 2). The American collector with oyster shells is the recommended NIS-detection device. Useful as a methodological reference for monitoring biofouling-mediated NIS introductions at shellfish farms. Multi-tagged Mollusk per Rule 2 transferable-methodology convention; AB = Not species-specific because original system is general nearshore.  |  Migration (one-indicator-per-row, 2026-09-04): split from outinen_2019 -&gt; {outinen_2019_hb111, outinen_2019_hb121}. This row = outinen_2019_hb121 (H&amp;B 1.2.1 — Mobile fauna). Candidate: AK/N/Q blanked and I/K/W/O/P provisional; per-indicator method text, tier/cost/effort and match adjudication to be finalised at generation. Combined parent I/AK/N/Q retained in v37 (pre-split).  |  [2026-10-13 method-summary pass] I, K: candidate-split text replaced after full read. N, Q: blank → filled. P: controlled phrase + detail. L: rewritten for this indicator. O: 'Low–Medium' → Low ~$960; Rule 15 basis: Mol H&amp;B 1.2.1 within + edge; seasonal (4 visits); 3 traps + 3 collectors per location, reused; catch field-identifiable (lab-fee waiver; fish trap as stand-in for minnow traps; DIY collector priced as the SMURF-type collector). AK written; AL High.  |  [2026-10-16 monitoring-methods pass] AT (Monitoring Methods) set from the protocol's method summary (AK): Epifauna on crop / rope.</t>
        </is>
      </c>
      <c r="AT158" s="21" t="inlineStr">
        <is>
          <t>Epifauna on crop / rope</t>
        </is>
      </c>
    </row>
    <row r="159">
      <c r="A159" t="inlineStr">
        <is>
          <t>Sun, X., et al.</t>
        </is>
      </c>
      <c r="B159" t="inlineStr">
        <is>
          <t>Use of macrofaunal assemblage indices and biological trait analysis to assess the ecological impacts of coastal bivalve aquaculture</t>
        </is>
      </c>
      <c r="C159" t="inlineStr">
        <is>
          <t>Ecological Indicators</t>
        </is>
      </c>
      <c r="D159" t="n">
        <v>127</v>
      </c>
      <c r="F159" t="inlineStr">
        <is>
          <t>107713</t>
        </is>
      </c>
      <c r="G159" t="n">
        <v>2021</v>
      </c>
      <c r="H159" t="inlineStr">
        <is>
          <t>Elsevier</t>
        </is>
      </c>
      <c r="I159" t="inlineStr">
        <is>
          <t>Maps to H&amp;B 1.3.1 — Benthic infauna. Twelve bivalve farms along the China coast (29.5–37.9°N; suspended scallop cages, hanging-rope mussel and oyster culture, bottom-cultured clams and scallops; 2–20 m), summer surveys 2013–2019 compiled from the authors' sampling, earlier studies and reports: 3–12 random stations per farm, 3 replicate Van Veen grabs (0.05 m²) per station sieved at 0.5 mm in situ (beside the longlines at rope farms), formalin-fixed and identified to species; compositional indices plus six functional-diversity indices from 15 fuzzy-coded traits. Match: Partial — stations within farms only, no edge or reference; data pooled across sources and years.</t>
        </is>
      </c>
      <c r="J159" t="inlineStr">
        <is>
          <t>Protocol</t>
        </is>
      </c>
      <c r="K159" t="inlineStr">
        <is>
          <t>Confirmed standalone (full read). Standard grab-and-sieve infauna data at each farm, analysed against culture density and method: species richness and functional redundancy fell and evenness rose with bivalve density, while functional richness held — usable for H&amp;B 1.3.1 (Partial: farm stations only; compares farms with each other, not with unfarmed seabed).</t>
        </is>
      </c>
      <c r="L159" t="inlineStr">
        <is>
          <t>Partial — grabbing from the farm boat and sieving are farmer-doable; sorting and species identification need a partner lab; trait coding from free databases and the functional indices need analytical help.</t>
        </is>
      </c>
      <c r="M159" t="inlineStr">
        <is>
          <t>Yes</t>
        </is>
      </c>
      <c r="N159" t="inlineStr">
        <is>
          <t>Van Veen grab (0.05 m²), 3 replicates per station; 0.5 mm sieve in situ; 10% buffered formalin; species keys (regional Chinese guides); trait information from MarLIN BIOTIC, WoRMS and the Marine Species Identification Portal, fuzzy-coded 0–3; R (vegan, FD, lme4, arm, MuMIn, ade4).</t>
        </is>
      </c>
      <c r="O159" t="inlineStr">
        <is>
          <t>High — ~$12K yr 1: $1.77K start-up (Petite Ponar grab $1.57K [list]; grab line $50 [est]; 500 µm sieve $150 [est]) + $10.1K/yr (infauna sort + ID 24 × $414 [lab fee]; preservative + jars $150 [est])</t>
        </is>
      </c>
      <c r="P159" t="inlineStr">
        <is>
          <t>Seasonal (1–3 months) — summer campaigns only, one per farm, in different years between 2013 and 2019</t>
        </is>
      </c>
      <c r="Q159" t="inlineStr">
        <is>
          <t>Five compositional indices (abundance, richness, Simpson, Pielou, Shannon) and six functional indices (functional redundancy, FRic, FEve, FDiv, FDis, Rao's Q) per station from 15 trait modalities (feeding mode, mobility, adult size, longevity); LMMs with farm and site variables as fixed effects and station random, model-averaging of the top-2 AICc models (MuMIn); RLQ and fourth-corner analysis linking traits to farm variables (ade4); cluster analysis of trait composition.</t>
        </is>
      </c>
      <c r="R159" t="inlineStr">
        <is>
          <t>Yes — Open access (CC BY-NC-ND, Elsevier)</t>
        </is>
      </c>
      <c r="S159" t="inlineStr">
        <is>
          <t>Full PDF</t>
        </is>
      </c>
      <c r="T159" t="inlineStr">
        <is>
          <t>https://doi.org/10.1016/j.ecolind.2021.107713</t>
        </is>
      </c>
      <c r="U159" t="inlineStr">
        <is>
          <t>No edge or unfarmed reference stations: effects are inferred from differences among farms in culture density and method, and the station random effect explained much of the variance. Data from different years and sources (own sampling, earlier studies, literature, reports) were pooled, summer only. Cultured bivalves were counted in the assemblage, which inflates abundance at dense farms.</t>
        </is>
      </c>
      <c r="V159" t="inlineStr">
        <is>
          <t>Original list</t>
        </is>
      </c>
      <c r="W159" s="9" t="inlineStr">
        <is>
          <t>3 — Partnership</t>
        </is>
      </c>
      <c r="X159" t="inlineStr">
        <is>
          <t>Mollusk</t>
        </is>
      </c>
      <c r="Y159" t="inlineStr">
        <is>
          <t>Habitat &amp; Biodiversity</t>
        </is>
      </c>
      <c r="Z159" t="inlineStr">
        <is>
          <t>H&amp;B 1.3.1 — Benthic infauna</t>
        </is>
      </c>
      <c r="AA159" t="inlineStr">
        <is>
          <t>Cross-zone / global</t>
        </is>
      </c>
      <c r="AB159" t="inlineStr">
        <is>
          <t>Manila clam (Ruditapes philippinarum), Blue mussel (Mytilus edulis), Pacific oyster (Crassostrea / Magallana gigas), Scallop (Pecten / Argopecten / Placopecten spp.)</t>
        </is>
      </c>
      <c r="AC159" t="inlineStr">
        <is>
          <t>Mixed</t>
        </is>
      </c>
      <c r="AD159" t="inlineStr">
        <is>
          <t>Multi-farm regional</t>
        </is>
      </c>
      <c r="AE159" t="inlineStr">
        <is>
          <t>Variable / seasonal</t>
        </is>
      </c>
      <c r="AF159" t="inlineStr">
        <is>
          <t>Monoculture</t>
        </is>
      </c>
      <c r="AG159" t="inlineStr">
        <is>
          <t>Sediment sampling</t>
        </is>
      </c>
      <c r="AH159" t="inlineStr">
        <is>
          <t>Not algae-specific</t>
        </is>
      </c>
      <c r="AI159" t="inlineStr">
        <is>
          <t>Not depth-specific</t>
        </is>
      </c>
      <c r="AJ159" t="inlineStr">
        <is>
          <t>Sheltered</t>
        </is>
      </c>
      <c r="AK159" s="16" t="inlineStr">
        <is>
          <t>To check how your shellfish farm affects the animals living in the seabed, take [3] grabs of known area (the source used a 0.05 m² Van Veen; a small hand-line grab works from a farm boat) at [3] randomly placed stations under the farm, beside the lines at rope or cage farms, and at [3] stations at the farm edge, once per season including summer. Wash each grab through a 0.5 mm sieve, fix the residue and have a partner lab sort, identify and count the animals. Report abundance, number of species and Shannon diversity, and compare farm with edge. If you can, also score each species for feeding mode, mobility, adult size and lifespan from free trait databases: in the source, denser culture cut species richness and the overlap of functions, and the trait mix differed with culture method. The source sampled inside farms only, so the edge stations are added; count your cultured bivalves separately.</t>
        </is>
      </c>
      <c r="AL159" s="17" t="inlineStr">
        <is>
          <t>High</t>
        </is>
      </c>
      <c r="AM159" s="18" t="inlineStr">
        <is>
          <t>sun_2021_hb131</t>
        </is>
      </c>
      <c r="AN159" s="19" t="n"/>
      <c r="AO159" s="19" t="n"/>
      <c r="AP159" s="19" t="n"/>
      <c r="AQ159" s="16" t="inlineStr">
        <is>
          <t>Benthic-infauna sampling — Mollusk</t>
        </is>
      </c>
      <c r="AR159" s="16" t="inlineStr">
        <is>
          <t>Sun, Xin; Dong, Jianyu; Hu, Chengye; Zhang, Yuyang; Chen, Yong; Zhang, Xiumei</t>
        </is>
      </c>
      <c r="AS159" s="16" t="inlineStr">
        <is>
          <t>Multi-method indicator synthesis across 12 bivalve farms covering 4 culture methods (suspended cages — scallops; hanging ropes — mussels &amp; oysters; bottom culture — clams &amp; scallops). Demonstrates that culture method drives biological-trait composition more than cultivated species identity. Bottom-based culture causes least ecological impact in trait-compositional terms. Useful as a meta-template for trait-based assessment beyond standard diversity indices. Cross-zone (subtropical + temperate Pacific China coast).  |  Migration (one-indicator-per-row, 2026-09-04): split from sun_2021 -&gt; {sun_2021_hb131, sun_2021_hb211}. This row = sun_2021_hb131 (H&amp;B 1.3.1 — Benthic infauna). Candidate: AK/N/Q blanked and I/K/W/O/P provisional; per-indicator method text, tier/cost/effort and match adjudication to be finalised at generation. Combined parent I/AK/N/Q retained in v37 (pre-split).  |  [2026-10-13 Rule 15 cost re-rate, batch 12] Framework basis: Mol H&amp;B 1.3.1: under/within farm + edge; seasonal (4 visits); 2 locations × 4 visits × 3 replicates = 24. Grab, partner-lab sort + ID; trait coding and indices are labour in free software; the 12-farm design is above the Framework minimum. Prior O: 'Medium–High'.  |  [2026-10-16 method-summary pass] Full read (Peter's PDF). R: 'No — Paywalled (Elsevier)' → 'Yes — Open access (CC BY-NC-ND, Elsevier)' (handoff flag). I, K: candidate-split text replaced; Match Partial (farm stations only; no edge or reference; pooled multi-source data) — brought to Peter. L → Partial. W: '2 — Researcher' → '3 — Partnership' (Rule 14; partner-lab sort/ID); fill → T3 pale green. N, Q, U filled; P 'Multi-season' → 'Seasonal' + detail. O unchanged (500 µm sieve matches the source's 0.5 mm; grab class as Van Veen). AK written; AL Med → High.  |  [2026-10-16 method-summary pass] Peter's call (2026-10-16): Partial kept.  |  [2026-10-16 monitoring-methods pass] AT (Monitoring Methods) set from the protocol's method summary (AK): Benthic infauna community.</t>
        </is>
      </c>
      <c r="AT159" s="21" t="inlineStr">
        <is>
          <t>Benthic infauna community</t>
        </is>
      </c>
    </row>
    <row r="160">
      <c r="A160" s="21" t="inlineStr">
        <is>
          <t>Sun, X., et al.</t>
        </is>
      </c>
      <c r="B160" s="21" t="inlineStr">
        <is>
          <t>Use of macrofaunal assemblage indices and biological trait analysis to assess the ecological impacts of coastal bivalve aquaculture</t>
        </is>
      </c>
      <c r="C160" s="21" t="inlineStr">
        <is>
          <t>Ecological Indicators</t>
        </is>
      </c>
      <c r="D160" s="21" t="n">
        <v>127</v>
      </c>
      <c r="E160" s="21" t="n"/>
      <c r="F160" s="21" t="inlineStr">
        <is>
          <t>107713</t>
        </is>
      </c>
      <c r="G160" s="21" t="n">
        <v>2021</v>
      </c>
      <c r="H160" s="21" t="inlineStr">
        <is>
          <t>Elsevier</t>
        </is>
      </c>
      <c r="I160" s="21" t="inlineStr">
        <is>
          <t>Maps to H&amp;B 2.1.1 — Community composition. Same 12-farm dataset (China coast; cage, rope and bottom culture of clams, mussels, oysters and scallops; summer surveys 2013–2019): infaunal assemblages from replicate 0.05 m² Van Veen grabs (0.5 mm sieve) profiled with five compositional and six functional indices, 15 trait modalities in four categories, cluster analysis of trait composition by farm and RLQ/fourth-corner analysis against farm variables. Match: Partial — no edge or unfarmed reference (farms compared with each other); infauna only.</t>
        </is>
      </c>
      <c r="J160" s="21" t="inlineStr">
        <is>
          <t>Protocol</t>
        </is>
      </c>
      <c r="K160" s="21" t="inlineStr">
        <is>
          <t>Confirmed standalone (full read). Compositional and functional profiles at 12 farms grouped by culture method: deposit feeders and swimmers in cage farms, carnivores and crawlers in rope farms, filter feeders and long-lived burrowers under bottom culture — usable for H&amp;B 2.1.1 as an infauna profile (Partial: no unfarmed reference; infauna only).</t>
        </is>
      </c>
      <c r="L160" s="21" t="inlineStr">
        <is>
          <t>Partial — grabbing from the farm boat and sieving are farmer-doable; sorting and species identification need a partner lab; trait coding from free databases and the functional indices need analytical help.</t>
        </is>
      </c>
      <c r="M160" s="21" t="inlineStr">
        <is>
          <t>Yes</t>
        </is>
      </c>
      <c r="N160" s="21" t="inlineStr">
        <is>
          <t>Van Veen grab (0.05 m²), 3 replicates per station; 0.5 mm sieve in situ; 10% buffered formalin; species keys (regional Chinese guides); trait information from MarLIN BIOTIC, WoRMS and the Marine Species Identification Portal, fuzzy-coded 0–3; R (vegan, FD, lme4, arm, MuMIn, ade4).</t>
        </is>
      </c>
      <c r="O160" s="21" t="inlineStr">
        <is>
          <t>High — ~$22K yr 1: $1.77K start-up (Petite Ponar grab $1.57K [list]; grab line $50 [est]; 500 µm sieve $150 [est]) + $20K/yr (infauna sort + ID 48 × $414 [lab fee]; preservative + jars $150 [est])</t>
        </is>
      </c>
      <c r="P160" s="21" t="inlineStr">
        <is>
          <t>Seasonal (1–3 months) — summer campaigns only, one per farm, in different years between 2013 and 2019</t>
        </is>
      </c>
      <c r="Q160" s="21" t="inlineStr">
        <is>
          <t>Five compositional indices (abundance, richness, Simpson, Pielou, Shannon) and six functional indices (functional redundancy, FRic, FEve, FDiv, FDis, Rao's Q) per station from 15 trait modalities (feeding mode, mobility, adult size, longevity); LMMs with farm and site variables as fixed effects and station random, model-averaging of the top-2 AICc models (MuMIn); RLQ and fourth-corner analysis linking traits to farm variables (ade4); cluster analysis of trait composition.</t>
        </is>
      </c>
      <c r="R160" s="21" t="inlineStr">
        <is>
          <t>Yes — Open access (CC BY-NC-ND, Elsevier)</t>
        </is>
      </c>
      <c r="S160" s="21" t="inlineStr">
        <is>
          <t>Full PDF</t>
        </is>
      </c>
      <c r="T160" s="21" t="inlineStr">
        <is>
          <t>https://doi.org/10.1016/j.ecolind.2021.107713</t>
        </is>
      </c>
      <c r="U160" s="21" t="inlineStr">
        <is>
          <t>No edge or unfarmed reference stations: effects are inferred from differences among farms in culture density and method, and the station random effect explained much of the variance. Data from different years and sources (own sampling, earlier studies, literature, reports) were pooled, summer only. Cultured bivalves were counted in the assemblage, which inflates abundance at dense farms.</t>
        </is>
      </c>
      <c r="V160" s="21" t="inlineStr">
        <is>
          <t>Original list</t>
        </is>
      </c>
      <c r="W160" s="9" t="inlineStr">
        <is>
          <t>3 — Partnership</t>
        </is>
      </c>
      <c r="X160" s="21" t="inlineStr">
        <is>
          <t>Mollusk</t>
        </is>
      </c>
      <c r="Y160" s="21" t="inlineStr">
        <is>
          <t>Habitat &amp; Biodiversity</t>
        </is>
      </c>
      <c r="Z160" s="21" t="inlineStr">
        <is>
          <t>H&amp;B 2.1.1 — Community composition</t>
        </is>
      </c>
      <c r="AA160" s="21" t="inlineStr">
        <is>
          <t>Cross-zone / global</t>
        </is>
      </c>
      <c r="AB160" s="21" t="inlineStr">
        <is>
          <t>Manila clam (Ruditapes philippinarum), Blue mussel (Mytilus edulis), Pacific oyster (Crassostrea / Magallana gigas), Scallop (Pecten / Argopecten / Placopecten spp.)</t>
        </is>
      </c>
      <c r="AC160" s="21" t="inlineStr">
        <is>
          <t>Mixed</t>
        </is>
      </c>
      <c r="AD160" s="21" t="inlineStr">
        <is>
          <t>Multi-farm regional</t>
        </is>
      </c>
      <c r="AE160" s="21" t="inlineStr">
        <is>
          <t>Variable / seasonal</t>
        </is>
      </c>
      <c r="AF160" s="21" t="inlineStr">
        <is>
          <t>Monoculture</t>
        </is>
      </c>
      <c r="AG160" s="21" t="inlineStr">
        <is>
          <t>Sediment sampling</t>
        </is>
      </c>
      <c r="AH160" s="21" t="inlineStr">
        <is>
          <t>Not algae-specific</t>
        </is>
      </c>
      <c r="AI160" s="21" t="inlineStr">
        <is>
          <t>Not depth-specific</t>
        </is>
      </c>
      <c r="AJ160" s="21" t="inlineStr">
        <is>
          <t>Sheltered</t>
        </is>
      </c>
      <c r="AK160" s="16" t="inlineStr">
        <is>
          <t>To compare the seabed community at your farm with unfarmed seabed nearby, take [3] grabs of known area at [3] stations under the farm (beside the lines at rope or cage farms), [3] at the farm edge and [3] at each of [2] reference sites of similar depth and sediment outside the farm, once per season. Sieve at 0.5 mm, fix and have a partner lab identify and count the animals. Compare abundance, number of species, Simpson and Shannon diversity and the species mix between farm and reference; if you can, score each species for feeding mode, mobility, adult size and lifespan from free trait databases to compare functional make-up too, which shows more than species counts alone. The source compared 12 farms with one another, without references, and found the trait mix followed culture method; the references are added here. Count cultured bivalves separately, since they can dominate the totals.</t>
        </is>
      </c>
      <c r="AL160" s="17" t="inlineStr">
        <is>
          <t>High</t>
        </is>
      </c>
      <c r="AM160" s="18" t="inlineStr">
        <is>
          <t>sun_2021_hb211</t>
        </is>
      </c>
      <c r="AN160" s="19" t="n"/>
      <c r="AO160" s="19" t="n"/>
      <c r="AP160" s="19" t="n"/>
      <c r="AQ160" s="16" t="inlineStr">
        <is>
          <t>Community-composition survey — Mollusk</t>
        </is>
      </c>
      <c r="AR160" s="16" t="inlineStr">
        <is>
          <t>Sun, Xin; Dong, Jianyu; Hu, Chengye; Zhang, Yuyang; Chen, Yong; Zhang, Xiumei</t>
        </is>
      </c>
      <c r="AS160" s="16" t="inlineStr">
        <is>
          <t>Multi-method indicator synthesis across 12 bivalve farms covering 4 culture methods (suspended cages — scallops; hanging ropes — mussels &amp; oysters; bottom culture — clams &amp; scallops). Demonstrates that culture method drives biological-trait composition more than cultivated species identity. Bottom-based culture causes least ecological impact in trait-compositional terms. Useful as a meta-template for trait-based assessment beyond standard diversity indices. Cross-zone (subtropical + temperate Pacific China coast).  |  Migration (one-indicator-per-row, 2026-09-04): split from sun_2021 -&gt; {sun_2021_hb131, sun_2021_hb211}. This row = sun_2021_hb211 (H&amp;B 2.1.1 — Community composition). Candidate: AK/N/Q blanked and I/K/W/O/P provisional; per-indicator method text, tier/cost/effort and match adjudication to be finalised at generation. Combined parent I/AK/N/Q retained in v37 (pre-split).  |  [2026-10-13 Rule 15 cost re-rate, batch 12] Framework basis: Mol H&amp;B 2.1.1: 2 farm strata + 2 nearby non-farm refs; seasonal (4 visits); 4 locations × 4 visits × 3 replicates = 48. Grab, partner-lab sort + ID (the paper's community method); not field-identifiable, so no waiver. Prior O: 'Medium–High'.  |  [2026-10-16 method-summary pass] Full read (Peter's PDF). R: 'No — Paywalled (Elsevier)' → 'Yes — Open access (CC BY-NC-ND, Elsevier)' (handoff flag). I, K: candidate-split text replaced; Match Partial (no unfarmed reference; infauna only) — brought to Peter. L → Partial. W: '2 — Researcher' → '3 — Partnership' (Rule 14; partner-lab sort/ID); fill → T3 pale green. N, Q, U filled; P 'Multi-season' → 'Seasonal' + detail. O unchanged (500 µm sieve matches the source's 0.5 mm; grab class as Van Veen). AK written; AL Med → High.  |  [2026-10-16 method-summary pass] Peter's call (2026-10-16): Partial kept.  |  [2026-10-16 monitoring-methods pass] AT (Monitoring Methods) set from the protocol's method summary (AK): Benthic infauna community.</t>
        </is>
      </c>
      <c r="AT160" s="21" t="inlineStr">
        <is>
          <t>Benthic infauna community</t>
        </is>
      </c>
    </row>
    <row r="161">
      <c r="A161" s="21" t="inlineStr">
        <is>
          <t>Bridger, D., et al.</t>
        </is>
      </c>
      <c r="B161" s="21" t="inlineStr">
        <is>
          <t>The restoration potential of offshore mussel farming on degraded seabed habitat</t>
        </is>
      </c>
      <c r="C161" s="21" t="inlineStr">
        <is>
          <t>Aquaculture, Fish and Fisheries</t>
        </is>
      </c>
      <c r="D161" s="21" t="n">
        <v>2</v>
      </c>
      <c r="E161" s="21" t="inlineStr">
        <is>
          <t>6</t>
        </is>
      </c>
      <c r="F161" s="21" t="inlineStr">
        <is>
          <t>437-449</t>
        </is>
      </c>
      <c r="G161" s="21" t="n">
        <v>2022</v>
      </c>
      <c r="H161" s="21" t="inlineStr">
        <is>
          <t>Wiley</t>
        </is>
      </c>
      <c r="I161" s="21" t="inlineStr">
        <is>
          <t>Maps to H&amp;B 1.2.1 — Mobile fauna. Three BRUVs ~30 m apart per plot (40 min soak, 30 min scored as MaxN) in rope and control plots (500 m away) at two trial stations of an offshore longline mussel farm in Lyme Bay, UK, annually before (2013) and for 4 years after rope deployment. Match: Yes.</t>
        </is>
      </c>
      <c r="J161" s="21" t="inlineStr">
        <is>
          <t>Protocol (multi-method underwater video assessment, paired farm-vs-control design)</t>
        </is>
      </c>
      <c r="K161" s="21" t="inlineStr">
        <is>
          <t>Yes (full read) — total mobile abundance rose in rope plots and fell in controls (significant time × treatment interaction; Year 4 Rope ~92 vs Control ~48 MaxN min⁻¹); European lobster and edible crab were recorded almost only within the farm. Summer-only; 11 mobile taxa, dominated by schooling fish.</t>
        </is>
      </c>
      <c r="L161" s="21" t="inlineStr">
        <is>
          <t>Yes — a drop-down camera and baited camera can be run from the farm boat; animals are identified from video with a regional guide; no lab step.</t>
        </is>
      </c>
      <c r="M161" s="21" t="inlineStr">
        <is>
          <t>Yes</t>
        </is>
      </c>
      <c r="N161" s="21" t="inlineStr">
        <is>
          <t>Baited remote underwater video units (camera module, LED light, wire-mesh bait box on a pole 1 m in front of the camera; 100 g mackerel per drop), 3 units ~30 m apart per plot.</t>
        </is>
      </c>
      <c r="O161" s="21" t="inlineStr">
        <is>
          <t>Low — ~$580 yr 1: $580 start-up (action camera + dive housing $430 [list]; BRUV frame $100 [est]; rope + float $50 [est]) + no recurring cost</t>
        </is>
      </c>
      <c r="P161" s="21" t="inlineStr">
        <is>
          <t>Multi-year monitoring (&gt; 1 year) — annual summer surveys (Jun–Sep), 2013 before the ropes went in to 2017, 4 years after</t>
        </is>
      </c>
      <c r="Q161" s="21" t="inlineStr">
        <is>
          <t>MaxN per taxon over 30 min; Poisson GLMMs (lme4, glmmADMB) of taxa number and total MaxN vs time since deployment × treatment, trial station random; PERMANOVA, SIMPER and nMDS (PRIMER v7).</t>
        </is>
      </c>
      <c r="R161" s="21" t="inlineStr">
        <is>
          <t>Yes — Open access (Wiley OA, CC-BY)</t>
        </is>
      </c>
      <c r="S161" s="21" t="inlineStr">
        <is>
          <t>Full PDF</t>
        </is>
      </c>
      <c r="T161" s="21" t="inlineStr">
        <is>
          <t>https://doi.org/10.1002/aff2.77</t>
        </is>
      </c>
      <c r="U161" s="21" t="inlineStr">
        <is>
          <t>Funded by the farm operator but designed and analysed independently (Univ. of Plymouth). Controls stay open to bottom-towed fishing, so farm effects include fishing exclusion. Summer-only sampling.</t>
        </is>
      </c>
      <c r="V161" s="21" t="inlineStr">
        <is>
          <t>Original list</t>
        </is>
      </c>
      <c r="W161" s="10" t="inlineStr">
        <is>
          <t>4 — Practitioner</t>
        </is>
      </c>
      <c r="X161" s="21" t="inlineStr">
        <is>
          <t>Mollusk</t>
        </is>
      </c>
      <c r="Y161" s="21" t="inlineStr">
        <is>
          <t>Habitat &amp; Biodiversity</t>
        </is>
      </c>
      <c r="Z161" s="21" t="inlineStr">
        <is>
          <t>H&amp;B 1.2.1 — Mobile fauna</t>
        </is>
      </c>
      <c r="AA161" s="21" t="inlineStr">
        <is>
          <t>Temperate Atlantic</t>
        </is>
      </c>
      <c r="AB161" s="21" t="inlineStr">
        <is>
          <t>Blue mussel (Mytilus edulis)</t>
        </is>
      </c>
      <c r="AC161" s="21" t="inlineStr">
        <is>
          <t>Suspended longline (mussel)</t>
        </is>
      </c>
      <c r="AD161" s="21" t="inlineStr">
        <is>
          <t>Large (&gt;20 ha)</t>
        </is>
      </c>
      <c r="AE161" s="21" t="inlineStr">
        <is>
          <t>Variable / seasonal</t>
        </is>
      </c>
      <c r="AF161" s="21" t="inlineStr">
        <is>
          <t>Monoculture</t>
        </is>
      </c>
      <c r="AG161" s="21" t="inlineStr">
        <is>
          <t>BRUVs / video</t>
        </is>
      </c>
      <c r="AH161" s="21" t="inlineStr">
        <is>
          <t>Not algae-specific</t>
        </is>
      </c>
      <c r="AI161" s="21" t="inlineStr">
        <is>
          <t>Coastal (10–30 m)</t>
        </is>
      </c>
      <c r="AJ161" s="21" t="inlineStr">
        <is>
          <t>Exposed</t>
        </is>
      </c>
      <c r="AK161" s="16" t="inlineStr">
        <is>
          <t>To check whether your mussel farm attracts fish, crabs and lobsters, drop a baited underwater camera ([100] g of oily fish such as mackerel in a mesh box on a pole 1 m in front of the lens) on the seabed at [3] spots about 30 m apart inside the farm and [3] at its edge, each season. Leave each drop for 40 minutes, skip the first 5, and over the next 30 minutes record the most individuals of each species seen in a single frame (MaxN). Compare species counts and total MaxN between farm and edge and over time, ideally starting with a survey before the lines go in. Bait draws animals in, so MaxN is relative abundance, not density; keep bait, soak time and time of day the same.</t>
        </is>
      </c>
      <c r="AL161" s="17" t="inlineStr">
        <is>
          <t>High</t>
        </is>
      </c>
      <c r="AM161" s="18" t="inlineStr">
        <is>
          <t>bridger_2022_hb121</t>
        </is>
      </c>
      <c r="AN161" s="19" t="n"/>
      <c r="AO161" s="19" t="n"/>
      <c r="AP161" s="19" t="n"/>
      <c r="AQ161" s="16" t="inlineStr">
        <is>
          <t>Mobile-fauna monitoring — Mollusk</t>
        </is>
      </c>
      <c r="AR161" s="16" t="inlineStr">
        <is>
          <t>Bridger, Danielle; Attrill, Martin J; Davies, Bede F R; Holmes, Luke A; Cartwright, Amy; Rees, Siân E; Mascorda Cabre, Llucia; Sheehan, Emma V</t>
        </is>
      </c>
      <c r="AS161" s="16" t="inlineStr">
        <is>
          <t>Foundational large-scale offshore mussel farm habitat-function paper. Companion to Mascorda Cabre 2023 (BTA on sediment recovery, same farm) and Bridger 2024 (later in the same monitoring programme). Lyme Bay site has 15 km² of historically dredge/trawl-degraded seabed; farm acts as both physical exclusion (no bottom-towed fishing) and habitat-creating structure. Strong analogue to mussel-reef restoration. Useful as a UK temperate-Atlantic counterpart to Sun 2021 (R107) trait-based bivalve farm assessment.  |  Migration (one-indicator-per-row, 2026-09-04): split from bridger_2022 -&gt; {bridger_2022_hb111, bridger_2022_hb121, bridger_2022_hb211}. This row = bridger_2022_hb121 (H&amp;B 1.2.1 — Mobile fauna). Candidate: AK/N/Q blanked and I/K/W/O/P provisional; per-indicator method text, tier/cost/effort and match adjudication to be finalised at generation. Combined parent I/AK/N/Q retained in v37 (pre-split).  |  [2026-10-09 Rule 15 cost re-rate, batch 6] Framework basis: Mol H&amp;B 1.2.1: amongst farmed biomass, within farm + edge; seasonal (4 visits); 2 locations × 4 visits × 3 replicates = 24. Drop-down camera kit carried between sites; the paper's three video methods (drop-down, towed, baited) cost about the same here, so the band holds whichever this indicator uses; video scoring is labour; method from method note. Prior O: 'Low–Medium (camera systems modest; main cost is analyst time over multi-year programme)'.  |  [2026-10-13 method-summary pass] Full read (Univ. of Plymouth PEARL, publisher PDF). E, F: issue and pages corrected (→ 2(6): 437–449; prior F '534-548'). I, K: candidate-split text replaced. W: 3 → 4 (Rule 14: video scored with a regional guide, no lab step). L → Yes. AC 'Longline / suspended', AD 'Single farm' and AI 'Offshore (deeper)' were off-vocabulary → Suspended longline (mussel) / Large (&gt;20 ha) (15.4 km² licence) / Coastal (10–30 m) (depth not stated; droppers reach 12 m without touching the seabed, 4–10 km offshore). AG: Visual survey dropped. P: controlled phrase + detail. U: blank → filled. O unchanged: the protocol replaces the towed system and ROV with a drop-down camera, as assumed at the re-rate. N, Q, AK, AL written. Prior: E: 'None'; F: '534-548'; S: 'Abstract + Methods (fetched)'; P: 'Multi-year (5 yr annual monitoring)'; L: 'Partial — drop-down video deployment is feasible for trained farmers; '; W: '3 — Partnership'; AC: 'Longline / suspended'; AD: 'Single farm'; AI: 'Offshore (deeper)'; AG: 'BRUVs / video, Visual survey'.  |  [2026-10-16 monitoring-methods pass] AT (Monitoring Methods) set from the protocol's method summary (AK): Baited remote underwater video (BRUV).</t>
        </is>
      </c>
      <c r="AT161" s="21" t="inlineStr">
        <is>
          <t>Baited remote underwater video (BRUV)</t>
        </is>
      </c>
    </row>
    <row r="162">
      <c r="A162" s="21" t="inlineStr">
        <is>
          <t>Bridger, D., et al.</t>
        </is>
      </c>
      <c r="B162" s="21" t="inlineStr">
        <is>
          <t>The restoration potential of offshore mussel farming on degraded seabed habitat</t>
        </is>
      </c>
      <c r="C162" s="21" t="inlineStr">
        <is>
          <t>Aquaculture, Fish and Fisheries</t>
        </is>
      </c>
      <c r="D162" s="21" t="n">
        <v>2</v>
      </c>
      <c r="E162" s="21" t="inlineStr">
        <is>
          <t>6</t>
        </is>
      </c>
      <c r="F162" s="21" t="inlineStr">
        <is>
          <t>437-449</t>
        </is>
      </c>
      <c r="G162" s="21" t="n">
        <v>2022</v>
      </c>
      <c r="H162" s="21" t="inlineStr">
        <is>
          <t>Wiley</t>
        </is>
      </c>
      <c r="I162" s="21" t="inlineStr">
        <is>
          <t>Maps to H&amp;B 2.1.1 — Community composition. Rope plots vs control plots 500 m away (two of each per trial station, two stations) of an offshore longline mussel farm in Lyme Bay, UK, sampled annually 2013 (before ropes) to 2017; seabed sessile and sedentary assemblage from towed video and ROV, mobile assemblage from BRUV; compared by PERMANOVA. Match: Yes.</t>
        </is>
      </c>
      <c r="J162" s="21" t="inlineStr">
        <is>
          <t>Protocol (multi-method underwater video assessment, paired farm-vs-control design)</t>
        </is>
      </c>
      <c r="K162" s="21" t="inlineStr">
        <is>
          <t>Yes (full read) — assemblage composition diverged between rope and control plots over time for sessile/sedentary and mobile taxa (PERMANOVA), with SIMPER identifying the drivers (starfish, hermit crabs, horse mackerel). Before data and two stations make a strong design; summer-only, and the trawled controls mean part of the contrast is fishing exclusion.</t>
        </is>
      </c>
      <c r="L162" s="21" t="inlineStr">
        <is>
          <t>Yes — a drop-down camera and baited camera can be run from the farm boat; animals are identified from video with a regional guide; no lab step.</t>
        </is>
      </c>
      <c r="M162" s="21" t="inlineStr">
        <is>
          <t>Yes</t>
        </is>
      </c>
      <c r="N162" s="21" t="inlineStr">
        <is>
          <t>Towed underwater video system (~1 m from the ropes) and ROV (VideoRay Pro 4, directly beneath them), both with HD camera, LED lights and twin parallel 532 nm scaling lasers; HYPACK GPS for transect tracking; frame-grab overlay software with a 25-square grid; ImageJ for clump length. Plus baited remote underwater video units (camera module, LED light, wire-mesh bait box on a pole 1 m in front of the camera; 100 g mackerel per drop), 3 units ~30 m apart per plot.</t>
        </is>
      </c>
      <c r="O162" s="21" t="inlineStr">
        <is>
          <t>Low — ~$580 yr 1: $580 start-up (action camera + dive housing $430 [list]; BRUV frame $100 [est]; rope + float $50 [est]) + no recurring cost</t>
        </is>
      </c>
      <c r="P162" s="21" t="inlineStr">
        <is>
          <t>Multi-year monitoring (&gt; 1 year) — annual summer surveys (Jun–Sep), 2013 before the ropes went in to 2017, 4 years after</t>
        </is>
      </c>
      <c r="Q162" s="21" t="inlineStr">
        <is>
          <t>GLMMs (lme4, glmmADMB) of taxa number and abundance vs time since deployment × treatment, trial station random; PERMANOVA (Bray-Curtis, square-root) with pairwise tests, SIMPER and nMDS (PRIMER v7). BRUV data scored as MaxN.</t>
        </is>
      </c>
      <c r="R162" s="21" t="inlineStr">
        <is>
          <t>Yes — Open access (Wiley OA, CC-BY)</t>
        </is>
      </c>
      <c r="S162" s="21" t="inlineStr">
        <is>
          <t>Full PDF</t>
        </is>
      </c>
      <c r="T162" s="21" t="inlineStr">
        <is>
          <t>https://doi.org/10.1002/aff2.77</t>
        </is>
      </c>
      <c r="U162" s="21" t="inlineStr">
        <is>
          <t>Funded by the farm operator but designed and analysed independently (Univ. of Plymouth). Controls stay open to bottom-towed fishing, so farm effects include fishing exclusion. Summer-only sampling.</t>
        </is>
      </c>
      <c r="V162" s="21" t="inlineStr">
        <is>
          <t>Original list</t>
        </is>
      </c>
      <c r="W162" s="10" t="inlineStr">
        <is>
          <t>4 — Practitioner</t>
        </is>
      </c>
      <c r="X162" s="21" t="inlineStr">
        <is>
          <t>Mollusk</t>
        </is>
      </c>
      <c r="Y162" s="21" t="inlineStr">
        <is>
          <t>Habitat &amp; Biodiversity</t>
        </is>
      </c>
      <c r="Z162" s="21" t="inlineStr">
        <is>
          <t>H&amp;B 2.1.1 — Community composition</t>
        </is>
      </c>
      <c r="AA162" s="21" t="inlineStr">
        <is>
          <t>Temperate Atlantic</t>
        </is>
      </c>
      <c r="AB162" s="21" t="inlineStr">
        <is>
          <t>Blue mussel (Mytilus edulis)</t>
        </is>
      </c>
      <c r="AC162" s="21" t="inlineStr">
        <is>
          <t>Suspended longline (mussel)</t>
        </is>
      </c>
      <c r="AD162" s="21" t="inlineStr">
        <is>
          <t>Large (&gt;20 ha)</t>
        </is>
      </c>
      <c r="AE162" s="21" t="inlineStr">
        <is>
          <t>Variable / seasonal</t>
        </is>
      </c>
      <c r="AF162" s="21" t="inlineStr">
        <is>
          <t>Monoculture</t>
        </is>
      </c>
      <c r="AG162" s="21" t="inlineStr">
        <is>
          <t>BRUVs / video</t>
        </is>
      </c>
      <c r="AH162" s="21" t="inlineStr">
        <is>
          <t>Not algae-specific</t>
        </is>
      </c>
      <c r="AI162" s="21" t="inlineStr">
        <is>
          <t>Coastal (10–30 m)</t>
        </is>
      </c>
      <c r="AJ162" s="21" t="inlineStr">
        <is>
          <t>Exposed</t>
        </is>
      </c>
      <c r="AK162" s="16" t="inlineStr">
        <is>
          <t>To compare the seabed community under your mussel farm with nearby unfarmed ground, survey [2] areas under the headlines and [2] control areas about 500 m away on similar seabed, each season. In each area make [3] drop-down camera recordings of the seabed (frame with scaling lasers or a known field of view), scoring [30] random frames per drop for sessile and slow-moving animals, and [3] baited-camera drops of 40 minutes scored as MaxN for mobile species. Compare the species mix between farm and control areas (e.g. PERMANOVA) and track it over the years, ideally from a survey before the lines go in. Controls open to trawling or dredging will differ partly because the farm keeps fishing out, so record fishing activity.</t>
        </is>
      </c>
      <c r="AL162" s="17" t="inlineStr">
        <is>
          <t>High</t>
        </is>
      </c>
      <c r="AM162" s="18" t="inlineStr">
        <is>
          <t>bridger_2022_hb211</t>
        </is>
      </c>
      <c r="AN162" s="19" t="n"/>
      <c r="AO162" s="19" t="n"/>
      <c r="AP162" s="19" t="n"/>
      <c r="AQ162" s="16" t="inlineStr">
        <is>
          <t>Community-composition survey — Mollusk</t>
        </is>
      </c>
      <c r="AR162" s="16" t="inlineStr">
        <is>
          <t>Bridger, Danielle; Attrill, Martin J; Davies, Bede F R; Holmes, Luke A; Cartwright, Amy; Rees, Siân E; Mascorda Cabre, Llucia; Sheehan, Emma V</t>
        </is>
      </c>
      <c r="AS162" s="16" t="inlineStr">
        <is>
          <t>Foundational large-scale offshore mussel farm habitat-function paper. Companion to Mascorda Cabre 2023 (BTA on sediment recovery, same farm) and Bridger 2024 (later in the same monitoring programme). Lyme Bay site has 15 km² of historically dredge/trawl-degraded seabed; farm acts as both physical exclusion (no bottom-towed fishing) and habitat-creating structure. Strong analogue to mussel-reef restoration. Useful as a UK temperate-Atlantic counterpart to Sun 2021 (R107) trait-based bivalve farm assessment.  |  Migration (one-indicator-per-row, 2026-09-04): split from bridger_2022 -&gt; {bridger_2022_hb111, bridger_2022_hb121, bridger_2022_hb211}. This row = bridger_2022_hb211 (H&amp;B 2.1.1 — Community composition). Candidate: AK/N/Q blanked and I/K/W/O/P provisional; per-indicator method text, tier/cost/effort and match adjudication to be finalised at generation. Combined parent I/AK/N/Q retained in v37 (pre-split).  |  [2026-10-09 Rule 15 cost re-rate, batch 6] Framework basis: Mol H&amp;B 2.1.1: 2 farm strata + 2 nearby non-farm refs; seasonal (4 visits); 4 locations × 4 visits × 3 replicates = 48. Drop-down camera kit carried between sites; the paper's three video methods (drop-down, towed, baited) cost about the same here, so the band holds whichever this indicator uses; video scoring is labour; method from method note. Prior O: 'Low–Medium (camera systems modest; main cost is analyst time over multi-year programme)'.  |  [2026-10-13 method-summary pass] Full read (Univ. of Plymouth PEARL, publisher PDF). E, F: issue and pages corrected (→ 2(6): 437–449; prior F '534-548'). I, K: candidate-split text replaced. W: 3 → 4 (Rule 14: video scored with a regional guide, no lab step). L → Yes. AC 'Longline / suspended', AD 'Single farm' and AI 'Offshore (deeper)' were off-vocabulary → Suspended longline (mussel) / Large (&gt;20 ha) (15.4 km² licence) / Coastal (10–30 m) (depth not stated; droppers reach 12 m without touching the seabed, 4–10 km offshore). AG: Visual survey dropped. P: controlled phrase + detail. U: blank → filled. O unchanged: the protocol replaces the towed system and ROV with a drop-down camera, as assumed at the re-rate. N, Q, AK, AL written. Prior: E: 'None'; F: '534-548'; S: 'Abstract + Methods (fetched)'; P: 'Multi-year (5 yr annual monitoring)'; L: 'Partial — drop-down video deployment is feasible for trained farmers; '; W: '3 — Partnership'; AC: 'Longline / suspended'; AD: 'Single farm'; AI: 'Offshore (deeper)'; AG: 'BRUVs / video, Visual survey'.  |  [2026-10-16 monitoring-methods pass] AT (Monitoring Methods) set from the protocol's method summary (AK): Benthic infauna community, Baited remote underwater video (BRUV), Towed video / ROV, Nets &amp; baited traps.</t>
        </is>
      </c>
      <c r="AT162" s="21" t="inlineStr">
        <is>
          <t>Benthic infauna community, Baited remote underwater video (BRUV), Towed video / ROV, Nets &amp; baited traps</t>
        </is>
      </c>
    </row>
    <row r="163">
      <c r="A163" t="inlineStr">
        <is>
          <t>Pedro, S. &amp; Nogueira, M.</t>
        </is>
      </c>
      <c r="B163" t="inlineStr">
        <is>
          <t>Monitoring Portuguese Shellfish Continental Production Areas: Insights for Coastal Water Quality and Regeneration</t>
        </is>
      </c>
      <c r="C163" t="inlineStr">
        <is>
          <t>Sustainability</t>
        </is>
      </c>
      <c r="D163" t="n">
        <v>18</v>
      </c>
      <c r="E163" t="inlineStr">
        <is>
          <t>6</t>
        </is>
      </c>
      <c r="F163" t="inlineStr">
        <is>
          <t>2864</t>
        </is>
      </c>
      <c r="G163" t="n">
        <v>2026</v>
      </c>
      <c r="H163" t="inlineStr">
        <is>
          <t>MDPI</t>
        </is>
      </c>
      <c r="I163" t="inlineStr">
        <is>
          <t>Maps to WQ 1.2.1 — Dissolved oxygen. Surface water from a 5 L Niskin bottle or container at 32 shellfish production-area stations along continental Portugal (11 coastal, 11 estuarine, 10 coastal-lagoon), quarterly 2017–2021, DO by Winkler titration in duplicate in the lab. Match: Partial — production-area stations only, no non-farm reference; daytime quarterly spot samples.</t>
        </is>
      </c>
      <c r="J163" t="inlineStr">
        <is>
          <t>Protocol (long-term regulatory monitoring programme, multi-station)</t>
        </is>
      </c>
      <c r="K163" t="inlineStr">
        <is>
          <t>Confirmed standalone (full read). National Shellfish Waters Directive monitoring: DO ranged 6.1–14.8 mg/L, highest in winter and lowest in summer, and was analysed with salinity, temperature, pH, SPM and faecal coliforms by PCA and Kruskal–Wallis tests among coastal, estuarine and lagoon systems — usable for tracking DO in shellfish waters (Partial: no farm vs non-farm comparison, so no farm effect).</t>
        </is>
      </c>
      <c r="L163" t="inlineStr">
        <is>
          <t>Yes — quarterly surface DO with a calibrated handheld meter is farmer-doable; the source's Winkler titration through a lab is the reference method, not a required step.</t>
        </is>
      </c>
      <c r="M163" t="inlineStr">
        <is>
          <t>Yes</t>
        </is>
      </c>
      <c r="N163" t="inlineStr">
        <is>
          <t>Boat or shore access; 5 L Niskin bottle or polyethylene container (surface); Winkler titration in the lab (duplicates, precision 0.08–0.11 mg/L); HANNA HI98192 probe for temperature and pH in situ; Autosal salinometer (lab).</t>
        </is>
      </c>
      <c r="O163" t="inlineStr">
        <is>
          <t>Low — ~$670 yr 1: $620 start-up (handheld DO meter $620 [est]) + $50/yr (DO membrane caps + electrolyte $50 [est])</t>
        </is>
      </c>
      <c r="P163" t="inlineStr">
        <is>
          <t>Multi-year monitoring (&gt; 1 year) — quarterly sampling, 2017–2021</t>
        </is>
      </c>
      <c r="Q163" t="inlineStr">
        <is>
          <t>Non-parametric summaries (median, quartiles, 10th/90th percentiles) by station, year and season; PCA on physico-chemical and microbial variables (SigmaPlot 14); Kruskal–Wallis H and Mann–Whitney U tests among coastal, estuarine and lagoon systems (STATISTICA 6).</t>
        </is>
      </c>
      <c r="R163" t="inlineStr">
        <is>
          <t>Yes — Open access (MDPI, CC-BY)</t>
        </is>
      </c>
      <c r="S163" t="inlineStr">
        <is>
          <t>Full PDF</t>
        </is>
      </c>
      <c r="T163" t="inlineStr">
        <is>
          <t>https://doi.org/10.3390/su18062864</t>
        </is>
      </c>
      <c r="U163" t="inlineStr">
        <is>
          <t>Regulatory shellfish-waters monitoring (EU Shellfish Waters Directive / WFD): a long, consistent record at production areas, but no reference sites, so it shows conditions rather than a farm effect.</t>
        </is>
      </c>
      <c r="V163" t="inlineStr">
        <is>
          <t>Original list</t>
        </is>
      </c>
      <c r="W163" s="40" t="inlineStr">
        <is>
          <t>4 — Practitioner</t>
        </is>
      </c>
      <c r="X163" t="inlineStr">
        <is>
          <t>Mollusk</t>
        </is>
      </c>
      <c r="Y163" t="inlineStr">
        <is>
          <t>Water Quality</t>
        </is>
      </c>
      <c r="Z163" t="inlineStr">
        <is>
          <t>WQ 1.2.1 — Dissolved oxygen</t>
        </is>
      </c>
      <c r="AA163" t="inlineStr">
        <is>
          <t>Temperate Atlantic</t>
        </is>
      </c>
      <c r="AB163" t="inlineStr">
        <is>
          <t>Multi-species / mixed</t>
        </is>
      </c>
      <c r="AC163" t="inlineStr">
        <is>
          <t>Mixed</t>
        </is>
      </c>
      <c r="AD163" t="inlineStr">
        <is>
          <t>Multi-farm regional</t>
        </is>
      </c>
      <c r="AE163" t="inlineStr">
        <is>
          <t>Variable / seasonal</t>
        </is>
      </c>
      <c r="AF163" t="inlineStr">
        <is>
          <t>Monoculture</t>
        </is>
      </c>
      <c r="AG163" t="inlineStr">
        <is>
          <t>Water chemistry</t>
        </is>
      </c>
      <c r="AH163" t="inlineStr">
        <is>
          <t>Not algae-specific</t>
        </is>
      </c>
      <c r="AI163" t="inlineStr">
        <is>
          <t>Shallow nearshore (2–10 m)</t>
        </is>
      </c>
      <c r="AJ163" t="inlineStr">
        <is>
          <t>Not exposure-specific</t>
        </is>
      </c>
      <c r="AK163" s="16" t="inlineStr">
        <is>
          <t>To track dissolved oxygen in your shellfish growing area, read surface DO with a calibrated handheld meter (or collect a surface water sample and send it for Winkler titration) at [1–3] stations within the farm and at [2] non-farm stations in the same water body, once per season, recording temperature and salinity alongside. Keep the record going across years so wet and dry years can be told apart, and compare farm with non-farm values at each visit; the source sampled production areas only, so the non-farm stations are added to show a farm effect. Quarterly daytime samples miss summer night-time lows, and in estuaries and lagoons river flow and rain shift DO more than the farm does, so note the tide and recent rainfall.</t>
        </is>
      </c>
      <c r="AL163" s="17" t="inlineStr">
        <is>
          <t>High</t>
        </is>
      </c>
      <c r="AM163" s="18" t="inlineStr">
        <is>
          <t>pedro_2026_wq121</t>
        </is>
      </c>
      <c r="AN163" s="19" t="n"/>
      <c r="AO163" s="19" t="n"/>
      <c r="AP163" s="19" t="n"/>
      <c r="AQ163" s="16" t="inlineStr">
        <is>
          <t>Dissolved-oxygen monitoring — Mollusk</t>
        </is>
      </c>
      <c r="AR163" s="16" t="inlineStr">
        <is>
          <t>Pedro, Sónia; Nogueira, Marta</t>
        </is>
      </c>
      <c r="AS163" s="16" t="inlineStr">
        <is>
          <t>Pure regulatory-monitoring framework paper — most directly analogous to other national shellfish WQ monitoring papers (e.g. Bergquist 2009 FL hard clam, row 111; Cruz 2022 Portuguese biotoxin forecasting). Useful as a model for designing scaled national/regional WQ monitoring programmes in shellfish-producing regions. IPMA-led institutional study. | v1.4 refinement: WQ 1.2.1 narrowed to DO-only (v1.4 vocabulary correction). Pedro's national WFD monitoring suite includes DO among physico-chemical parameters.  |  Migration (one-indicator-per-row, 2026-09-04): split from pedro_2026 -&gt; {pedro_2026_wq121, pedro_2026_wq212}. This row = pedro_2026_wq121 (WQ 1.2.1 — Dissolved oxygen). Candidate: AK/N/Q blanked and I/K/W/O/P provisional; per-indicator method text, tier/cost/effort and match adjudication to be finalised at generation. Combined parent I/AK/N/Q retained in v37 (pre-split).  |  [2026-10-14 method-summary pass] Full read (PDF from Peter). I, K: candidate-split text replaced. Match Partial (production-area stations only, no reference) — brought to Peter. S: 'Abstract + DOI metadata' → 'Full PDF'. P: 'Quarterly (5-year programme)' (off-vocabulary) → Multi-year + detail. AJ: 'Sheltered' → 'Not exposure-specific' (open Atlantic coast, estuaries and lagoons). L: 'Partial — … physico-chemical + microbial lab analysis needs partner lab' → Yes for DO. W: '3 — Partnership' → '4 — Practitioner' (Rule 14: handheld-meter route, no lab step; as jiang_2019/2020_wq121 where the source used Winkler); fill → T4 lime. O: 'Medium — multiprobe + microbiology lab partner…' → Low ~$670, handheld DO meter (discrete-station DO call); held-back re-price resolved. N, Q, U, AK: blank → filled; AK adds 2 non-farm stations. AL High.  |  [2026-10-15 method-summary pass] Peter's call (2026-10-15): Partial kept.  |  [2026-10-16 monitoring-methods pass] AT (Monitoring Methods) set from the protocol's method summary (AK): Temperature / salinity, Dissolved oxygen.</t>
        </is>
      </c>
      <c r="AT163" s="21" t="inlineStr">
        <is>
          <t>Temperature / salinity, Dissolved oxygen</t>
        </is>
      </c>
    </row>
    <row r="164">
      <c r="A164" t="inlineStr">
        <is>
          <t>Maar, M., et al.</t>
        </is>
      </c>
      <c r="B164" t="inlineStr">
        <is>
          <t>Impacts of climate change on water quality, benthic mussels, and suspended mussel culture in a shallow, eutrophic estuary</t>
        </is>
      </c>
      <c r="C164" t="inlineStr">
        <is>
          <t>Heliyon</t>
        </is>
      </c>
      <c r="D164" t="n">
        <v>10</v>
      </c>
      <c r="E164" t="inlineStr">
        <is>
          <t>3</t>
        </is>
      </c>
      <c r="F164" t="inlineStr">
        <is>
          <t>e25218</t>
        </is>
      </c>
      <c r="G164" t="n">
        <v>2024</v>
      </c>
      <c r="H164" t="inlineStr">
        <is>
          <t>Elsevier (Cell Press)</t>
        </is>
      </c>
      <c r="I164" t="inlineStr">
        <is>
          <t>Coupled-model framework (FlexSem: 3D hydrodynamics + pelagic biogeochemical model + sediment-benthos model + farm-scale dynamic energy budget mussel-culture model) applied to the Limfjorden (Denmark), a shallow eutrophic estuary with summer hypoxia and an important mussel fishery + suspended-culture industry. Three SSP climate scenarios (SSP1-2.6, SSP2-4.5, SSP5-8.5) × Water Plan nutrient-reduction scenarios, projected to 2051–2060 and 2090–2099 vs. 2009–2018 reference. Reports DO, Chl-a, mussel biomass, and suspended-mussel harvest potential under each scenario. Maps to MEL WQ 1.2.1 (DO) and WQ 2.1.1 (Chl-a).</t>
        </is>
      </c>
      <c r="J164" t="inlineStr">
        <is>
          <t>Reference (model framework — FlexSem application)</t>
        </is>
      </c>
      <c r="K164" t="inlineStr">
        <is>
          <t>Yes — coupled-model outputs are validated against the 2009–2018 reference period and produce decision-relevant Chl-a and DO projections; useful for scenario-based carrying-capacity / water-quality forecasting.</t>
        </is>
      </c>
      <c r="L164" t="inlineStr">
        <is>
          <t>No — model setup requires modelling expertise.</t>
        </is>
      </c>
      <c r="M164" t="inlineStr">
        <is>
          <t>Yes</t>
        </is>
      </c>
      <c r="N164" t="inlineStr">
        <is>
          <t>FlexSem coupled-model system (3D-hydrodynamic + biogeochemistry + sediment-benthos + DEB); HPC compute</t>
        </is>
      </c>
      <c r="O164" t="inlineStr">
        <is>
          <t>High — academic / institutional modelling effort; data assimilation and calibration intensive</t>
        </is>
      </c>
      <c r="P164" t="inlineStr">
        <is>
          <t>Multi-decade hindcast + projection (10-year reference + 2× 10-year future periods)</t>
        </is>
      </c>
      <c r="Q164" t="inlineStr">
        <is>
          <t>Scenario comparison; statistical contrasts of WQ + biological outputs across SSPs and Water-Plan scenarios</t>
        </is>
      </c>
      <c r="R164" t="inlineStr">
        <is>
          <t>Yes — Open access (Cell Press / Heliyon, CC BY-NC-ND)</t>
        </is>
      </c>
      <c r="S164" t="inlineStr">
        <is>
          <t>Full PDF</t>
        </is>
      </c>
      <c r="T164" t="inlineStr">
        <is>
          <t>https://doi.org/10.1016/j.heliyon.2024.e25218</t>
        </is>
      </c>
      <c r="U164" t="inlineStr">
        <is>
          <t>Use it to think about how carrying-capacity and water-quality baselines shift under climate change.</t>
        </is>
      </c>
      <c r="V164" t="inlineStr">
        <is>
          <t>Original list</t>
        </is>
      </c>
      <c r="W164" s="38" t="inlineStr">
        <is>
          <t>2 — Researcher</t>
        </is>
      </c>
      <c r="X164" t="inlineStr">
        <is>
          <t>Mollusk</t>
        </is>
      </c>
      <c r="Y164" t="inlineStr">
        <is>
          <t>Water Quality</t>
        </is>
      </c>
      <c r="Z164" t="inlineStr">
        <is>
          <t>WQ 1.2.1 — Dissolved oxygen, WQ 2.1.1 — Chlorophyll-a</t>
        </is>
      </c>
      <c r="AA164" t="inlineStr">
        <is>
          <t>Temperate Atlantic</t>
        </is>
      </c>
      <c r="AB164" t="inlineStr">
        <is>
          <t>Blue mussel (Mytilus edulis)</t>
        </is>
      </c>
      <c r="AC164" t="inlineStr">
        <is>
          <t>Longline / suspended</t>
        </is>
      </c>
      <c r="AD164" t="inlineStr">
        <is>
          <t>Bay-wide / system-scale (modelled)</t>
        </is>
      </c>
      <c r="AE164" t="inlineStr">
        <is>
          <t>Variable / seasonal</t>
        </is>
      </c>
      <c r="AF164" t="inlineStr">
        <is>
          <t>Monoculture</t>
        </is>
      </c>
      <c r="AG164" t="inlineStr">
        <is>
          <t>Modelling</t>
        </is>
      </c>
      <c r="AH164" t="inlineStr">
        <is>
          <t>Not algae-specific</t>
        </is>
      </c>
      <c r="AI164" t="inlineStr">
        <is>
          <t>Shallow nearshore (2–10 m)</t>
        </is>
      </c>
      <c r="AJ164" t="inlineStr">
        <is>
          <t>Sheltered</t>
        </is>
      </c>
      <c r="AK164" s="16" t="inlineStr">
        <is>
          <t>This is a coupled-model framework (3D hydrodynamics plus pelagic biogeochemistry, a sediment-benthos model and a dynamic-energy-budget mussel module) applied to project chlorophyll-a and dissolved oxygen for a shallow eutrophic estuary under climate scenarios. It provides validated, decision-relevant water-quality and carrying-capacity projections rather than a field procedure; use it to think about how indicator baselines might shift forward under climate change.</t>
        </is>
      </c>
      <c r="AL164" s="17" t="inlineStr">
        <is>
          <t>Ref</t>
        </is>
      </c>
      <c r="AM164" s="18" t="inlineStr">
        <is>
          <t>maar_2024</t>
        </is>
      </c>
      <c r="AN164" s="19" t="n"/>
      <c r="AO164" s="19" t="n"/>
      <c r="AP164" s="19" t="n"/>
      <c r="AQ164" s="16" t="inlineStr">
        <is>
          <t>Climate-Projection Model for Water Quality &amp; Mussel Culture (Reference)</t>
        </is>
      </c>
      <c r="AR164" s="16" t="inlineStr">
        <is>
          <t>Maar, Marie; Larsen, Janus; Butenschön, Momme; Kristiansen, Trond; Thodsen, Hans; Taylor, Daniel; Schourup-Kristensen, Vibe</t>
        </is>
      </c>
      <c r="AS164" s="16" t="inlineStr">
        <is>
          <t>Climate-projection paper coupling water quality + benthic mussel population + suspended mussel culture in one framework. Useful for MEL practitioners thinking about how carrying-capacity and WQ indicator baselines should be projected forward under climate change. Daniel Taylor co-authors with Maar in both row 110 (this paper, modelling) and row 119 (Taylor 2024 L&amp;O #34, empirical phytoplankton depletion at Limfjorden) — same site + research group, complementary methods. | v1.4 refinement: WQ 1.2.1 narrowed to DO (model output; v1.4 correction).</t>
        </is>
      </c>
      <c r="AT164" s="21" t="n"/>
    </row>
    <row r="165">
      <c r="A165" t="inlineStr">
        <is>
          <t>Bergquist, D. C., et al.</t>
        </is>
      </c>
      <c r="B165" t="inlineStr">
        <is>
          <t>Continuous water quality monitoring for the hard clam industry in Florida, USA</t>
        </is>
      </c>
      <c r="C165" t="inlineStr">
        <is>
          <t>Environmental Monitoring and Assessment</t>
        </is>
      </c>
      <c r="D165" t="n">
        <v>148</v>
      </c>
      <c r="E165" t="inlineStr">
        <is>
          <t>1</t>
        </is>
      </c>
      <c r="F165" t="inlineStr">
        <is>
          <t>409-419</t>
        </is>
      </c>
      <c r="G165" t="n">
        <v>2009</v>
      </c>
      <c r="H165" t="inlineStr">
        <is>
          <t>Springer</t>
        </is>
      </c>
      <c r="I165" t="inlineStr">
        <is>
          <t>Maps to WQ 1.2.1 — Dissolved oxygen. Continuous 30-minute DO from sondes mounted near the bottom at ten clam lease areas, with real-time web posting and quality-controlled archives. Match: Partial — DO at the farm only; no non-farm reference sites.</t>
        </is>
      </c>
      <c r="J165" t="inlineStr">
        <is>
          <t>Protocol (autonomous continuous-monitoring sonde array, real-time telemetered)</t>
        </is>
      </c>
      <c r="K165" t="inlineStr">
        <is>
          <t>Confirmed standalone (full read). Sondes in PVC wells on pilings logged DO every 30 min for several years, swapped every 7–14 days and checked in standards before and after — robust for continuous DO at the farm (Partial: no non-farm comparison; fouling degrades DO data within a week).</t>
        </is>
      </c>
      <c r="L165" t="inlineStr">
        <is>
          <t>Partial — deploying and swapping instruments is doable by trained farm staff, but calibration, anti-fouling maintenance and QA/QC of the record needed agency or university staff.</t>
        </is>
      </c>
      <c r="M165" t="inlineStr">
        <is>
          <t>Yes</t>
        </is>
      </c>
      <c r="N165" t="inlineStr">
        <is>
          <t>Multiparameter sonde (source: YSI 6600 with rapid-pulse DO, wiped chlorophyll and turbidity, temperature/conductivity and depth sensors) in a 20 cm PVC well on a piling, ~20 cm off the bottom; data logger with solar power and cellular/satellite telemetry at real-time sites; calibration standards.</t>
        </is>
      </c>
      <c r="O165" t="inlineStr">
        <is>
          <t>Medium — ~$5.4K yr 1: $4.62K start-up (DO logger ×3 $4.19K [list]; logger base station $130 [est]; mooring ×3 $300 [est]) + $740/yr (DO sensor cap 6 × $115 [list]; calibration supplies $50 [est])</t>
        </is>
      </c>
      <c r="P165" t="inlineStr">
        <is>
          <t>Continuous (sensor / autonomous) — 30-min logging, 2002–2005</t>
        </is>
      </c>
      <c r="Q165" t="inlineStr">
        <is>
          <t>Descriptive time series (36-h, monthly and annual records) after NERR SWMP-based QA/QC; no statistical tests.</t>
        </is>
      </c>
      <c r="R165" t="inlineStr">
        <is>
          <t>No — Paywalled (Springer); preprint available via UF IFAS Shellfish Extension</t>
        </is>
      </c>
      <c r="S165" t="inlineStr">
        <is>
          <t>Full PDF</t>
        </is>
      </c>
      <c r="T165" t="inlineStr">
        <is>
          <t>https://doi.org/10.1007/s10661-008-0171-3</t>
        </is>
      </c>
      <c r="V165" t="inlineStr">
        <is>
          <t>Original list</t>
        </is>
      </c>
      <c r="W165" s="42" t="inlineStr">
        <is>
          <t>3 — Partnership</t>
        </is>
      </c>
      <c r="X165" t="inlineStr">
        <is>
          <t>Mollusk</t>
        </is>
      </c>
      <c r="Y165" t="inlineStr">
        <is>
          <t>Water Quality</t>
        </is>
      </c>
      <c r="Z165" t="inlineStr">
        <is>
          <t>WQ 1.2.1 — Dissolved oxygen</t>
        </is>
      </c>
      <c r="AA165" t="inlineStr">
        <is>
          <t>Subtropical</t>
        </is>
      </c>
      <c r="AB165" t="inlineStr">
        <is>
          <t>Native clam — other / unspecified</t>
        </is>
      </c>
      <c r="AC165" t="inlineStr">
        <is>
          <t>Bottom culture</t>
        </is>
      </c>
      <c r="AD165" t="inlineStr">
        <is>
          <t>Multi-farm regional</t>
        </is>
      </c>
      <c r="AE165" t="inlineStr">
        <is>
          <t>Variable / seasonal</t>
        </is>
      </c>
      <c r="AF165" t="inlineStr">
        <is>
          <t>Monoculture</t>
        </is>
      </c>
      <c r="AG165" t="inlineStr">
        <is>
          <t>Water chemistry</t>
        </is>
      </c>
      <c r="AH165" t="inlineStr">
        <is>
          <t>Not algae-specific</t>
        </is>
      </c>
      <c r="AI165" t="inlineStr">
        <is>
          <t>Shallow nearshore (2–10 m)</t>
        </is>
      </c>
      <c r="AJ165" t="inlineStr">
        <is>
          <t>Sheltered</t>
        </is>
      </c>
      <c r="AK165" s="16" t="inlineStr">
        <is>
          <t>To keep a continuous record of dissolved oxygen at your lease, mount a DO logger in a perforated PVC pipe fixed to a piling, with the sensor about 20 cm above the bottom near your stock, logging every 30 minutes. Swap it, or clean and recalibrate it, every [1–2] weeks, checking it in standard solutions before and after each deployment and discarding data that fail the check — fouling by barnacles and algae can drag readings down within a week. Plot daily, monthly and yearly records to spot low-oxygen events and support management or insurance decisions. To show a farm effect rather than conditions at the farm, run matching loggers at [2] nearby non-farm sites.</t>
        </is>
      </c>
      <c r="AL165" s="17" t="inlineStr">
        <is>
          <t>High</t>
        </is>
      </c>
      <c r="AM165" s="18" t="inlineStr">
        <is>
          <t>bergquist_2009_wq121</t>
        </is>
      </c>
      <c r="AN165" s="19" t="n"/>
      <c r="AO165" s="19" t="n"/>
      <c r="AP165" s="19" t="n"/>
      <c r="AQ165" s="16" t="inlineStr">
        <is>
          <t>Dissolved-oxygen monitoring — Mollusk</t>
        </is>
      </c>
      <c r="AR165" s="16" t="inlineStr">
        <is>
          <t>Bergquist, Derk C; Heuberger, David; Sturmer, Leslie N; Baker, Shirley M</t>
        </is>
      </c>
      <c r="AS165" s="16" t="inlineStr">
        <is>
          <t>Foundational US shellfish-industry WQ monitoring paper. The Cedar Key / Dog Island / Gulf Jackson stations have continued in scaled-down form post-federal-funding via the USDA Risk Management Agency and UF IFAS extension. Directly comparable in scope to Pedro 2026 (R109, Portuguese national shellfish monitoring) — both implement regulatory/insurance-driven multi-station continuous WQ for shellfish industry. | v1.4 refinement: WQ 1.2.1 narrowed to DO (continuous DO sondes; v1.4 correction). Other parameters (T, salinity, turbidity, depth) measured but outside strict v1.4 WQ 1.2.1 indicator scope.  |  Migration (one-indicator-per-row, 2026-09-04): split from bergquist_2009 -&gt; {bergquist_2009_wq121, bergquist_2009_wq211}. This row = bergquist_2009_wq121 (WQ 1.2.1 — Dissolved oxygen). Candidate: AK/N/Q blanked and I/K/W/O/P provisional; per-indicator method text, tier/cost/effort and match adjudication to be finalised at generation. Combined parent I/AK/N/Q retained in v37 (pre-split).  |  [2026-10-09 Rule 15 cost re-rate, batch 6] Framework basis: Mol WQ 1.2.1: farm + 2 adjacent non-farm refs; seasonal + diurnal (4 visits, one logger per location); 3 locations × 4 visits × 1 replicates = 12. Multi-parameter sondes replaced by single-parameter DO loggers (the other sonde parameters are outside the indicator); cellular telemetry excluded as supplementary. Prior O: 'Medium–High — sondes (~$5–10K each), cellular comms, biofouling-maintenance labour; cost-reduction recommendations included in paper'.  |  [2026-10-13 method-summary pass] I, K: candidate-split text replaced after full read (prior: 'Maps to WQ 1.2.1 — Dissolved oxygen. Candidate split…' / 'Standalone-candidate…'). S: 'Abstract + Methods (fetched)' → 'Full PDF'. AA 'Subtropical Atlantic/Gulf' → 'Subtropical'; AB 'Hard clam (Mercenaria mercenaria)' → 'Native clam — other / unspecified'; AC 'Bottom culture (bag-on-bottom)' → 'Bottom culture'; P 'Continuous (multi-year, 30-min intervals)' → controlled phrase + detail (off-vocabulary values). L: 'Partial — growers access the public data feed for management; sonde maintenance is labour-intensive.' → names the maintenance/QA steps. N, Q: blank → filled. AL: 'Med' → 'High' (full read). O unchanged (logger route matches the source's continuous logging). AK written.  |  [2026-10-16 monitoring-methods pass] AT (Monitoring Methods) set from the protocol's method summary (AK): Dissolved oxygen, Continuous moored sensors.</t>
        </is>
      </c>
      <c r="AT165" s="21" t="inlineStr">
        <is>
          <t>Dissolved oxygen, Continuous moored sensors</t>
        </is>
      </c>
    </row>
    <row r="166">
      <c r="A166" s="21" t="inlineStr">
        <is>
          <t>Bergquist, D. C., et al.</t>
        </is>
      </c>
      <c r="B166" s="21" t="inlineStr">
        <is>
          <t>Continuous water quality monitoring for the hard clam industry in Florida, USA</t>
        </is>
      </c>
      <c r="C166" s="21" t="inlineStr">
        <is>
          <t>Environmental Monitoring and Assessment</t>
        </is>
      </c>
      <c r="D166" s="21" t="n">
        <v>148</v>
      </c>
      <c r="E166" s="21" t="inlineStr">
        <is>
          <t>1</t>
        </is>
      </c>
      <c r="F166" s="21" t="inlineStr">
        <is>
          <t>409-419</t>
        </is>
      </c>
      <c r="G166" s="21" t="n">
        <v>2009</v>
      </c>
      <c r="H166" s="21" t="inlineStr">
        <is>
          <t>Springer</t>
        </is>
      </c>
      <c r="I166" s="21" t="inlineStr">
        <is>
          <t>Maps to WQ 2.1.1 — Chlorophyll-a. Continuous 30-minute chlorophyll fluorescence from wiped sonde sensors at clam lease areas. Match: Partial — in vivo fluorescence at the farm only; fouling inflates readings.</t>
        </is>
      </c>
      <c r="J166" s="21" t="inlineStr">
        <is>
          <t>Protocol (autonomous continuous-monitoring sonde array, real-time telemetered)</t>
        </is>
      </c>
      <c r="K166" s="21" t="inlineStr">
        <is>
          <t>Confirmed standalone (full read). Wiped chlorophyll sensors on the lease sondes logged every 30 min, but heavy fouling often pushed readings to the sensor limit — usable for farm-site chlorophyll trends (Partial: no non-farm comparison; fluorescence uncalibrated; fouling-prone).</t>
        </is>
      </c>
      <c r="L166" s="21" t="inlineStr">
        <is>
          <t>Partial — deploying and swapping instruments is doable by trained farm staff, but calibration, anti-fouling maintenance and QA/QC of the record needed agency or university staff.</t>
        </is>
      </c>
      <c r="M166" s="21" t="inlineStr">
        <is>
          <t>Yes</t>
        </is>
      </c>
      <c r="N166" s="21" t="inlineStr">
        <is>
          <t>Multiparameter sonde (source: YSI 6600 with rapid-pulse DO, wiped chlorophyll and turbidity, temperature/conductivity and depth sensors) in a 20 cm PVC well on a piling, ~20 cm off the bottom; data logger with solar power and cellular/satellite telemetry at real-time sites; calibration standards.</t>
        </is>
      </c>
      <c r="O166" s="21" t="inlineStr">
        <is>
          <t>High — ~$12K yr 1: $12.3K start-up (chlorophyll fluorescence logger ×3 $12K [est]; mooring ×3 $300 [est]) + $50/yr (calibration supplies $50 [est])</t>
        </is>
      </c>
      <c r="P166" s="21" t="inlineStr">
        <is>
          <t>Continuous (sensor / autonomous) — 30-min logging, 2002–2005</t>
        </is>
      </c>
      <c r="Q166" s="21" t="inlineStr">
        <is>
          <t>Descriptive time series (36-h, monthly and annual records) after NERR SWMP-based QA/QC; no statistical tests.</t>
        </is>
      </c>
      <c r="R166" s="21" t="inlineStr">
        <is>
          <t>No — Paywalled (Springer); preprint available via UF IFAS Shellfish Extension</t>
        </is>
      </c>
      <c r="S166" s="21" t="inlineStr">
        <is>
          <t>Full PDF</t>
        </is>
      </c>
      <c r="T166" s="21" t="inlineStr">
        <is>
          <t>https://doi.org/10.1007/s10661-008-0171-3</t>
        </is>
      </c>
      <c r="U166" s="21" t="n"/>
      <c r="V166" s="21" t="inlineStr">
        <is>
          <t>Original list</t>
        </is>
      </c>
      <c r="W166" s="41" t="inlineStr">
        <is>
          <t>3 — Partnership</t>
        </is>
      </c>
      <c r="X166" s="21" t="inlineStr">
        <is>
          <t>Mollusk</t>
        </is>
      </c>
      <c r="Y166" s="21" t="inlineStr">
        <is>
          <t>Water Quality</t>
        </is>
      </c>
      <c r="Z166" s="21" t="inlineStr">
        <is>
          <t>WQ 2.1.1 — Chlorophyll-a</t>
        </is>
      </c>
      <c r="AA166" s="21" t="inlineStr">
        <is>
          <t>Subtropical</t>
        </is>
      </c>
      <c r="AB166" s="21" t="inlineStr">
        <is>
          <t>Native clam — other / unspecified</t>
        </is>
      </c>
      <c r="AC166" s="21" t="inlineStr">
        <is>
          <t>Bottom culture</t>
        </is>
      </c>
      <c r="AD166" s="21" t="inlineStr">
        <is>
          <t>Multi-farm regional</t>
        </is>
      </c>
      <c r="AE166" s="21" t="inlineStr">
        <is>
          <t>Variable / seasonal</t>
        </is>
      </c>
      <c r="AF166" s="21" t="inlineStr">
        <is>
          <t>Monoculture</t>
        </is>
      </c>
      <c r="AG166" s="21" t="inlineStr">
        <is>
          <t>Water chemistry</t>
        </is>
      </c>
      <c r="AH166" s="21" t="inlineStr">
        <is>
          <t>Not algae-specific</t>
        </is>
      </c>
      <c r="AI166" s="21" t="inlineStr">
        <is>
          <t>Shallow nearshore (2–10 m)</t>
        </is>
      </c>
      <c r="AJ166" s="21" t="inlineStr">
        <is>
          <t>Sheltered</t>
        </is>
      </c>
      <c r="AK166" s="16" t="inlineStr">
        <is>
          <t>To track phytoplankton at your lease continuously, mount a chlorophyll fluorescence logger with a wiper in a perforated pipe on a piling about 20 cm above the bottom, logging every 30 minutes, and swap or clean and recalibrate it every [1–2] weeks. Check readings against occasional water samples sent for lab chlorophyll-a, and screen out sudden jumps to the sensor maximum — fouling organisms are read as chlorophyll. Plot monthly and yearly records to follow food supply; for a farm effect, run matching loggers at [2] nearby non-farm sites.</t>
        </is>
      </c>
      <c r="AL166" s="17" t="inlineStr">
        <is>
          <t>High</t>
        </is>
      </c>
      <c r="AM166" s="18" t="inlineStr">
        <is>
          <t>bergquist_2009_wq211</t>
        </is>
      </c>
      <c r="AN166" s="19" t="n"/>
      <c r="AO166" s="19" t="n"/>
      <c r="AP166" s="19" t="n"/>
      <c r="AQ166" s="16" t="inlineStr">
        <is>
          <t>Chlorophyll-a monitoring — Mollusk</t>
        </is>
      </c>
      <c r="AR166" s="16" t="inlineStr">
        <is>
          <t>Bergquist, Derk C; Heuberger, David; Sturmer, Leslie N; Baker, Shirley M</t>
        </is>
      </c>
      <c r="AS166" s="16" t="inlineStr">
        <is>
          <t>Foundational US shellfish-industry WQ monitoring paper. The Cedar Key / Dog Island / Gulf Jackson stations have continued in scaled-down form post-federal-funding via the USDA Risk Management Agency and UF IFAS extension. Directly comparable in scope to Pedro 2026 (R109, Portuguese national shellfish monitoring) — both implement regulatory/insurance-driven multi-station continuous WQ for shellfish industry. | v1.4 refinement: WQ 1.2.1 narrowed to DO (continuous DO sondes; v1.4 correction). Other parameters (T, salinity, turbidity, depth) measured but outside strict v1.4 WQ 1.2.1 indicator scope.  |  Migration (one-indicator-per-row, 2026-09-04): split from bergquist_2009 -&gt; {bergquist_2009_wq121, bergquist_2009_wq211}. This row = bergquist_2009_wq211 (WQ 2.1.1 — Chlorophyll-a). Candidate: AK/N/Q blanked and I/K/W/O/P provisional; per-indicator method text, tier/cost/effort and match adjudication to be finalised at generation. Combined parent I/AK/N/Q retained in v37 (pre-split).  |  [2026-10-13 Rule 15 cost re-rate, batch 12] Framework basis: Mol WQ 2.1.1: farm + 2 adjacent non-farm refs; seasonal + diurnal (one logger per location); 3 locations. Sensor chl-a route, one logger per location (Peter, 2026-10-13: use an estimated logger price so these rows can be costed); the price is an evaluator estimate (quote needed) and High holds above about $3,200 a unit. Held from batch 6 pending this price. Sondes replaced by single-parameter chlorophyll loggers; telemetry excluded. Prior O: 'Medium–High — sondes (~$5–10K each), cellular comms, biofouling-maintenance labour; cost-reduction recommendations included in paper'.  |  [2026-10-13 method-summary pass] I, K: candidate-split text replaced after full read (prior: 'Maps to WQ 2.1.1 — Chlorophyll-a. Candidate split…' / 'Standalone-candidate…'). S: 'Abstract + Methods (fetched)' → 'Full PDF'. AA 'Subtropical Atlantic/Gulf' → 'Subtropical'; AB 'Hard clam (Mercenaria mercenaria)' → 'Native clam — other / unspecified'; AC 'Bottom culture (bag-on-bottom)' → 'Bottom culture'; P 'Continuous (multi-year, 30-min intervals)' → controlled phrase + detail (off-vocabulary values). L: 'Partial — growers access the public data feed for management; sonde maintenance is labour-intensive.' → names the maintenance/QA steps. N, Q: blank → filled. AL: 'Med' → 'High' (full read). O unchanged (sensor chl-a route, Peter's 2026-10-13 call). AK written.  |  [2026-10-16 monitoring-methods pass] AT (Monitoring Methods) set from the protocol's method summary (AK): Chlorophyll-a (water), Continuous moored sensors.</t>
        </is>
      </c>
      <c r="AT166" s="21" t="inlineStr">
        <is>
          <t>Chlorophyll-a (water), Continuous moored sensors</t>
        </is>
      </c>
    </row>
    <row r="167">
      <c r="A167" t="inlineStr">
        <is>
          <t>Ray, N. E., et al.</t>
        </is>
      </c>
      <c r="B167" t="inlineStr">
        <is>
          <t>Water quality upstream and downstream of a commercial oyster aquaculture facility in Chesapeake Bay, USA</t>
        </is>
      </c>
      <c r="C167" t="inlineStr">
        <is>
          <t>Aquacultural Engineering</t>
        </is>
      </c>
      <c r="D167" t="n">
        <v>68</v>
      </c>
      <c r="F167" t="inlineStr">
        <is>
          <t>35-42</t>
        </is>
      </c>
      <c r="G167" t="n">
        <v>2015</v>
      </c>
      <c r="H167" t="inlineStr">
        <is>
          <t>Elsevier</t>
        </is>
      </c>
      <c r="I167" t="inlineStr">
        <is>
          <t>Maps to WQ 1.2.1 — Dissolved oxygen. Handheld-meter DO a few metres up-current and down-current of a floating-raft oyster facility on each survey date. Match: Partial — single daytime paired readings immediately outside the farm.</t>
        </is>
      </c>
      <c r="J167" t="inlineStr">
        <is>
          <t>Protocol (paired upstream/downstream WQ sampling)</t>
        </is>
      </c>
      <c r="K167" t="inlineStr">
        <is>
          <t>Confirmed standalone (full read). Paired up/down-current readings on 16 dates (flow direction set by float and compass, speed by current meter) showed a small, consistent DO drop downstream (paired one-tailed t-test) — robust for farm vs adjacent DO (Partial: daytime only; needs through-farm flow).</t>
        </is>
      </c>
      <c r="L167" t="inlineStr">
        <is>
          <t>Yes — handheld DO readings and a float-and-compass flow check are farmer-doable, with a paired t-test; no lab step for DO (the source's nutrient and chl-a work used a lab but sits outside this indicator).</t>
        </is>
      </c>
      <c r="M167" t="inlineStr">
        <is>
          <t>Yes</t>
        </is>
      </c>
      <c r="N167" t="inlineStr">
        <is>
          <t>Handheld DO/temperature/salinity meter (source: YSI 55); float on a thread plus compass for flow direction; current-velocity meter (Swoffer 2100) for flow speed.</t>
        </is>
      </c>
      <c r="O167" t="inlineStr">
        <is>
          <t>Low — ~$670 yr 1: $620 start-up (handheld DO meter $620 [est]) + $50/yr (DO membrane caps + electrolyte $50 [est])</t>
        </is>
      </c>
      <c r="P167" t="inlineStr">
        <is>
          <t>Multi-season (3–9 months) — 14–16 upstream/downstream surveys, May–Oct 2013</t>
        </is>
      </c>
      <c r="Q167" t="inlineStr">
        <is>
          <t>One-tailed paired t-test, upstream vs downstream; linear regression of the change against flow speed (StatPlus).</t>
        </is>
      </c>
      <c r="R167" t="inlineStr">
        <is>
          <t>No — Paywalled (Elsevier); Maryland Sea Grant deposit (UM-SG-RS-2015-25)</t>
        </is>
      </c>
      <c r="S167" t="inlineStr">
        <is>
          <t>Full PDF</t>
        </is>
      </c>
      <c r="T167" t="inlineStr">
        <is>
          <t>https://doi.org/10.1016/j.aquaeng.2015.08.001</t>
        </is>
      </c>
      <c r="U167" t="inlineStr">
        <is>
          <t>A clean 'fingerprint' design for confirming whether a farm produces detectable water-quality change.</t>
        </is>
      </c>
      <c r="V167" t="inlineStr">
        <is>
          <t>Original list</t>
        </is>
      </c>
      <c r="W167" s="10" t="inlineStr">
        <is>
          <t>4 — Practitioner</t>
        </is>
      </c>
      <c r="X167" t="inlineStr">
        <is>
          <t>Mollusk</t>
        </is>
      </c>
      <c r="Y167" t="inlineStr">
        <is>
          <t>Water Quality</t>
        </is>
      </c>
      <c r="Z167" t="inlineStr">
        <is>
          <t>WQ 1.2.1 — Dissolved oxygen</t>
        </is>
      </c>
      <c r="AA167" t="inlineStr">
        <is>
          <t>Temperate Atlantic</t>
        </is>
      </c>
      <c r="AB167" t="inlineStr">
        <is>
          <t>Eastern oyster (Crassostrea virginica)</t>
        </is>
      </c>
      <c r="AC167" t="inlineStr">
        <is>
          <t>Raft / floating</t>
        </is>
      </c>
      <c r="AD167" t="inlineStr">
        <is>
          <t>Small (&lt;1 ha)</t>
        </is>
      </c>
      <c r="AE167" t="inlineStr">
        <is>
          <t>Variable / seasonal</t>
        </is>
      </c>
      <c r="AF167" t="inlineStr">
        <is>
          <t>Monoculture</t>
        </is>
      </c>
      <c r="AG167" t="inlineStr">
        <is>
          <t>Water chemistry</t>
        </is>
      </c>
      <c r="AH167" t="inlineStr">
        <is>
          <t>Not algae-specific</t>
        </is>
      </c>
      <c r="AI167" t="inlineStr">
        <is>
          <t>Intertidal / very shallow (&lt; 2 m)</t>
        </is>
      </c>
      <c r="AJ167" t="inlineStr">
        <is>
          <t>Sheltered</t>
        </is>
      </c>
      <c r="AK167" s="16" t="inlineStr">
        <is>
          <t>To check whether your farm lowers dissolved oxygen in water passing through it, first find which way the current runs (a float on a thread over a compass will do) and mark an up-current point a few metres outside the farm and a down-current point a few metres outside on the far side. Read DO, temperature and salinity with a handheld meter at both points on the same visit, down-current first, and note current speed. Repeat every [1–2] weeks through the warm season (at minimum once per season) and test the paired differences with a one-tailed paired t-test. The comparison only works when water is flowing through the farm — slack or reversing tides give no clear up- or down-current side — and daytime readings miss night-time lows.</t>
        </is>
      </c>
      <c r="AL167" s="17" t="inlineStr">
        <is>
          <t>High</t>
        </is>
      </c>
      <c r="AM167" s="18" t="inlineStr">
        <is>
          <t>ray_2015_wq121</t>
        </is>
      </c>
      <c r="AN167" s="19" t="n"/>
      <c r="AO167" s="19" t="n"/>
      <c r="AP167" s="19" t="n"/>
      <c r="AQ167" s="16" t="inlineStr">
        <is>
          <t>Dissolved-oxygen monitoring — Mollusk</t>
        </is>
      </c>
      <c r="AR167" s="16" t="inlineStr">
        <is>
          <t>Ray, Nicholas E; Li, Ji; Kangas, Patrick C; Terlizzi, Daniel E</t>
        </is>
      </c>
      <c r="AS167" s="16" t="inlineStr">
        <is>
          <t>Concise, methodologically clean upstream/downstream design — most useful as a 'fingerprint' protocol for confirming whether a given oyster farm is producing detectable WQ changes. Contrasts with Turner et al. 2019 (Chesapeake, minimal effects detected — small/low-density farms) and complements Ray's companion Algal Turf Scrubber paper (UM-SG-RS-2015-26) which closes the loop with N+P bioextraction. | v1.4 refinement: WQ 1.2.1 narrowed to DO (Ray measured DO upstream/downstream; nutrients also measured but outside v1.4 WQ 1.2.1 scope).  |  Migration (one-indicator-per-row, 2026-09-04): split from ray_2015 -&gt; {ray_2015_wq121, ray_2015_wq211}. This row = ray_2015_wq121 (WQ 1.2.1 — Dissolved oxygen). Candidate: AK/N/Q blanked and I/K/W/O/P provisional; per-indicator method text, tier/cost/effort and match adjudication to be finalised at generation. Combined parent I/AK/N/Q retained in v37 (pre-split).  |  [2026-10-09 Rule 15 cost re-rate, batch 6] Framework basis: Mol WQ 1.2.1: farm + 2 adjacent non-farm refs; seasonal + diurnal (4 visits, one logger per location); 3 locations × 4 visits × 1 replicates = 12. Upstream/downstream DO readings replaced by the logger route (a DO logger per location meets the diurnal requirement). Prior O: 'Low–Medium — sampling gear + lab fees; single-site, short campaign'.  |  [2026-10-13 method-summary pass] I, K: candidate-split text replaced after full read (prior: 'Maps to WQ 1.2.1 — Dissolved oxygen. Candidate split…' / 'Standalone-candidate…'). S: 'Abstract + Methods (fetched)' → 'Full PDF'. AC 'Off-bottom suspended oyster' → 'Raft / floating' (floating rafts); AD 'Single farm' → 'Small (&lt;1 ha)' (5,850 m²); AI 'Shallow nearshore (2–10 m)' → 'Intertidal / very shallow (&lt; 2 m)' (0.5–1.5 m); P 'Short campaign (multi-survey)' → controlled phrase + detail (May–Oct). N, Q: blank → filled. L: 'Partial — water sampling is straightforward; lab analyses for nutrients + chl-a need partner lab.' → Yes for DO. W: '3 — Partnership' → '4 — Practitioner' (Rule 14; source contradicts T3 for DO). O: 'Medium — ~$5.4K yr 1: … DO logger ×3 …' → Low ~$670, handheld meter route (Peter, 2026-10-13). AK written; AL High (unchanged).  |  [2026-10-16 monitoring-methods pass] AT (Monitoring Methods) set from the protocol's method summary (AK): Temperature / salinity, Dissolved oxygen.</t>
        </is>
      </c>
      <c r="AT167" s="21" t="inlineStr">
        <is>
          <t>Temperature / salinity, Dissolved oxygen</t>
        </is>
      </c>
    </row>
    <row r="168">
      <c r="A168" s="21" t="inlineStr">
        <is>
          <t>Ray, N. E., et al.</t>
        </is>
      </c>
      <c r="B168" s="21" t="inlineStr">
        <is>
          <t>Water quality upstream and downstream of a commercial oyster aquaculture facility in Chesapeake Bay, USA</t>
        </is>
      </c>
      <c r="C168" s="21" t="inlineStr">
        <is>
          <t>Aquacultural Engineering</t>
        </is>
      </c>
      <c r="D168" s="21" t="n">
        <v>68</v>
      </c>
      <c r="E168" s="21" t="n"/>
      <c r="F168" s="21" t="inlineStr">
        <is>
          <t>35-42</t>
        </is>
      </c>
      <c r="G168" s="21" t="n">
        <v>2015</v>
      </c>
      <c r="H168" s="21" t="inlineStr">
        <is>
          <t>Elsevier</t>
        </is>
      </c>
      <c r="I168" s="21" t="inlineStr">
        <is>
          <t>Maps to WQ 2.1.1 — Chlorophyll-a. Surface water samples a few metres up-current and down-current of the facility, filtered and analysed for extracted chlorophyll-a. Match: Exact — lab chlorophyll-a at farm vs up-current reference (single daytime samples).</t>
        </is>
      </c>
      <c r="J168" s="21" t="inlineStr">
        <is>
          <t>Protocol (paired upstream/downstream WQ sampling)</t>
        </is>
      </c>
      <c r="K168" s="21" t="inlineStr">
        <is>
          <t>Confirmed standalone (full read). 500 mL paired samples on 14 dates, GF/F-filtered and analysed fluorometrically, showed a 19% average chlorophyll drop downstream, larger when incoming chlorophyll was high — robust for WQ 2.1.1 (Exact; downstream rises on some dates may reflect algae washed off fouled floats).</t>
        </is>
      </c>
      <c r="L168" s="21" t="inlineStr">
        <is>
          <t>Partial — paired water sampling and filtration are farmer-doable; chlorophyll-a extraction and fluorometry need a partner lab.</t>
        </is>
      </c>
      <c r="M168" s="21" t="inlineStr">
        <is>
          <t>Yes</t>
        </is>
      </c>
      <c r="N168" s="21" t="inlineStr">
        <is>
          <t>500 mL sample bottles; cool box; vacuum filtration with GF/F filters and MgCO3; frozen filter storage; partner-lab fluorometric chlorophyll-a (Yentsch &amp; Menzel method); float and compass plus current meter for flow.</t>
        </is>
      </c>
      <c r="O168" s="21" t="inlineStr">
        <is>
          <t>Medium — ~$1.3K yr 1: $250 start-up (chl-a filtration kit $250 [est]) + $1.01K/yr (chl-a analysis 36 × $25.18 [lab fee]; filters + foil $100 [est])</t>
        </is>
      </c>
      <c r="P168" s="21" t="inlineStr">
        <is>
          <t>Multi-season (3–9 months) — 14–16 upstream/downstream surveys, May–Oct 2013</t>
        </is>
      </c>
      <c r="Q168" s="21" t="inlineStr">
        <is>
          <t>One-tailed paired t-test, upstream vs downstream; linear regressions of chlorophyll change against flow speed and against upstream chlorophyll (StatPlus).</t>
        </is>
      </c>
      <c r="R168" s="21" t="inlineStr">
        <is>
          <t>No — Paywalled (Elsevier); Maryland Sea Grant deposit (UM-SG-RS-2015-25)</t>
        </is>
      </c>
      <c r="S168" s="21" t="inlineStr">
        <is>
          <t>Full PDF</t>
        </is>
      </c>
      <c r="T168" s="21" t="inlineStr">
        <is>
          <t>https://doi.org/10.1016/j.aquaeng.2015.08.001</t>
        </is>
      </c>
      <c r="U168" s="21" t="inlineStr">
        <is>
          <t>A clean 'fingerprint' design for confirming whether a farm produces detectable water-quality change.</t>
        </is>
      </c>
      <c r="V168" s="21" t="inlineStr">
        <is>
          <t>Original list</t>
        </is>
      </c>
      <c r="W168" s="9" t="inlineStr">
        <is>
          <t>3 — Partnership</t>
        </is>
      </c>
      <c r="X168" s="21" t="inlineStr">
        <is>
          <t>Mollusk</t>
        </is>
      </c>
      <c r="Y168" s="21" t="inlineStr">
        <is>
          <t>Water Quality</t>
        </is>
      </c>
      <c r="Z168" s="21" t="inlineStr">
        <is>
          <t>WQ 2.1.1 — Chlorophyll-a</t>
        </is>
      </c>
      <c r="AA168" s="21" t="inlineStr">
        <is>
          <t>Temperate Atlantic</t>
        </is>
      </c>
      <c r="AB168" s="21" t="inlineStr">
        <is>
          <t>Eastern oyster (Crassostrea virginica)</t>
        </is>
      </c>
      <c r="AC168" s="21" t="inlineStr">
        <is>
          <t>Raft / floating</t>
        </is>
      </c>
      <c r="AD168" s="21" t="inlineStr">
        <is>
          <t>Small (&lt;1 ha)</t>
        </is>
      </c>
      <c r="AE168" s="21" t="inlineStr">
        <is>
          <t>Variable / seasonal</t>
        </is>
      </c>
      <c r="AF168" s="21" t="inlineStr">
        <is>
          <t>Monoculture</t>
        </is>
      </c>
      <c r="AG168" s="21" t="inlineStr">
        <is>
          <t>Water chemistry</t>
        </is>
      </c>
      <c r="AH168" s="21" t="inlineStr">
        <is>
          <t>Not algae-specific</t>
        </is>
      </c>
      <c r="AI168" s="21" t="inlineStr">
        <is>
          <t>Intertidal / very shallow (&lt; 2 m)</t>
        </is>
      </c>
      <c r="AJ168" s="21" t="inlineStr">
        <is>
          <t>Sheltered</t>
        </is>
      </c>
      <c r="AK168" s="16" t="inlineStr">
        <is>
          <t>To check whether your farm draws down phytoplankton in water passing through it, find the current direction (float and compass) and collect a [500 mL] surface water sample a few metres outside the farm on the down-current side, then one on the up-current side. Keep samples cool and dark, filter them through glass-fibre filters the same day, freeze the filters and have a partner lab measure chlorophyll-a within a month. Repeat every [1–2] weeks through the warm season (at minimum once per season) and compare the pairs with a one-tailed paired t-test, noting incoming chlorophyll — drawdown tends to be largest when it is high. Gear cleaning (power-washing fouled floats) can release algae and raise downstream readings, so record any cleaning before a survey.</t>
        </is>
      </c>
      <c r="AL168" s="17" t="inlineStr">
        <is>
          <t>High</t>
        </is>
      </c>
      <c r="AM168" s="18" t="inlineStr">
        <is>
          <t>ray_2015_wq211</t>
        </is>
      </c>
      <c r="AN168" s="19" t="n"/>
      <c r="AO168" s="19" t="n"/>
      <c r="AP168" s="19" t="n"/>
      <c r="AQ168" s="16" t="inlineStr">
        <is>
          <t>Chlorophyll-a monitoring — Mollusk</t>
        </is>
      </c>
      <c r="AR168" s="16" t="inlineStr">
        <is>
          <t>Ray, Nicholas E; Li, Ji; Kangas, Patrick C; Terlizzi, Daniel E</t>
        </is>
      </c>
      <c r="AS168" s="16" t="inlineStr">
        <is>
          <t>Concise, methodologically clean upstream/downstream design — most useful as a 'fingerprint' protocol for confirming whether a given oyster farm is producing detectable WQ changes. Contrasts with Turner et al. 2019 (Chesapeake, minimal effects detected — small/low-density farms) and complements Ray's companion Algal Turf Scrubber paper (UM-SG-RS-2015-26) which closes the loop with N+P bioextraction. | v1.4 refinement: WQ 1.2.1 narrowed to DO (Ray measured DO upstream/downstream; nutrients also measured but outside v1.4 WQ 1.2.1 scope).  |  Migration (one-indicator-per-row, 2026-09-04): split from ray_2015 -&gt; {ray_2015_wq121, ray_2015_wq211}. This row = ray_2015_wq211 (WQ 2.1.1 — Chlorophyll-a). Candidate: AK/N/Q blanked and I/K/W/O/P provisional; per-indicator method text, tier/cost/effort and match adjudication to be finalised at generation. Combined parent I/AK/N/Q retained in v37 (pre-split).  |  [2026-10-09 Rule 15 cost re-rate, batch 6] Framework basis: Mol WQ 2.1.1: farm + 2 adjacent non-farm refs; seasonal + diurnal, fixed-time reading (4 visits); 3 locations × 4 visits × 3 replicates = 36. Lab chl-a on field-filtered samples (route from the practitioner note). Prior O: 'Low–Medium — sampling gear + lab fees; single-site, short campaign'.  |  [2026-10-13 method-summary pass] I, K: candidate-split text replaced after full read (prior: 'Maps to WQ 2.1.1 — Chlorophyll-a. Candidate split…' / 'Standalone-candidate…'). S: 'Abstract + Methods (fetched)' → 'Full PDF'. AC 'Off-bottom suspended oyster' → 'Raft / floating' (floating rafts); AD 'Single farm' → 'Small (&lt;1 ha)' (5,850 m²); AI 'Shallow nearshore (2–10 m)' → 'Intertidal / very shallow (&lt; 2 m)' (0.5–1.5 m); P 'Short campaign (multi-survey)' → controlled phrase + detail (May–Oct). N, Q: blank → filled. L tightened to the chl-a steps. O: 'Medium — ~$2.3K yr 1: $1.34K start-up (water sampler $986 [list]; messenger + line $100 [est]; filtration kit $250 [est]) + …' → Medium ~$1.3K: surface grab samples at 0.5–1.5 m, so no water sampler. AK written; AL High (unchanged).  |  [2026-10-16 monitoring-methods pass] AT (Monitoring Methods) set from the protocol's method summary (AK): Chlorophyll-a (water).</t>
        </is>
      </c>
      <c r="AT168" s="21" t="inlineStr">
        <is>
          <t>Chlorophyll-a (water)</t>
        </is>
      </c>
    </row>
    <row r="169">
      <c r="A169" t="inlineStr">
        <is>
          <t>Carmichael, R. H., et al.</t>
        </is>
      </c>
      <c r="B169" t="inlineStr">
        <is>
          <t>Bivalve-enhanced nitrogen removal from coastal estuaries</t>
        </is>
      </c>
      <c r="C169" t="inlineStr">
        <is>
          <t>Canadian Journal of Fisheries and Aquatic Sciences</t>
        </is>
      </c>
      <c r="D169" t="n">
        <v>69</v>
      </c>
      <c r="E169" t="inlineStr">
        <is>
          <t>7</t>
        </is>
      </c>
      <c r="F169" t="inlineStr">
        <is>
          <t>1131-1149</t>
        </is>
      </c>
      <c r="G169" t="n">
        <v>2012</v>
      </c>
      <c r="H169" t="inlineStr">
        <is>
          <t>Canadian Science Publishing (NRC Press)</t>
        </is>
      </c>
      <c r="I169" t="inlineStr">
        <is>
          <t>Maps to WQ 1.1.1 — N and P bioextraction. Juvenile hatchery Eastern oysters (~8 mm) caged in five Cape Cod estuaries spanning a wide range of land-derived N loads (Jun–Oct 2003); soft-tissue dry mass and %N measured, extrapolated to harvest size (76.2 mm) as N per oyster (0.3–0.5 g; mean 8.6% N), then scaled to restoration and aquaculture densities and % bottom cover; δ15N confirms the N is land-derived. Match: Partial — tissue N only (no P), and harvest-size N is extrapolated from first-season growth rather than measured on harvested stock.</t>
        </is>
      </c>
      <c r="J169" t="inlineStr">
        <is>
          <t>Protocol (tissue %N × biomass × area bioextraction quantification + δ15N tracer)</t>
        </is>
      </c>
      <c r="K169" t="inlineStr">
        <is>
          <t>Yes (full read) — soft-tissue %N × dry mass at harvest size is the Framework's metric route; four estuaries carried to harvest-size estimates (Sage Lot Pond excluded: oysters reached &lt;50% of harvest size). Shell N excluded; the denitrification/burial add-on (~1–2% during grow-out) uses literature rates, not measurements. At typical US densities (≤400 m⁻², ≤1% of bottom) removal was ≤15% of land-derived N.</t>
        </is>
      </c>
      <c r="L169" t="inlineStr">
        <is>
          <t>Partial — sampling and weighing oysters at harvest is farmer-doable; tissue N and P analysis needs a commercial or partner lab.</t>
        </is>
      </c>
      <c r="M169" t="inlineStr">
        <is>
          <t>Yes</t>
        </is>
      </c>
      <c r="N169" t="inlineStr">
        <is>
          <t>Plastic-coated wire-mesh cages (30 × 52 × 8 cm, lined with 3 mm mesh, set 6 cm off the bottom); vernier calipers; drying oven (60 °C) and balance for soft-tissue dry mass; partner-lab elemental analyser for tissue %N (δ15N by EA-IRMS); GF/F filters and spectrophotometer (chl-a), refractometer and thermometer for site conditions. The protocol adds tissue P.</t>
        </is>
      </c>
      <c r="O169" t="inlineStr">
        <is>
          <t>Low — ~$80 yr 1: no start-up cost + $80/yr (tissue N + P 3 × $20 [lab fee]; sample bags $20 [est])</t>
        </is>
      </c>
      <c r="P169" t="inlineStr">
        <is>
          <t>Multi-season (3–9 months) — juveniles caged 29 Jun 2003 and retrieved on days 28, 56, 84 and 112; water sampled every 2 weeks</t>
        </is>
      </c>
      <c r="Q169" t="inlineStr">
        <is>
          <t>Shell height and dry mass regressed on day for growth rates; homogeneity-of-slopes test and ANCOVA among estuaries; dry mass–shell height curves extrapolated to 76.2 mm; one-way ANOVA/ANCOVA for survival and water variables; Type II regression for δ15N; propagated error (SE, CV) (Excel, StatView).</t>
        </is>
      </c>
      <c r="R169" t="inlineStr">
        <is>
          <t>No — Paywalled (Canadian Science Publishing)</t>
        </is>
      </c>
      <c r="S169" t="inlineStr">
        <is>
          <t>Full PDF</t>
        </is>
      </c>
      <c r="T169" t="inlineStr">
        <is>
          <t>https://doi.org/10.1139/f2012-057</t>
        </is>
      </c>
      <c r="U169" t="inlineStr">
        <is>
          <t>Primary reference for harvest-based nitrogen removal (tissue %N x biomass x area) across contrasting estuaries.</t>
        </is>
      </c>
      <c r="V169" t="inlineStr">
        <is>
          <t>Original list</t>
        </is>
      </c>
      <c r="W169" s="36" t="inlineStr">
        <is>
          <t>3 — Partnership</t>
        </is>
      </c>
      <c r="X169" t="inlineStr">
        <is>
          <t>Mollusk</t>
        </is>
      </c>
      <c r="Y169" t="inlineStr">
        <is>
          <t>Water Quality</t>
        </is>
      </c>
      <c r="Z169" t="inlineStr">
        <is>
          <t>WQ 1.1.1 — N and P bioextraction</t>
        </is>
      </c>
      <c r="AA169" t="inlineStr">
        <is>
          <t>Temperate Atlantic</t>
        </is>
      </c>
      <c r="AB169" t="inlineStr">
        <is>
          <t>Eastern oyster (Crassostrea virginica)</t>
        </is>
      </c>
      <c r="AC169" t="inlineStr">
        <is>
          <t>On-bottom cages</t>
        </is>
      </c>
      <c r="AD169" t="inlineStr">
        <is>
          <t>Not scale-specific</t>
        </is>
      </c>
      <c r="AE169" t="inlineStr">
        <is>
          <t>Variable / seasonal</t>
        </is>
      </c>
      <c r="AF169" t="inlineStr">
        <is>
          <t>Monoculture</t>
        </is>
      </c>
      <c r="AG169" t="inlineStr">
        <is>
          <t>Tissue analysis</t>
        </is>
      </c>
      <c r="AH169" t="inlineStr">
        <is>
          <t>Not algae-specific</t>
        </is>
      </c>
      <c r="AI169" t="inlineStr">
        <is>
          <t>Intertidal / very shallow (&lt; 2 m)</t>
        </is>
      </c>
      <c r="AJ169" t="inlineStr">
        <is>
          <t>Sheltered</t>
        </is>
      </c>
      <c r="AK169" t="inlineStr">
        <is>
          <t>To estimate how much nitrogen and phosphorus leaves the water with your harvest, take [3] random samples of [10] market-size oysters from the harvested stock at harvest time. Measure shell height, shuck the oysters, dry the soft tissue at 60 °C to constant weight and weigh it, then send the dried, ground tissue to a lab for N and P content. Multiply mean %N and %P by mean tissue dry weight per oyster and by the number of oysters harvested to get kg of N and P removed; once you have local values, later harvests can reuse them with harvest counts or weights. The source grew caged seed for one season and extrapolated to harvest size, but measuring at harvest is more direct. Shell nutrients are left out, and removal per oyster depends on local growth, so don't borrow values from other sites.</t>
        </is>
      </c>
      <c r="AL169" t="inlineStr">
        <is>
          <t>High</t>
        </is>
      </c>
      <c r="AM169" s="18" t="inlineStr">
        <is>
          <t>carmichael_2012</t>
        </is>
      </c>
      <c r="AN169" s="19" t="n"/>
      <c r="AO169" s="19" t="n"/>
      <c r="AP169" s="19" t="n"/>
      <c r="AR169" s="16" t="inlineStr">
        <is>
          <t>Carmichael, Ruth H; Walton, William; Clark, Heidi</t>
        </is>
      </c>
      <c r="AS169" s="16" t="inlineStr">
        <is>
          <t>Canonical Sub-rule 1a paper for WQ 1.1.1 — tissue %N × biomass × area bioextraction methodology applied across 4 estuaries under contrasting N loads. Now established as the primary reference for harvest-based N removal estimates in subsequent oyster-bioextraction policy work (Rose 2015, Bricker 2018/2020, Kellogg 2014, Cornwell 2016). Often cited together with Carmichael's later ES&amp;T paper on shellfish-aquaculture-as-N-management. Companion in scope to Briant 2018 (FR coast) and Liénart 2025 (R116, FR multi-decadal C/N isotopes). | v1.4 refinement: WQ 1.2.1 removed under v1.4 (paper measures tissue %N + δ15N anthropogenic-N attribution; no DO measurement). δ15N as N-source proxy noted in U but does not map to a v1.4 indicator.  |  [2026-10-09 Rule 15 cost re-rate, batch 6] Framework basis: Mol WQ 1.1.1: farmed biomass, at harvest (1 visit); 1 locations × 1 visits × 3 replicates = 3. Tissue N + P per sample; the delta-15-N source attribution, growth and seston work are supplementary to the metric and excluded (adding the isotopes keeps it Low); harvest scale is farm-owned. Prior O: 'Medium — IRMS partner lab is the main cost; sampling is low-cost'.  |  [2026-10-13 method-summary pass] Full read (Peter-supplied PDF). I, K: rewritten (five Cape Cod estuaries, not four; Partial: tissue N only, harvest-size N extrapolated). AC 'Mixed (4 estuary…)' and AD 'Multi-site (4 estuaries)' were off-vocabulary → On-bottom cages / Not scale-specific (cages 6 cm off the bottom; experimental scale). AI → Intertidal / very shallow (~1 m at low tide). AG: Stable isotope analysis dropped (supplementary, excluded at the re-rate). O unchanged (tissue N + P lab route). W stays 3 (lab step). N, Q, AK, AL written. Prior: P: 'Multi-season / annual (growth + tissue assay)'; S: 'Abstract + Methods (fetched)'; AC: 'Mixed (4 estuary aquaculture-condition surveys)'; AD: 'Multi-site (4 estuaries)'; AI: 'Shallow nearshore (2–10 m)'; AG: 'Tissue analysis, Stable isotope analysis'. W cell fill was blank, now matches Tier 3.  |  [2026-10-16 monitoring-methods pass] AT (Monitoring Methods) set from the protocol's method summary (AK): Tissue elemental (CHN) analysis, Bivalve condition index / growth.</t>
        </is>
      </c>
      <c r="AT169" s="21" t="inlineStr">
        <is>
          <t>Tissue elemental (CHN) analysis, Bivalve condition index / growth</t>
        </is>
      </c>
    </row>
    <row r="170">
      <c r="A170" t="inlineStr">
        <is>
          <t>Pernet, F., et al.</t>
        </is>
      </c>
      <c r="B170" t="inlineStr">
        <is>
          <t>Marine diatoms sustain growth of bivalves in a Mediterranean lagoon</t>
        </is>
      </c>
      <c r="C170" t="inlineStr">
        <is>
          <t>Journal of Sea Research</t>
        </is>
      </c>
      <c r="D170" t="n">
        <v>68</v>
      </c>
      <c r="F170" t="inlineStr">
        <is>
          <t>20-32</t>
        </is>
      </c>
      <c r="G170" t="n">
        <v>2012</v>
      </c>
      <c r="H170" t="inlineStr">
        <is>
          <t>Elsevier</t>
        </is>
      </c>
      <c r="I170" t="inlineStr">
        <is>
          <t>One-year cycle of carbon stable isotopes (δ13C) and fatty acids in suspended POM + bivalve tissues (Mytilus galloprovincialis, Crassostrea gigas — one- and two-yr-old) in Thau lagoon (Mediterranean, France), to identify the food sources sustaining bivalve growth. Ancillary chl-a, POM characterisation. Finds that periods of high bivalve growth are fueled by diatom blooms; mussels rely more on diatoms than oysters; NO significant effect of shellfish farms on Chl-a or POM δ13C, but consistent isotope differences support stable-isotope methodology for investigating bivalve-aquaculture effects. Maps to MEL WQ 2.1.1 (chl-a) plus a methodological contribution to bioindicator design.</t>
        </is>
      </c>
      <c r="J170" t="inlineStr">
        <is>
          <t>Protocol (POM + bivalve tissue stable-isotope + fatty-acid trophic monitoring)</t>
        </is>
      </c>
      <c r="K170" t="inlineStr">
        <is>
          <t>Partial — chl-a measurement is direct WQ 2.1.1; the larger study is primarily trophic-ecology, with stable-isotope methodology demonstrated as suitable for future aquaculture-effect studies.</t>
        </is>
      </c>
      <c r="L170" t="inlineStr">
        <is>
          <t>Partial — sample collection feasible; lab work (δ13C IRMS + FA GC) requires partner lab.</t>
        </is>
      </c>
      <c r="M170" t="inlineStr">
        <is>
          <t>Yes</t>
        </is>
      </c>
      <c r="N170" t="inlineStr">
        <is>
          <t>IRMS (δ13C); GC for fatty acids; fluorometer (chl-a); microscope phytoplankton ID</t>
        </is>
      </c>
      <c r="O170" t="inlineStr">
        <is>
          <t>Medium — ~$2.3K yr 1: $1.34K start-up (water sampler $986 [list]; messenger + line $100 [est]; filtration kit $250 [est]) + $1.01K/yr (chl-a analysis 36 × $25.18 [lab fee]; filters + foil $100 [est])</t>
        </is>
      </c>
      <c r="P170" t="inlineStr">
        <is>
          <t>Annual cycle (12-month sampling)</t>
        </is>
      </c>
      <c r="Q170" t="inlineStr">
        <is>
          <t>Time-series; reciprocal POM-vs-tissue δ13C; multivariate FA tracer analysis</t>
        </is>
      </c>
      <c r="R170" t="inlineStr">
        <is>
          <t>Yes — Open access via Ifremer Archimer (preprint); journal article paywalled</t>
        </is>
      </c>
      <c r="S170" t="inlineStr">
        <is>
          <t>Abstract + Methods (fetched)</t>
        </is>
      </c>
      <c r="T170" t="inlineStr">
        <is>
          <t>https://doi.org/10.1016/j.seares.2011.11.004</t>
        </is>
      </c>
      <c r="U170" t="inlineStr">
        <is>
          <t>The 'no significant farm effect on chlorophyll' finding sets the baseline variability a footprint must exceed to be detectable.</t>
        </is>
      </c>
      <c r="V170" t="inlineStr">
        <is>
          <t>Original list</t>
        </is>
      </c>
      <c r="W170" s="9" t="inlineStr">
        <is>
          <t>3 — Partnership</t>
        </is>
      </c>
      <c r="X170" t="inlineStr">
        <is>
          <t>Mollusk</t>
        </is>
      </c>
      <c r="Y170" t="inlineStr">
        <is>
          <t>Water Quality</t>
        </is>
      </c>
      <c r="Z170" t="inlineStr">
        <is>
          <t>WQ 2.1.1 — Chlorophyll-a</t>
        </is>
      </c>
      <c r="AA170" t="inlineStr">
        <is>
          <t>Temperate Mediterranean</t>
        </is>
      </c>
      <c r="AB170" t="inlineStr">
        <is>
          <t>Mediterranean mussel (Mytilus galloprovincialis), Pacific oyster (Crassostrea / Magallana gigas)</t>
        </is>
      </c>
      <c r="AC170" t="inlineStr">
        <is>
          <t>Longline / suspended (tables)</t>
        </is>
      </c>
      <c r="AD170" t="inlineStr">
        <is>
          <t>Single farm</t>
        </is>
      </c>
      <c r="AE170" t="inlineStr">
        <is>
          <t>Variable / seasonal</t>
        </is>
      </c>
      <c r="AF170" t="inlineStr">
        <is>
          <t>Monoculture</t>
        </is>
      </c>
      <c r="AG170" t="inlineStr">
        <is>
          <t>Water chemistry, Stable isotope analysis</t>
        </is>
      </c>
      <c r="AH170" t="inlineStr">
        <is>
          <t>Not algae-specific</t>
        </is>
      </c>
      <c r="AI170" t="inlineStr">
        <is>
          <t>Shallow nearshore (2–10 m)</t>
        </is>
      </c>
      <c r="AJ170" t="inlineStr">
        <is>
          <t>Sheltered</t>
        </is>
      </c>
      <c r="AK170" s="16" t="inlineStr">
        <is>
          <t>To trace what a bivalve farm's stock is actually eating (its trophic sources) over a full year, deploy known cohorts of oysters and mussels on ropes at set depths and sample seston plus candidate food sources (river inputs, a marine end-member, microphytobenthos, sediment, seagrass) alongside. On each date measure total and inorganic particulate matter (pre-combusted, pre-weighed GF/C filters, dried then ashed) and chlorophyll-a (GF/F, 90% acetone, spectrofluorometer), and freeze filters for carbon stable isotopes (delta-13-C) and fatty-acid biomarkers. Acidify samples to remove carbonates, then run tissue and particulate organic matter through an elemental-analyser IRMS for delta-13-C and a gas chromatograph for fatty-acid methyl esters (neutral lipids track diet). Compare inside versus outside the farming area and across dates with split-plot ANOVA, and cluster the fatty-acid time series to link the stock's diet to specific organic-matter sources.</t>
        </is>
      </c>
      <c r="AL170" s="17" t="inlineStr">
        <is>
          <t>High</t>
        </is>
      </c>
      <c r="AM170" s="18" t="inlineStr">
        <is>
          <t>pernet_2012</t>
        </is>
      </c>
      <c r="AN170" s="19" t="n"/>
      <c r="AO170" s="19" t="n"/>
      <c r="AP170" s="19" t="n"/>
      <c r="AQ170" s="16" t="inlineStr">
        <is>
          <t>Tracing Bivalve Diet &amp; Food Sources Over a Year (Isotopes/Fatty Acids)</t>
        </is>
      </c>
      <c r="AR170" s="16" t="inlineStr">
        <is>
          <t>Pernet, Fabrice; Malet, Nathalie; Pastoureaud, Annie; Vaquer, André; Quéré, Claudie; Dubroca, Laurent</t>
        </is>
      </c>
      <c r="AS170" s="16" t="inlineStr">
        <is>
          <t>Thau-lagoon trophic-ecology paper. The 'no significant aquaculture-effect on chl-a / POM δ13C' finding is methodologically informative — establishes baseline variability against which aquaculture footprints would have to be detected. Sub-rule 1a does not strictly apply here (δ13C tracer ≠ tissue %N bioextraction), but stable-isotope methodology is foundational for the WQ 1.1.1 family. Useful as a Mediterranean-lagoon trophic baseline alongside Souchu 2001 (also Thau) and Carmichael 2012 (R113, anthropogenic-source attribution).  |  [2026-10-09 Rule 15 cost re-rate, batch 6] Framework basis: Mol WQ 2.1.1: farm + 2 adjacent non-farm refs; seasonal + diurnal, fixed-time reading (4 visits); 3 locations × 4 visits × 3 replicates = 36. Lab chl-a (GF/F, acetone, fluorometer) on field-filtered samples; the isotope and fatty-acid work is outside the indicator and excluded. Prior O: 'Medium — IRMS + GC partner lab'.  |  [2026-10-16 monitoring-methods pass] AT (Monitoring Methods) set from the protocol's method summary (AK): Chlorophyll-a (water), Suspended solids (TSS / SPM), Stable isotopes (d13C / d15N).</t>
        </is>
      </c>
      <c r="AT170" s="21" t="inlineStr">
        <is>
          <t>Chlorophyll-a (water), Suspended solids (TSS / SPM), Stable isotopes (d13C / d15N)</t>
        </is>
      </c>
    </row>
    <row r="171">
      <c r="A171" t="inlineStr">
        <is>
          <t>Nizzoli, D., et al.</t>
        </is>
      </c>
      <c r="B171" t="inlineStr">
        <is>
          <t>Impact of clam and mussel farming on benthic metabolism and nitrogen cycling, with emphasis on nitrate reduction pathways</t>
        </is>
      </c>
      <c r="C171" t="inlineStr">
        <is>
          <t>Marine Ecology Progress Series</t>
        </is>
      </c>
      <c r="D171" t="n">
        <v>315</v>
      </c>
      <c r="F171" t="inlineStr">
        <is>
          <t>151-165</t>
        </is>
      </c>
      <c r="G171" t="n">
        <v>2006</v>
      </c>
      <c r="H171" t="inlineStr">
        <is>
          <t>Inter-Research</t>
        </is>
      </c>
      <c r="I171" t="inlineStr">
        <is>
          <t>Maps to WQ 1.1.2 — Rate of denitrification. Sacca di Goro lagoon (Po Delta, Italy), Feb and Jul 2002: denitrification and DNRA by ¹⁵N isotope pairing in intact cores (8 cm ID) from an intensive Manila clam field, under suspended mussel ropes and at an unfarmed control, plus incubations of mussel ropes. Clam sediments kept coupled nitrification–denitrification; under mussel ropes 95% of summer nitrate reduction went to ammonium (DNRA). Match: Partial — the protocol is the Expert Panel default-rate desk estimate (oyster-derived), limited to clam beds.</t>
        </is>
      </c>
      <c r="J171" t="inlineStr">
        <is>
          <t>Protocol (benthic flux + ¹⁵N denitrification/DNRA pairing technique)</t>
        </is>
      </c>
      <c r="K171" t="inlineStr">
        <is>
          <t>Confirmed standalone (full read). Isotope-pairing measurements show clam beds remove N by denitrification while mussel-rope sediments retain it via DNRA — supports a desk default-rate estimate for clam beds only (Partial: the defaults come from restored oyster reefs).</t>
        </is>
      </c>
      <c r="L171" t="inlineStr">
        <is>
          <t>Yes — desk estimate from clam biomass records and a table lookup; the source's isotope-pairing incubations need a research lab.</t>
        </is>
      </c>
      <c r="M171" t="inlineStr">
        <is>
          <t>Yes</t>
        </is>
      </c>
      <c r="N171" t="inlineStr">
        <is>
          <t>Desk route: seeding and harvest records or core/quadrat counts with weights; weight-to-tissue dry weight conversion; Expert Panel lookup table; plot area. Source: Plexiglas cores (8 cm ID), 99.9 atom% ¹⁵N-nitrate, ZnCl₂, KCl extraction, isotope-ratio mass spectrometry.</t>
        </is>
      </c>
      <c r="O171" t="inlineStr">
        <is>
          <t>Low — ~$0 yr 1: no start-up cost + no recurring cost</t>
        </is>
      </c>
      <c r="P171" t="inlineStr">
        <is>
          <t>One-time (no sampling — desk-based) — biomass estimate repeated every 3 years</t>
        </is>
      </c>
      <c r="Q171" t="inlineStr">
        <is>
          <t>Source: isotope pairing (Nielsen 1992) for denitrification of water-column and nitrification-derived nitrate; DNRA from ¹⁵N enrichment of the ammonium pool; one-way ANOVA among stations. Desk: enhanced N removal for baseline and current biomass from the lookup table × area.</t>
        </is>
      </c>
      <c r="R171" t="inlineStr">
        <is>
          <t>Yes — Open access (Inter-Research)</t>
        </is>
      </c>
      <c r="S171" t="inlineStr">
        <is>
          <t>Full PDF</t>
        </is>
      </c>
      <c r="T171" t="inlineStr">
        <is>
          <t>https://doi.org/10.3354/meps315151</t>
        </is>
      </c>
      <c r="U171" t="inlineStr">
        <is>
          <t>The Expert Panel table was built from restored Chesapeake oyster reefs, so for clams it is an approximation. This source shows the route does not transfer to suspended mussels, where nitrate was recycled to ammonium.</t>
        </is>
      </c>
      <c r="V171" t="inlineStr">
        <is>
          <t>Original list</t>
        </is>
      </c>
      <c r="W171" s="40" t="inlineStr">
        <is>
          <t>4 — Practitioner</t>
        </is>
      </c>
      <c r="X171" t="inlineStr">
        <is>
          <t>Mollusk</t>
        </is>
      </c>
      <c r="Y171" t="inlineStr">
        <is>
          <t>Water Quality</t>
        </is>
      </c>
      <c r="Z171" t="inlineStr">
        <is>
          <t>WQ 1.1.2 — Rate of denitrification</t>
        </is>
      </c>
      <c r="AA171" t="inlineStr">
        <is>
          <t>Temperate Mediterranean</t>
        </is>
      </c>
      <c r="AB171" t="inlineStr">
        <is>
          <t>Manila clam (Tapes / Ruditapes philippinarum)</t>
        </is>
      </c>
      <c r="AC171" t="inlineStr">
        <is>
          <t>Bottom culture</t>
        </is>
      </c>
      <c r="AD171" t="inlineStr">
        <is>
          <t>Single bay</t>
        </is>
      </c>
      <c r="AE171" t="inlineStr">
        <is>
          <t>Variable / seasonal</t>
        </is>
      </c>
      <c r="AF171" t="inlineStr">
        <is>
          <t>Monoculture</t>
        </is>
      </c>
      <c r="AG171" t="inlineStr">
        <is>
          <t>Tissue analysis</t>
        </is>
      </c>
      <c r="AH171" t="inlineStr">
        <is>
          <t>Not algae-specific</t>
        </is>
      </c>
      <c r="AI171" t="inlineStr">
        <is>
          <t>Shallow nearshore (2–10 m)</t>
        </is>
      </c>
      <c r="AJ171" t="inlineStr">
        <is>
          <t>Sheltered</t>
        </is>
      </c>
      <c r="AK171" s="16" t="inlineStr">
        <is>
          <t>To estimate the extra nitrogen your clam beds remove through denitrification, set a baseline: bivalve tissue biomass on the plot before seeding, or at a nearby unfarmed area of similar sediment. Once the crop is established, estimate current biomass from seeding and harvest records or from [10] random cores or quadrats — count live clams, weigh them and convert to tissue dry weight per m². Look up enhanced nitrogen removal for your baseline and current biomass in the Chesapeake Oyster BMP Expert Panel's table and multiply by the farmed area; repeat every [3] years. The table was built for restored oyster reefs, so report the result as an estimate. The source measured denitrification directly (¹⁵N isotope pairing in intact cores) and found clam beds kept removing nitrogen, while sediment under suspended mussels mostly recycled nitrate as ammonium — so this route is for clam beds, not mussel lines.</t>
        </is>
      </c>
      <c r="AL171" s="17" t="inlineStr">
        <is>
          <t>High</t>
        </is>
      </c>
      <c r="AM171" s="18" t="inlineStr">
        <is>
          <t>nizzoli_2006-b_wq112</t>
        </is>
      </c>
      <c r="AN171" s="19" t="n"/>
      <c r="AO171" s="19" t="n"/>
      <c r="AP171" s="19" t="n"/>
      <c r="AQ171" s="16" t="inlineStr">
        <is>
          <t>Denitrification-rate measurement — Mollusk</t>
        </is>
      </c>
      <c r="AR171" s="16" t="inlineStr">
        <is>
          <t>Nizzoli, Daniele; Welsh, David T; Fano, Elisa Anna; Viaroli, Pierluigi</t>
        </is>
      </c>
      <c r="AS171" s="16" t="inlineStr">
        <is>
          <t>Distinct paper from Nizzoli 2006 Aquaculture (v14 R66, N + P budget) — same Sacca di Goro site and research group, but this MEPS paper focuses specifically on sediment N-cycling PATHWAYS via ¹⁵N-pairing. Key finding: clam (infaunal) farming stimulates coupled nitrification-denitrification (net N loss to atmosphere), whereas mussel (suspended) farming favors DNRA (N recycled to ammonium, retained in system) — fundamentally different ecosystem-service outcomes for the two culture types. Critical reference for distinguishing how farm structure affects N-cycling indicators. | v1.4 refinement: Added WQ 1.1.2 (Rate of denitrification) — ¹⁵N-isotope pairing technique is the paper's core methodology; v1.4 added this indicator to the mollusc set (was missing in v1.3). WQ 1.2.1 narrowed to DO (sediment O₂ flux).  |  Migration (one-indicator-per-row, 2026-09-04): split from nizzoli_2006-b -&gt; {nizzoli_2006-b_wq112, nizzoli_2006-b_wq121, nizzoli_2006-b_hb141}. This row = nizzoli_2006-b_wq112 (WQ 1.1.2 — Rate of denitrification). Candidate: AK/N/Q blanked and I/K/W/O/P provisional; per-indicator method text, tier/cost/effort and match adjudication to be finalised at generation. Combined parent I/AK/N/Q retained in v37 (pre-split).  |  [2026-10-13 Rule 15 cost re-rate, batch 12] Framework basis: Mol WQ 1.1.2: point in time based on standing biomass; desk-based. Denitrification estimated from the Chesapeake Oyster BMP Expert Panel default rates applied to the farm's own biomass/area records (Peter's decision, 2026-10-13: default rates replace measured N2 flux, for which no per-sample fee is published); a desk calculation with no gear or lab fee; the paper's ¹⁵N isotope-pairing incubations are not costed; the defaults are oyster-derived, so they transfer approximately to this clam/mussel system. Prior O: 'High — IRMS + dedicated coring/incubation setup; multi-day lab campaigns'.  |  [2026-10-15 method-summary pass] Full read (project PDF, MEPS 315: 151–165). Denitrification measured by 15N isotope pairing in intact cores (and on mussel ropes) at mussel, clam and control stations, Feb and Jul 2002: clam sediments kept coupled nitrification–denitrification, while under mussel ropes nitrate went mostly to ammonium (DNRA; 95% in summer), a net N retention. Peter's standing call puts WQ 1.1.2 rows on the Expert Panel default rates (O $0), which are oyster-derived and would credit removal this paper did not find under mussels. Row held for Peter's call: (a) desk default-rate route at T4 with tags trimmed to Manila clam, (b) keep the measured isotope-pairing route at T2 and re-price O, or (c) delete.  |  [2026-10-16 method-summary pass] Peter's call (2026-10-16): option (a) — desk default-rate route at T4, tags trimmed to Manila clam. W: '2 — Researcher' → '4 — Practitioner' (as reichertnguyen_2023_wq112); fill → T4 lime. AB → Manila clam only; AC → 'Bottom culture'; AG → 'Tissue analysis'. I, K, L, N, P, Q, U written from the full read; O unchanged (desk, $0). AK written; AL Med → High.  |  [2026-10-16 monitoring-methods pass] AT (Monitoring Methods) set from the protocol's method summary (AK): Bivalve condition index / growth.</t>
        </is>
      </c>
      <c r="AT171" s="21" t="inlineStr">
        <is>
          <t>Bivalve condition index / growth</t>
        </is>
      </c>
    </row>
    <row r="172">
      <c r="A172" s="21" t="inlineStr">
        <is>
          <t>Nizzoli, D., et al.</t>
        </is>
      </c>
      <c r="B172" s="21" t="inlineStr">
        <is>
          <t>Impact of clam and mussel farming on benthic metabolism and nitrogen cycling, with emphasis on nitrate reduction pathways</t>
        </is>
      </c>
      <c r="C172" s="21" t="inlineStr">
        <is>
          <t>Marine Ecology Progress Series</t>
        </is>
      </c>
      <c r="D172" s="21" t="n">
        <v>315</v>
      </c>
      <c r="E172" s="21" t="n"/>
      <c r="F172" s="21" t="inlineStr">
        <is>
          <t>151-165</t>
        </is>
      </c>
      <c r="G172" s="21" t="n">
        <v>2006</v>
      </c>
      <c r="H172" s="21" t="inlineStr">
        <is>
          <t>Inter-Research</t>
        </is>
      </c>
      <c r="I172" s="21" t="inlineStr">
        <is>
          <t>Maps to H&amp;B 1.4.1 — Sediment. Sacca di Goro lagoon (Po Delta, Italy; mean depth 1.5 m), Feb and Jul 2002: stations under suspended mussel ropes, in an intensive Manila clam field and at an unfarmed control; 5 hand cores (5 cm diameter) per station sliced at 0–1, 1–2, 2–5 and 5–10 cm for density, porosity, organic matter (loss on ignition, 550 °C) and organic C and N (CN analyser). Match: Yes — depth profile of organic content at farm and control stations.</t>
        </is>
      </c>
      <c r="J172" s="21" t="inlineStr">
        <is>
          <t>Protocol (benthic flux + ¹⁵N denitrification/DNRA pairing technique)</t>
        </is>
      </c>
      <c r="K172" s="21" t="inlineStr">
        <is>
          <t>Confirmed standalone (full read). Depth-resolved organic content at mussel, clam and control stations in two seasons — adequate for H&amp;B 1.4.1; core incubations in the same study show mussel sediments became strongly reduced while clam sediments did not.</t>
        </is>
      </c>
      <c r="L172" s="21" t="inlineStr">
        <is>
          <t>Partial — hand coring in shallow water and slicing are farmer-doable; organic matter and C/N need a partner lab.</t>
        </is>
      </c>
      <c r="M172" s="21" t="inlineStr">
        <is>
          <t>Yes</t>
        </is>
      </c>
      <c r="N172" s="21" t="inlineStr">
        <is>
          <t>Transparent Plexiglas core tubes (30 cm long, 5 cm internal diameter) collected by hand; slicing at 0–1, 1–2, 2–5, 5–10 cm; cut-off 10 ml syringes and pre-weighed aluminium dishes; drying at 70 °C, combustion at 550 °C; Carlo Erba CN analyser.</t>
        </is>
      </c>
      <c r="O172" s="21" t="inlineStr">
        <is>
          <t>Medium — ~$2.1K yr 1: $250 start-up (hand push corer $250 [est]) + $1.87K/yr (sediment LOI 96 × $19 [lab fee]; sample jars $50 [est])</t>
        </is>
      </c>
      <c r="P172" s="21" t="inlineStr">
        <is>
          <t>Multi-season (3–9 months) — Feb and Jul 2002 campaigns</t>
        </is>
      </c>
      <c r="Q172" s="21" t="inlineStr">
        <is>
          <t>Station means by depth horizon; one-way ANOVA with a posteriori t-method comparisons among mussel, clam and control stations.</t>
        </is>
      </c>
      <c r="R172" s="21" t="inlineStr">
        <is>
          <t>Yes — Open access (Inter-Research)</t>
        </is>
      </c>
      <c r="S172" s="21" t="inlineStr">
        <is>
          <t>Full PDF</t>
        </is>
      </c>
      <c r="T172" s="21" t="inlineStr">
        <is>
          <t>https://doi.org/10.3354/meps315151</t>
        </is>
      </c>
      <c r="U172" s="21" t="inlineStr">
        <is>
          <t>Shallow, nutrient-rich lagoon; mussel biomass fell ~90% between seasons after a summer die-off, which shapes the summer mussel-station results. One control station; the paper's main measurements are benthic fluxes and nitrate reduction.</t>
        </is>
      </c>
      <c r="V172" s="21" t="inlineStr">
        <is>
          <t>Original list</t>
        </is>
      </c>
      <c r="W172" s="41" t="inlineStr">
        <is>
          <t>3 — Partnership</t>
        </is>
      </c>
      <c r="X172" s="21" t="inlineStr">
        <is>
          <t>Mollusk</t>
        </is>
      </c>
      <c r="Y172" s="21" t="inlineStr">
        <is>
          <t>Habitat &amp; Biodiversity</t>
        </is>
      </c>
      <c r="Z172" s="21" t="inlineStr">
        <is>
          <t>H&amp;B 1.4.1 — Sediment</t>
        </is>
      </c>
      <c r="AA172" s="21" t="inlineStr">
        <is>
          <t>Temperate Mediterranean</t>
        </is>
      </c>
      <c r="AB172" s="21" t="inlineStr">
        <is>
          <t>Manila clam (Tapes / Ruditapes philippinarum), Mediterranean mussel (Mytilus galloprovincialis)</t>
        </is>
      </c>
      <c r="AC172" s="21" t="inlineStr">
        <is>
          <t>Mixed (suspended trellis + bottom culture)</t>
        </is>
      </c>
      <c r="AD172" s="21" t="inlineStr">
        <is>
          <t>Single bay</t>
        </is>
      </c>
      <c r="AE172" s="21" t="inlineStr">
        <is>
          <t>Variable / seasonal</t>
        </is>
      </c>
      <c r="AF172" s="21" t="inlineStr">
        <is>
          <t>Monoculture</t>
        </is>
      </c>
      <c r="AG172" s="21" t="inlineStr">
        <is>
          <t>Sediment sampling</t>
        </is>
      </c>
      <c r="AH172" s="21" t="inlineStr">
        <is>
          <t>Not algae-specific</t>
        </is>
      </c>
      <c r="AI172" s="21" t="inlineStr">
        <is>
          <t>Shallow nearshore (2–10 m)</t>
        </is>
      </c>
      <c r="AJ172" s="21" t="inlineStr">
        <is>
          <t>Sheltered</t>
        </is>
      </c>
      <c r="AK172" s="16" t="inlineStr">
        <is>
          <t>To track organic enrichment of the sediment at your farm, take [3] cores (a 5 cm-wide clear tube pushed in by hand in shallow water) under the culture — beneath the ropes or within the clam beds — [3] at the farm edge and [3] at each of [2] unfarmed reference stations of similar depth and sediment, in [winter and summer]. Slice each core at 0–1, 1–2, 2–5 and 5–10 cm, noting colour, black layers and smell, and send the slices to a partner lab for organic matter (loss on ignition) and, if wanted, porosity and organic carbon and nitrogen. Compare the depth profiles between farm and reference stations: in the source, sediment under mussel ropes became far more reduced than under clams. The source used one control station, so the edge stations and a second reference are added.</t>
        </is>
      </c>
      <c r="AL172" s="17" t="inlineStr">
        <is>
          <t>High</t>
        </is>
      </c>
      <c r="AM172" s="18" t="inlineStr">
        <is>
          <t>nizzoli_2006-b_hb141</t>
        </is>
      </c>
      <c r="AN172" s="19" t="n"/>
      <c r="AO172" s="19" t="n"/>
      <c r="AP172" s="19" t="n"/>
      <c r="AQ172" s="16" t="inlineStr">
        <is>
          <t>Sediment-condition monitoring — Mollusk</t>
        </is>
      </c>
      <c r="AR172" s="16" t="inlineStr">
        <is>
          <t>Nizzoli, Daniele; Welsh, David T; Fano, Elisa Anna; Viaroli, Pierluigi</t>
        </is>
      </c>
      <c r="AS172" s="16" t="inlineStr">
        <is>
          <t>Distinct paper from Nizzoli 2006 Aquaculture (v14 R66, N + P budget) — same Sacca di Goro site and research group, but this MEPS paper focuses specifically on sediment N-cycling PATHWAYS via ¹⁵N-pairing. Key finding: clam (infaunal) farming stimulates coupled nitrification-denitrification (net N loss to atmosphere), whereas mussel (suspended) farming favors DNRA (N recycled to ammonium, retained in system) — fundamentally different ecosystem-service outcomes for the two culture types. Critical reference for distinguishing how farm structure affects N-cycling indicators. | v1.4 refinement: Added WQ 1.1.2 (Rate of denitrification) — ¹⁵N-isotope pairing technique is the paper's core methodology; v1.4 added this indicator to the mollusc set (was missing in v1.3). WQ 1.2.1 narrowed to DO (sediment O₂ flux).  |  Migration (one-indicator-per-row, 2026-09-04): split from nizzoli_2006-b -&gt; {nizzoli_2006-b_wq112, nizzoli_2006-b_wq121, nizzoli_2006-b_hb141}. This row = nizzoli_2006-b_hb141 (H&amp;B 1.4.1 — Sediment). Candidate: AK/N/Q blanked and I/K/W/O/P provisional; per-indicator method text, tier/cost/effort and match adjudication to be finalised at generation. Combined parent I/AK/N/Q retained in v37 (pre-split).  |  [2026-10-13 Rule 15 cost re-rate, batch 12] Framework basis: Mol H&amp;B 1.4.1: 2 farm strata + 2 nearby non-farm refs; biannual (2 visits; least frequent option); 4 locations × 2 visits × 3 replicates = 24. Grab subsamples for grain size + LOI at a partner lab (analytes inferred; band holds Medium for any subset). Prior O: 'High — IRMS + dedicated coring/incubation setup; multi-day lab campaigns'.  |  [2026-10-15 method-summary pass] Full read (project PDF, MEPS 315: 151–165). I, K: candidate-split text replaced; Match Yes. L → Partial. W: '2 — Researcher' → '3 — Partnership' (Rule 14; hand cores, partner-lab LOI); fill → T3 pale green. AG → 'Sediment sampling'. N, Q, U filled; P → Multi-season + detail. O: 'Medium — ~$2.8K (Ponar grab; grain size + LOI 24)' → 'Medium — ~$2.1K' (Rule 15 basis unchanged, 24 cores; source method is hand cores in a 1.5 m lagoon, no grain size; LOI on 4 depth slices per core = 96). AK written; AL Med → High.  |  [2026-10-16 monitoring-methods pass] AT (Monitoring Methods) set from the protocol's method summary (AK): Sediment chemistry (OC / TN / redox / AVS).</t>
        </is>
      </c>
      <c r="AT172" s="21" t="inlineStr">
        <is>
          <t>Sediment chemistry (OC / TN / redox / AVS)</t>
        </is>
      </c>
    </row>
    <row r="173">
      <c r="A173" t="inlineStr">
        <is>
          <t>Liénart, C., et al.</t>
        </is>
      </c>
      <c r="B173" t="inlineStr">
        <is>
          <t>Bivalve monitoring over French coasts: multi-decadal records of carbon and nitrogen elemental and isotopic ratios as ecological indicators of global change</t>
        </is>
      </c>
      <c r="C173" t="inlineStr">
        <is>
          <t>Earth System Science Data</t>
        </is>
      </c>
      <c r="D173" t="n">
        <v>17</v>
      </c>
      <c r="F173" t="inlineStr">
        <is>
          <t>799-815</t>
        </is>
      </c>
      <c r="G173" t="n">
        <v>2025</v>
      </c>
      <c r="H173" t="inlineStr">
        <is>
          <t>Copernicus (EGU)</t>
        </is>
      </c>
      <c r="I173" t="inlineStr">
        <is>
          <t>National multi-decadal (1981–2021) dataset of C, N, δ13C, δ15N in soft tissues of Pacific oyster (Magallana gigas), blue mussel (Mytilus edulis) and Mediterranean mussel (M. galloprovincialis) sampled annually each February at 33 ROCCH-network stations along the English Channel (10 stns), Atlantic (17 stns) and Mediterranean (6 stns) French coasts. 1141 winter samples spanning 11–40 yr per station. Methodology: archived pooled-tissue aliquots (400–700 µg) analysed on FlashEA 1112 + Delta V Advantage IRMS (CFI Vilnius). C:N (mol/mol) plus δ13C (vs V-PDB) and δ15N (vs atmospheric N2) for tracking climate-driven, anthropogenic, and trophic-baseline shifts. Maps to MEL WQ 1.1.1 (tissue elemental/isotopic bioindication) — canonical Sub-rule 1a application.</t>
        </is>
      </c>
      <c r="J173" t="inlineStr">
        <is>
          <t>Protocol (national bioindicator monitoring + IRMS protocol with full calibration chain)</t>
        </is>
      </c>
      <c r="K173" t="inlineStr">
        <is>
          <t>Yes — IRMS-grade tissue analysis with full IAEA/USGS standards chain, multi-decade time series, national geographic coverage; gold-standard for bivalve-tissue bioindication.</t>
        </is>
      </c>
      <c r="L173" t="inlineStr">
        <is>
          <t>No — IRMS lab analysis requires specialist facility (CPST Vilnius in this case).</t>
        </is>
      </c>
      <c r="M173" t="inlineStr">
        <is>
          <t>Yes</t>
        </is>
      </c>
      <c r="N173" t="inlineStr">
        <is>
          <t>Annual ROCCH sampling kit (bivalve pooled tissue); freeze-drying + grinding; FlashEA 1112 Elemental Analyzer + Delta V Advantage IRMS; calibration standards IAEA600, USGS24, casein, glycine, IAEA-CH-6</t>
        </is>
      </c>
      <c r="O173" t="inlineStr">
        <is>
          <t>Low — ~$80 yr 1: no start-up cost + $80/yr (tissue N + P 3 × $20 [lab fee]; sample bags $20 [est])</t>
        </is>
      </c>
      <c r="P173" t="inlineStr">
        <is>
          <t>Annual (winter), 40-year time series</t>
        </is>
      </c>
      <c r="Q173" t="inlineStr">
        <is>
          <t>Non-parametric Kruskal–Wallis + Dunn post-hoc (R PMCMRplus); trend analysis; spatial + species factor decomposition</t>
        </is>
      </c>
      <c r="R173" t="inlineStr">
        <is>
          <t>Yes — Open access (Copernicus / EGU CC-BY); data DOI 10.17882/100583 (SEANOE)</t>
        </is>
      </c>
      <c r="S173" t="inlineStr">
        <is>
          <t>Full PDF (XML)</t>
        </is>
      </c>
      <c r="T173" t="inlineStr">
        <is>
          <t>https://doi.org/10.5194/essd-17-799-2025</t>
        </is>
      </c>
      <c r="V173" t="inlineStr">
        <is>
          <t>Original list</t>
        </is>
      </c>
      <c r="W173" s="7" t="inlineStr">
        <is>
          <t>2 — Researcher</t>
        </is>
      </c>
      <c r="X173" t="inlineStr">
        <is>
          <t>Mollusk</t>
        </is>
      </c>
      <c r="Y173" t="inlineStr">
        <is>
          <t>Water Quality</t>
        </is>
      </c>
      <c r="Z173" t="inlineStr">
        <is>
          <t>WQ 1.1.1 — N and P bioextraction</t>
        </is>
      </c>
      <c r="AA173" t="inlineStr">
        <is>
          <t>Temperate Atlantic + Mediterranean</t>
        </is>
      </c>
      <c r="AB173" t="inlineStr">
        <is>
          <t>Pacific oyster (Crassostrea / Magallana gigas), Blue mussel (Mytilus edulis), Mediterranean mussel (Mytilus galloprovincialis)</t>
        </is>
      </c>
      <c r="AC173" t="inlineStr">
        <is>
          <t>Mixed (national network across multiple farm + wild-stock types)</t>
        </is>
      </c>
      <c r="AD173" t="inlineStr">
        <is>
          <t>Multi-bay national (33 stations, 3 coastal areas)</t>
        </is>
      </c>
      <c r="AE173" t="inlineStr">
        <is>
          <t>Variable / seasonal</t>
        </is>
      </c>
      <c r="AF173" t="inlineStr">
        <is>
          <t>Monoculture</t>
        </is>
      </c>
      <c r="AG173" t="inlineStr">
        <is>
          <t>Tissue analysis, Stable isotope analysis</t>
        </is>
      </c>
      <c r="AH173" t="inlineStr">
        <is>
          <t>Not algae-specific</t>
        </is>
      </c>
      <c r="AI173" t="inlineStr">
        <is>
          <t>Variable (open coasts, lagoons, estuary mouths)</t>
        </is>
      </c>
      <c r="AJ173" t="inlineStr">
        <is>
          <t>Mixed exposure</t>
        </is>
      </c>
      <c r="AK173" s="16" t="inlineStr">
        <is>
          <t>To run a bivalve-tissue bioindicator programme, sample pooled soft tissue of the target species at a network of coastal stations once a year at a fixed season (here late winter), freeze-dry and grind it, and analyse carbon and nitrogen content plus delta-13-C and delta-15-N on an elemental analyser coupled to an isotope-ratio mass spectrometer, calibrated against certified reference standards (for example IAEA and USGS materials). Sustained annually, this yields long time series that track nutrient and organic-matter conditions; compare across regions, species and years with non-parametric tests (Kruskal-Wallis with post-hoc) and trend analysis.</t>
        </is>
      </c>
      <c r="AL173" s="17" t="inlineStr">
        <is>
          <t>Med</t>
        </is>
      </c>
      <c r="AM173" s="18" t="inlineStr">
        <is>
          <t>lienart_2025</t>
        </is>
      </c>
      <c r="AN173" s="19" t="n"/>
      <c r="AO173" s="19" t="n"/>
      <c r="AP173" s="19" t="n"/>
      <c r="AQ173" s="16" t="inlineStr">
        <is>
          <t>National Multi-Decadal Bivalve-Tissue C/N Isotope Bioindicator</t>
        </is>
      </c>
      <c r="AR173" s="16" t="inlineStr">
        <is>
          <t>Liénart, Camilla; Fournioux, Edouard; Garbaras, Andrius; Blanchet, Nicolas; Briant, Nicolas; Dubois, Stanislas F; Gangnery, Aline; Grouhel-Pellouin, Anne et al.</t>
        </is>
      </c>
      <c r="AS173" s="16" t="inlineStr">
        <is>
          <t>Single most important Sub-rule 1a paper in this batch — 40-year national bivalve-tissue C/N isotope monitoring at unprecedented temporal + spatial scope. Companion paper to Briant 2018 (also French coast, multi-species C/N) — Briant 2018 (#22, awaiting upload) provides the shorter-term snapshot, Liénart 2025 the multi-decadal trajectory. ROCCH (Ifremer) coordinates the sampling backbone; Liénart team adds the C/N isotope layer. Useful template for designing scaled MEL bioindicator monitoring at national/regional level. Data deposited in SEANOE. | v1.4 refinement: WQ 1.2.1 removed under v1.4 (tissue C/N + isotopes only; no DO measurement). δ15N as anthropogenic-N proxy noted in U but does not map to a v1.4 indicator.  |  [2026-10-13 Rule 15 cost re-rate, batch 12] Framework basis: Mol WQ 1.1.1: farmed biomass at harvest; farm only, no reference site; 1 locations × 1 visits × 3 replicates = 3. Tissue N + P at a partner lab; δ13C/δ15N excluded as supplementary (attribution); the national station network is above the Framework minimum. Prior O: 'Medium–High — sampling is operational (institutional); IRMS analysis is the cost driver'.  |  [2026-10-16 monitoring-methods pass] AT (Monitoring Methods) set from the protocol's method summary (AK): Tissue elemental (CHN) analysis, Stable isotopes (d13C / d15N).</t>
        </is>
      </c>
      <c r="AT173" s="21" t="inlineStr">
        <is>
          <t>Tissue elemental (CHN) analysis, Stable isotopes (d13C / d15N)</t>
        </is>
      </c>
    </row>
    <row r="174">
      <c r="A174" t="inlineStr">
        <is>
          <t>Sasikumar, G. &amp; Krishnakumar, P. K.</t>
        </is>
      </c>
      <c r="B174" t="inlineStr">
        <is>
          <t>Aquaculture planning for suspended bivalve farming systems: The integration of physiological response of green mussel with environmental variability in site selection</t>
        </is>
      </c>
      <c r="C174" t="inlineStr">
        <is>
          <t>Ecological Indicators</t>
        </is>
      </c>
      <c r="D174" t="n">
        <v>11</v>
      </c>
      <c r="F174" t="inlineStr">
        <is>
          <t>734-740</t>
        </is>
      </c>
      <c r="G174" t="n">
        <v>2011</v>
      </c>
      <c r="H174" t="inlineStr">
        <is>
          <t>Elsevier</t>
        </is>
      </c>
      <c r="I174" t="inlineStr">
        <is>
          <t>Mussel Condition Index (CI) used as integrative bioindicator of environmental variability for site-selection planning in suspended bivalve farming. Compared two potential mariculture sites along the Karnataka coast (Eastern Arabian Sea, India, tropical-monsoon regime): high-riverine-influence (RI) vs reduced-riverine (RR) influence. Reports green mussel (Perna viridis) CI alongside ambient T, salinity, chl-a / food-availability descriptors. Narrowly maps to MEL WQ 1.2.1 (T, salinity) and WQ 2.1.1 (chl-a/food availability) — CI itself is operational/economic indicator, not a direct MEL indicator.</t>
        </is>
      </c>
      <c r="J174" t="inlineStr">
        <is>
          <t>Protocol (CI-based site-screening) plus ambient WQ characterisation</t>
        </is>
      </c>
      <c r="K174" t="inlineStr">
        <is>
          <t>Partial — methodologically clean two-site contrast; WQ measurements are short-duration but established.</t>
        </is>
      </c>
      <c r="L174" t="inlineStr">
        <is>
          <t>Yes — CI sampling + simple WQ is farmer-feasible.</t>
        </is>
      </c>
      <c r="M174" t="inlineStr">
        <is>
          <t>Yes</t>
        </is>
      </c>
      <c r="N174" t="inlineStr">
        <is>
          <t>Standard mussel sampling + dissection (gravimetric/proximate composition); CTD/multiprobe; chl-a fluorometer</t>
        </is>
      </c>
      <c r="O174" t="inlineStr">
        <is>
          <t>Medium — ~$2.3K yr 1: $1.34K start-up (water sampler $986 [list]; messenger + line $100 [est]; filtration kit $250 [est]) + $1.01K/yr (chl-a analysis 36 × $25.18 [lab fee]; filters + foil $100 [est])</t>
        </is>
      </c>
      <c r="P174" t="inlineStr">
        <is>
          <t>Multi-season</t>
        </is>
      </c>
      <c r="Q174" t="inlineStr">
        <is>
          <t>Two-site comparison; CI vs environmental gradient regression</t>
        </is>
      </c>
      <c r="R174" t="inlineStr">
        <is>
          <t>No — Paywalled (Elsevier)</t>
        </is>
      </c>
      <c r="S174" t="inlineStr">
        <is>
          <t>Abstract + Methods (fetched)</t>
        </is>
      </c>
      <c r="T174" t="inlineStr">
        <is>
          <t>https://doi.org/10.1016/j.ecolind.2010.06.008</t>
        </is>
      </c>
      <c r="V174" t="inlineStr">
        <is>
          <t>Original list</t>
        </is>
      </c>
      <c r="W174" s="9" t="inlineStr">
        <is>
          <t>3 — Partnership</t>
        </is>
      </c>
      <c r="X174" t="inlineStr">
        <is>
          <t>Mollusk</t>
        </is>
      </c>
      <c r="Y174" t="inlineStr">
        <is>
          <t>Water Quality</t>
        </is>
      </c>
      <c r="Z174" t="inlineStr">
        <is>
          <t>WQ 2.1.1 — Chlorophyll-a</t>
        </is>
      </c>
      <c r="AA174" t="inlineStr">
        <is>
          <t>Tropical</t>
        </is>
      </c>
      <c r="AB174" t="inlineStr">
        <is>
          <t>Green mussel (Perna viridis)</t>
        </is>
      </c>
      <c r="AC174" t="inlineStr">
        <is>
          <t>Longline / suspended</t>
        </is>
      </c>
      <c r="AD174" t="inlineStr">
        <is>
          <t>Multi-site (2 candidate sites)</t>
        </is>
      </c>
      <c r="AE174" t="inlineStr">
        <is>
          <t>Variable / seasonal</t>
        </is>
      </c>
      <c r="AF174" t="inlineStr">
        <is>
          <t>Monoculture</t>
        </is>
      </c>
      <c r="AG174" t="inlineStr">
        <is>
          <t>Bivalve performance / condition index, Water chemistry</t>
        </is>
      </c>
      <c r="AH174" t="inlineStr">
        <is>
          <t>Not algae-specific</t>
        </is>
      </c>
      <c r="AI174" t="inlineStr">
        <is>
          <t>Shallow nearshore (2–10 m)</t>
        </is>
      </c>
      <c r="AJ174" t="inlineStr">
        <is>
          <t>Mixed exposure</t>
        </is>
      </c>
      <c r="AK174" s="16" t="inlineStr">
        <is>
          <t>To use mussel Condition Index (CI) as an integrative environmental bioindicator when choosing between farm sites, sample mussels and water monthly at candidate sites (for example one with strong riverine influence and one without) over a year. Measure the environment - temperature, salinity, DO and pH by multiprobe; chlorophyll-a by spectrophotometry after acetone extraction; and seston as suspended particulate matter and particulate organic and inorganic matter by gravimetry - deriving food quantity/quality ratios (chl-a/POM, POM/SPM). Compute CI for a fixed size class as dry soft-tissue weight divided by internal shell-cavity capacity, times 1000, and classify each month as high or low relative to the annual mean. Reduce the environmental variables with PCA and relate them to CI with stepwise multiple regression and discriminant analysis to identify which drivers - and therefore which site - best support mussel condition.</t>
        </is>
      </c>
      <c r="AL174" s="17" t="inlineStr">
        <is>
          <t>High</t>
        </is>
      </c>
      <c r="AM174" s="18" t="inlineStr">
        <is>
          <t>sasikumar_2011</t>
        </is>
      </c>
      <c r="AN174" s="19" t="n"/>
      <c r="AO174" s="19" t="n"/>
      <c r="AP174" s="19" t="n"/>
      <c r="AQ174" s="16" t="inlineStr">
        <is>
          <t>Mussel Condition Index for Farm-Site Selection</t>
        </is>
      </c>
      <c r="AR174" s="16" t="inlineStr">
        <is>
          <t>Sasikumar, Geetha; Krishnakumar, P K</t>
        </is>
      </c>
      <c r="AS174" s="16" t="inlineStr">
        <is>
          <t>Site-selection methodology paper. The condition-index-as-bioindicator framing is widely cited in downstream meta-analyses (e.g. Filgueira 2013 Ecol Indic, Sun 2021 R107 in part). Sub-rule 1b narrow retention: ambient WQ measurements (T, salinity, chl-a or food availability) underpin the site contrast and constitute the MEL-mappable component; CI itself sits outside the closed MEL indicator set as an operational farming-quality metric. Logged for v1.4: 'Condition Index' is a borderline vocab item — used in many bivalve papers but not in the framework. | v1.4 refinement: Rule 13 (v1.4) applied: Condition Index is not in MEL framework. Retention basis = WQ 2.1.1 (ambient chl-a / food-availability descriptors), not CI. WQ 1.2.1 removed (T/salinity are not MEL indicators; no DO measurement).  [v22] Methods confirmed: green-mussel Condition Index + biochemical/proximate composition related to environmental variables incl. chlorophyll-a + food quality. Retention basis = chl-a (WQ 2.1.1), survives Rule 13. chl-a / food-quality analysis needs partner lab -&gt; T3 Partnership, NOT T4 (the retention-basis measurement is not fully farmer-executable).  |  [2026-10-09 Rule 15 cost re-rate, batch 6] Framework basis: Mol WQ 2.1.1: farm + 2 adjacent non-farm refs; seasonal + diurnal, fixed-time reading (4 visits, tropical year-round crop); 3 locations × 4 visits × 3 replicates = 36. Lab chl-a (acetone extraction) on field-filtered samples; the mussel condition-index work is outside the indicator. Prior O: 'Low — primarily field labour + basic lab'.  |  [2026-10-16 monitoring-methods pass] AT (Monitoring Methods) set from the protocol's method summary (AK): Temperature / salinity, pH, Chlorophyll-a (water), Suspended solids (TSS / SPM), Bivalve condition index / growth.</t>
        </is>
      </c>
      <c r="AT174" s="21" t="inlineStr">
        <is>
          <t>Temperature / salinity, pH, Chlorophyll-a (water), Suspended solids (TSS / SPM), Bivalve condition index / growth</t>
        </is>
      </c>
    </row>
    <row r="175">
      <c r="A175" t="inlineStr">
        <is>
          <t>Gernez, P., et al.</t>
        </is>
      </c>
      <c r="B175" t="inlineStr">
        <is>
          <t>Shellfish aquaculture from space: potential of Sentinel-2 to monitor tide-driven changes in turbidity, chlorophyll concentration and oyster physiological response at the scale of an oyster farm</t>
        </is>
      </c>
      <c r="C175" t="inlineStr">
        <is>
          <t>Frontiers in Marine Science</t>
        </is>
      </c>
      <c r="D175" t="n">
        <v>4</v>
      </c>
      <c r="F175" t="inlineStr">
        <is>
          <t>137 (1-15)</t>
        </is>
      </c>
      <c r="G175" t="n">
        <v>2017</v>
      </c>
      <c r="H175" t="inlineStr">
        <is>
          <t>Frontiers Media</t>
        </is>
      </c>
      <c r="I175" t="inlineStr">
        <is>
          <t>Sentinel-2 multispectral imager (MSI; 20 m spatial, 5-day revisit since S-2B) used to retrieve suspended particulate matter (SPM/turbidity) and chl-a concentration at the scale of a turbid intertidal Pacific-oyster farm (Bourgneuf Bay, France). EO products were combined with shellfish physiological model to compute composite tidal-cycle (neap + spring) maps of oyster clearance + chl-consumption rates at different bathymetric positions on the oyster tables. Maps to MEL WQ 1.2.1 (turbidity/SPM) and WQ 2.1.1 (chl-a).</t>
        </is>
      </c>
      <c r="J175" t="inlineStr">
        <is>
          <t>Protocol (satellite remote sensing + atmospheric correction + EO-to-bivalve physiology coupling)</t>
        </is>
      </c>
      <c r="K175" t="inlineStr">
        <is>
          <t>Yes — operational satellite product validated against in-situ data; 20-m resolution adequate for farm-scale within-site variability.</t>
        </is>
      </c>
      <c r="L175" t="inlineStr">
        <is>
          <t>Partial — once products are produced, growers can use dashboards; producing the products requires RS expertise.</t>
        </is>
      </c>
      <c r="M175" t="inlineStr">
        <is>
          <t>Yes</t>
        </is>
      </c>
      <c r="N175" t="inlineStr">
        <is>
          <t>Sentinel-2A/B (free ESA Copernicus); SWIR-based atmospheric correction (Vanhellemont &amp; Ruddick 2015); shellfish DEB-style physiology model</t>
        </is>
      </c>
      <c r="O175" t="inlineStr">
        <is>
          <t>Medium — ~$1.3K yr 1: $250 start-up (filtration kit $250 [est]) + $1.01K/yr (chl-a analysis 36 × $25.18 [lab fee]; filters + foil $100 [est])</t>
        </is>
      </c>
      <c r="P175" t="inlineStr">
        <is>
          <t>Continuous (5-day revisit, tide-resolving with composite-cycle binning)</t>
        </is>
      </c>
      <c r="Q175" t="inlineStr">
        <is>
          <t>Composite tidal-cycle binning; spatial mapping; in-situ validation regressions</t>
        </is>
      </c>
      <c r="R175" t="inlineStr">
        <is>
          <t>Yes — Open access (Frontiers, CC-BY)</t>
        </is>
      </c>
      <c r="S175" t="inlineStr">
        <is>
          <t>Abstract + Methods (fetched)</t>
        </is>
      </c>
      <c r="T175" t="inlineStr">
        <is>
          <t>https://doi.org/10.3389/fmars.2017.00137</t>
        </is>
      </c>
      <c r="U175" t="inlineStr">
        <is>
          <t>Sentinel-2 is free and operational, which makes this approach highly scalable.</t>
        </is>
      </c>
      <c r="V175" t="inlineStr">
        <is>
          <t>Original list</t>
        </is>
      </c>
      <c r="W175" s="42" t="inlineStr">
        <is>
          <t>3 — Partnership</t>
        </is>
      </c>
      <c r="X175" t="inlineStr">
        <is>
          <t>Mollusk</t>
        </is>
      </c>
      <c r="Y175" t="inlineStr">
        <is>
          <t>Water Quality</t>
        </is>
      </c>
      <c r="Z175" t="inlineStr">
        <is>
          <t>WQ 2.1.1 — Chlorophyll-a</t>
        </is>
      </c>
      <c r="AA175" t="inlineStr">
        <is>
          <t>Temperate Atlantic</t>
        </is>
      </c>
      <c r="AB175" t="inlineStr">
        <is>
          <t>Pacific oyster (Crassostrea / Magallana gigas)</t>
        </is>
      </c>
      <c r="AC175" t="inlineStr">
        <is>
          <t>Intertidal table</t>
        </is>
      </c>
      <c r="AD175" t="inlineStr">
        <is>
          <t>Single farm</t>
        </is>
      </c>
      <c r="AE175" t="inlineStr">
        <is>
          <t>Turbid (visual methods limited)</t>
        </is>
      </c>
      <c r="AF175" t="inlineStr">
        <is>
          <t>Monoculture</t>
        </is>
      </c>
      <c r="AG175" t="inlineStr">
        <is>
          <t>Remote sensing</t>
        </is>
      </c>
      <c r="AH175" t="inlineStr">
        <is>
          <t>Not algae-specific</t>
        </is>
      </c>
      <c r="AI175" t="inlineStr">
        <is>
          <t>Intertidal / very shallow (&lt; 2 m)</t>
        </is>
      </c>
      <c r="AJ175" t="inlineStr">
        <is>
          <t>Sheltered</t>
        </is>
      </c>
      <c r="AK175" s="16" t="inlineStr">
        <is>
          <t>To monitor turbidity, chlorophyll-a and even oyster feeding conditions across a farming bay from satellite, pair in-situ bio-optical measurements with Sentinel-2 imagery. In the field, measure above-water reflectance with radiometers plus water samples for turbidity, suspended particulate matter (gravimetric on GF/F) and chlorophyll-a (HPLC pigments) to calibrate and validate the retrieval. Atmospherically correct the imagery for turbid water (for example the ACOLITE SWIR method) and apply red/red-edge/near-infrared band algorithms to map SPM and chl-a; because these vary strongly with the tide, sort scenes by tidal stage into neap and spring composites. Then convert the mapped SPM and chl-a per pixel into oyster clearance rate (a known non-linear function of SPM) and chlorophyll consumption to show where and when high turbidity would suppress feeding.</t>
        </is>
      </c>
      <c r="AL175" s="17" t="inlineStr">
        <is>
          <t>High</t>
        </is>
      </c>
      <c r="AM175" s="18" t="inlineStr">
        <is>
          <t>gernez_2017</t>
        </is>
      </c>
      <c r="AN175" s="19" t="n"/>
      <c r="AO175" s="19" t="n"/>
      <c r="AP175" s="19" t="n"/>
      <c r="AQ175" s="16" t="inlineStr">
        <is>
          <t>Shellfish-Bay Water Quality from Sentinel-2 (Turbidity, Chlorophyll, Feeding)</t>
        </is>
      </c>
      <c r="AR175" s="16" t="inlineStr">
        <is>
          <t>Gernez, Pierre; Doxaran, David; Barillé, Laurent</t>
        </is>
      </c>
      <c r="AS175" s="16" t="inlineStr">
        <is>
          <t>Foundational satellite-remote-sensing paper for shellfish-aquaculture WQ at farm scale. Sentinel-2 is free and operational, which makes this approach highly scalable. Builds on Gernez 2014 + Thomas 2016 (same group). Companion to subsequent Mediterranean implementations (e.g. Ebro Delta Sentinel-2 paper, Spain). Useful as a MEL backbone for chl-a and turbidity monitoring at scale, where in-situ networks are sparse. | v1.4 refinement: WQ 1.2.1 removed under v1.4 (paper retrieves SPM/turbidity from Sentinel-2 + chl-a; SPM/turbidity is not in the v1.4 WQ 1.2.1 indicator scope, which is DO-specific).  |  [2026-10-09 Rule 15 cost re-rate, batch 6] Framework basis: Mol WQ 2.1.1: farm + 2 adjacent non-farm refs; seasonal + diurnal, fixed-time reading (4 visits, sampling on overpass dates); 3 locations × 4 visits × 3 replicates = 36. Free Sentinel-2 imagery calibrated against lab chl-a match-ups from surface bottles (intertidal, so no water sampler); standard extracted chl-a replaces HPLC (same metric); radiometers excluded as supplementary. Prior O: 'Low (free imagery) – Medium (specialist processing)'.  |  [2026-10-16 monitoring-methods pass] AT (Monitoring Methods) set from the protocol's method summary (AK): Water clarity / turbidity (Secchi), Chlorophyll-a (water), Suspended solids (TSS / SPM), Size-fractionated pigments (HPLC), Clearance-rate / filtration assays, Satellite ocean colour (chl-a).</t>
        </is>
      </c>
      <c r="AT175" s="21" t="inlineStr">
        <is>
          <t>Water clarity / turbidity (Secchi), Chlorophyll-a (water), Suspended solids (TSS / SPM), Size-fractionated pigments (HPLC), Clearance-rate / filtration assays, Satellite ocean colour (chl-a)</t>
        </is>
      </c>
    </row>
    <row r="176">
      <c r="A176" t="inlineStr">
        <is>
          <t>George, M. N., et al.</t>
        </is>
      </c>
      <c r="B176" t="inlineStr">
        <is>
          <t>Microscale pH and dissolved oxygen fluctuations within mussel aggregations and their implications for mussel attachment and raft aquaculture</t>
        </is>
      </c>
      <c r="C176" t="inlineStr">
        <is>
          <t>Journal of Shellfish Research</t>
        </is>
      </c>
      <c r="D176" t="n">
        <v>38</v>
      </c>
      <c r="E176" t="inlineStr">
        <is>
          <t>3</t>
        </is>
      </c>
      <c r="F176" t="inlineStr">
        <is>
          <t>795-809</t>
        </is>
      </c>
      <c r="G176" t="n">
        <v>2019</v>
      </c>
      <c r="H176" t="inlineStr">
        <is>
          <t>National Shellfisheries Association</t>
        </is>
      </c>
      <c r="I176" t="inlineStr">
        <is>
          <t>In-farm sensors monitoring pH and dissolved oxygen at microscale (within mussel aggregations) and ambient (1 m + 7 m vertical sondes) at a Penn Cove (WA, USA) raft mussel farm (Mytilus trossulus). Aggregation sensors: Durafet III pH electrode (±0.01) + Honeywell DirectLine DL5000 DO probe (±0.1 mg L⁻¹), inserted in mesh bags hung from rope lines. Logged hourly via Honeywell UDA2182 analyzer with 4–20 mA Lascar data logger. Observed pH 7.14–8.58; DO 0.1–18.5 mg L⁻¹. Lab experiments paired extreme pH + DO excursions with byssus-plaque adhesion curing. Maps narrowly to MEL WQ 1.2.1 (DO measurement) — Sub-rule 1b narrow retention (parallel to Fernández 2019 / R94 precedent).</t>
        </is>
      </c>
      <c r="J176" t="inlineStr">
        <is>
          <t>Protocol (in-situ pH + DO microsensor deployment + paired lab plaque curing experiments)</t>
        </is>
      </c>
      <c r="K176" t="inlineStr">
        <is>
          <t>Partial for MEL purposes — DO logging is methodologically robust and useful as a WQ 1.2.1 approach; the paper's primary deliverable (plaque-curing chemistry) sits outside the MEL indicator set.</t>
        </is>
      </c>
      <c r="L176" t="inlineStr">
        <is>
          <t>Partial — sonde deployment + maintenance is feasible for trained farmers; Durafet pH calibration is more specialist.</t>
        </is>
      </c>
      <c r="M176" t="inlineStr">
        <is>
          <t>Yes</t>
        </is>
      </c>
      <c r="N176" t="inlineStr">
        <is>
          <t>Durafet III pH electrode + Honeywell DL5000 DO probe; UDA2182 analyzer; Lascar 4–20 mA logger; 12-V AGM battery</t>
        </is>
      </c>
      <c r="O176" t="inlineStr">
        <is>
          <t>Medium — ~$5.4K yr 1: $4.62K start-up (DO logger ×3 $4.19K [list]; logger base station $130 [est]; mooring ×3 $300 [est]) + $740/yr (DO sensor cap 6 × $115 [list]; calibration supplies $50 [est])</t>
        </is>
      </c>
      <c r="P176" t="inlineStr">
        <is>
          <t>Multi-season (hourly logging across farming cycle)</t>
        </is>
      </c>
      <c r="Q176" t="inlineStr">
        <is>
          <t>Time-series; correlations between pH and DO; threshold-exceedance event extraction</t>
        </is>
      </c>
      <c r="R176" t="inlineStr">
        <is>
          <t>No — Paywalled (BioOne / NSA)</t>
        </is>
      </c>
      <c r="S176" t="inlineStr">
        <is>
          <t>Abstract + Methods (fetched)</t>
        </is>
      </c>
      <c r="T176" t="inlineStr">
        <is>
          <t>https://doi.org/10.2983/035.038.0329</t>
        </is>
      </c>
      <c r="U176" t="inlineStr">
        <is>
          <t>Captures the extreme acidification and hypoxia the animals actually experience within clumps, beyond ambient readings.</t>
        </is>
      </c>
      <c r="V176" t="inlineStr">
        <is>
          <t>Original list</t>
        </is>
      </c>
      <c r="W176" s="9" t="inlineStr">
        <is>
          <t>3 — Partnership</t>
        </is>
      </c>
      <c r="X176" t="inlineStr">
        <is>
          <t>Mollusk</t>
        </is>
      </c>
      <c r="Y176" t="inlineStr">
        <is>
          <t>Water Quality</t>
        </is>
      </c>
      <c r="Z176" t="inlineStr">
        <is>
          <t>WQ 1.2.1 — Dissolved oxygen</t>
        </is>
      </c>
      <c r="AA176" t="inlineStr">
        <is>
          <t>Temperate Pacific</t>
        </is>
      </c>
      <c r="AB176" t="inlineStr">
        <is>
          <t>Bay mussel (Mytilus trossulus)</t>
        </is>
      </c>
      <c r="AC176" t="inlineStr">
        <is>
          <t>Raft / hanging rope</t>
        </is>
      </c>
      <c r="AD176" t="inlineStr">
        <is>
          <t>Single farm</t>
        </is>
      </c>
      <c r="AE176" t="inlineStr">
        <is>
          <t>Variable / seasonal</t>
        </is>
      </c>
      <c r="AF176" t="inlineStr">
        <is>
          <t>Monoculture</t>
        </is>
      </c>
      <c r="AG176" t="inlineStr">
        <is>
          <t>Water chemistry, In-situ sensors</t>
        </is>
      </c>
      <c r="AH176" t="inlineStr">
        <is>
          <t>Not algae-specific</t>
        </is>
      </c>
      <c r="AI176" t="inlineStr">
        <is>
          <t>Shallow nearshore (2–10 m)</t>
        </is>
      </c>
      <c r="AJ176" t="inlineStr">
        <is>
          <t>Sheltered</t>
        </is>
      </c>
      <c r="AK176" s="16" t="inlineStr">
        <is>
          <t>To characterise the pH and dissolved-oxygen conditions a raft mussel crop actually experiences, suspend water-quality sondes (logging temperature, salinity, pH, DO and chlorophyll) at more than one depth (for example 1 and 7 m) in the centre of the raft and log hourly over an extended period, calibrating monthly. To capture the microenvironment inside mussel clumps, embed a pH electrode and an oxygen probe in the centre of mesh bags of mussels hung beside the sondes. Test season and depth effects with two-way ANOVA (rank-transformed), and run a threshold/excursion analysis - counting sustained drops below critical pH or DO limits (for example two consecutive hours below a set threshold) and comparing their frequency and duration across season and depth. This captures both ambient conditions and the more extreme acidification and hypoxia excursions the animals endure within aggregations.</t>
        </is>
      </c>
      <c r="AL176" s="17" t="inlineStr">
        <is>
          <t>High</t>
        </is>
      </c>
      <c r="AM176" s="18" t="inlineStr">
        <is>
          <t>george_2019</t>
        </is>
      </c>
      <c r="AN176" s="19" t="n"/>
      <c r="AO176" s="19" t="n"/>
      <c r="AP176" s="19" t="n"/>
      <c r="AQ176" s="16" t="inlineStr">
        <is>
          <t>Microscale pH &amp; Oxygen Inside Mussel Aggregations</t>
        </is>
      </c>
      <c r="AR176" s="16" t="inlineStr">
        <is>
          <t>George, Matthew N; Andino, Jessie; Huie, Jonathan; Carrington, Emily</t>
        </is>
      </c>
      <c r="AS176" s="16" t="inlineStr">
        <is>
          <t>Sub-rule 1b narrow retention parallel to Fernández 2019 (R94): pH is not in the closed MEL indicator set, but DO (WQ 1.2.1) is robustly measured. The microscale in-aggregation deployment is an unusual and useful methodological contribution — embedding aggregation sensors among cultured mussels allows DO/pH at the site of physiological action rather than only at ambient sonde depth. Companion to Carrington's broader OA/mussel-attachment program. v1.4 log: pH stays off the indicator set; if reconsidered, this paper would upgrade to 2.1.x candidate.  |  [2026-10-09 Rule 15 cost re-rate, batch 6] Framework basis: Mol WQ 1.2.1: farm + 2 adjacent non-farm refs; seasonal + diurnal (4 visits, one logger per location); 3 locations × 4 visits × 1 replicates = 12. Custom Durafet/DO nodes replaced by the logger route; the within-clump microsensors are outside the Framework minimum. Prior O: 'Medium — sensor + logger ~$2–3K per node; multiple nodes for vertical + within-aggregation array'.  |  [2026-10-16 monitoring-methods pass] AT (Monitoring Methods) set from the protocol's method summary (AK): Temperature / salinity, Dissolved oxygen, pH, Chlorophyll-a (water), Carbonate system (pH / OA).</t>
        </is>
      </c>
      <c r="AT176" s="21" t="inlineStr">
        <is>
          <t>Temperature / salinity, Dissolved oxygen, pH, Chlorophyll-a (water), Carbonate system (pH / OA)</t>
        </is>
      </c>
    </row>
    <row r="177">
      <c r="A177" s="21" t="inlineStr">
        <is>
          <t>Nizzoli, D., et al.</t>
        </is>
      </c>
      <c r="B177" s="21" t="inlineStr">
        <is>
          <t>Oxygen and ammonium dynamics during a farming cycle of the bivalve Tapes philippinarum</t>
        </is>
      </c>
      <c r="C177" s="21" t="inlineStr">
        <is>
          <t>Hydrobiologia</t>
        </is>
      </c>
      <c r="D177" s="21" t="n">
        <v>587</v>
      </c>
      <c r="E177" s="21" t="inlineStr">
        <is>
          <t>1</t>
        </is>
      </c>
      <c r="F177" s="21" t="inlineStr">
        <is>
          <t>25-36</t>
        </is>
      </c>
      <c r="G177" s="21" t="n">
        <v>2007</v>
      </c>
      <c r="H177" s="21" t="inlineStr">
        <is>
          <t>Springer</t>
        </is>
      </c>
      <c r="I177" s="21" t="inlineStr">
        <is>
          <t>Maps to H&amp;B 1.4.1 — Sediment. Simulated 8-month Manila clam farming cycle (Mar–Oct 2003) in a 2,100 m² sandy plot in the Sacca di Goro lagoon: control (few clams), mean (~500 ind m⁻²) and high (~1,500 ind m⁻²) density fields; 3 cores (5 cm ID) per field on four dates; top 0–2 cm for density, porosity, organic matter (loss on ignition, 550 °C) and organic N (CN analyser); Ulva biomass recorded. Match: Yes — organic content at farmed and control fields.</t>
        </is>
      </c>
      <c r="J177" s="21" t="inlineStr">
        <is>
          <t>Protocol (paired benthic incubation across farming cycle)</t>
        </is>
      </c>
      <c r="K177" s="21" t="inlineStr">
        <is>
          <t>Confirmed standalone (full read). Organic matter and N rose in all fields from April to August with no farmed–control difference (biodeposits spread across the plot), and sediment turned black under the October Ulva mat — adequate for H&amp;B 1.4.1, though a control inside the same plot limits contrast.</t>
        </is>
      </c>
      <c r="L177" s="21" t="inlineStr">
        <is>
          <t>Partial — hand coring and slicing are farmer-doable; organic matter and N need a partner lab.</t>
        </is>
      </c>
      <c r="M177" s="21" t="inlineStr">
        <is>
          <t>Yes</t>
        </is>
      </c>
      <c r="N177" s="21" t="inlineStr">
        <is>
          <t>Plexiglas cores (30 cm long, 5 cm ID); 0–2 cm slicing; cut-off 5 ml syringes and pre-weighed dishes; drying at 70 °C, combustion at 550 °C; Carlo Erba CN analyser.</t>
        </is>
      </c>
      <c r="O177" s="21" t="inlineStr">
        <is>
          <t>Low — ~$760 yr 1: $250 start-up (hand push corer $250 [est]) + $506/yr (sediment LOI 24 × $19 [lab fee]; sample jars $50 [est])</t>
        </is>
      </c>
      <c r="P177" s="21" t="inlineStr">
        <is>
          <t>Multi-season (3–9 months) — one farming cycle, Apr–Oct 2003, four dates</t>
        </is>
      </c>
      <c r="Q177" s="21" t="inlineStr">
        <is>
          <t>Two-way ANOVA (clam biomass, temperature) with Tukey tests; field means by date.</t>
        </is>
      </c>
      <c r="R177" s="21" t="inlineStr">
        <is>
          <t>No — Paywalled (Springer)</t>
        </is>
      </c>
      <c r="S177" s="21" t="inlineStr">
        <is>
          <t>Full PDF</t>
        </is>
      </c>
      <c r="T177" s="21" t="inlineStr">
        <is>
          <t>https://doi.org/10.1007/s10750-007-0683-9</t>
        </is>
      </c>
      <c r="U177" s="21" t="inlineStr">
        <is>
          <t>The control lay in the same 2,100 m² plot as the farmed fields, so biodeposits likely reached it; a reference outside the farm's influence is needed. Ulva mats in October drove sediment reduction and clam deaths.</t>
        </is>
      </c>
      <c r="V177" s="21" t="inlineStr">
        <is>
          <t>Original list</t>
        </is>
      </c>
      <c r="W177" s="41" t="inlineStr">
        <is>
          <t>3 — Partnership</t>
        </is>
      </c>
      <c r="X177" s="21" t="inlineStr">
        <is>
          <t>Mollusk</t>
        </is>
      </c>
      <c r="Y177" s="21" t="inlineStr">
        <is>
          <t>Habitat &amp; Biodiversity</t>
        </is>
      </c>
      <c r="Z177" s="21" t="inlineStr">
        <is>
          <t>H&amp;B 1.4.1 — Sediment</t>
        </is>
      </c>
      <c r="AA177" s="21" t="inlineStr">
        <is>
          <t>Temperate Mediterranean</t>
        </is>
      </c>
      <c r="AB177" s="21" t="inlineStr">
        <is>
          <t>Manila clam (Tapes / Ruditapes philippinarum)</t>
        </is>
      </c>
      <c r="AC177" s="21" t="inlineStr">
        <is>
          <t>Bottom culture (seeded clam beds)</t>
        </is>
      </c>
      <c r="AD177" s="21" t="inlineStr">
        <is>
          <t>Single bay</t>
        </is>
      </c>
      <c r="AE177" s="21" t="inlineStr">
        <is>
          <t>Variable / seasonal</t>
        </is>
      </c>
      <c r="AF177" s="21" t="inlineStr">
        <is>
          <t>Monoculture</t>
        </is>
      </c>
      <c r="AG177" s="21" t="inlineStr">
        <is>
          <t>Sediment sampling</t>
        </is>
      </c>
      <c r="AH177" s="21" t="inlineStr">
        <is>
          <t>Not algae-specific</t>
        </is>
      </c>
      <c r="AI177" s="21" t="inlineStr">
        <is>
          <t>Shallow nearshore (2–10 m)</t>
        </is>
      </c>
      <c r="AJ177" s="21" t="inlineStr">
        <is>
          <t>Sheltered</t>
        </is>
      </c>
      <c r="AK177" s="16" t="inlineStr">
        <is>
          <t>To track organic enrichment of the surface sediment in your clam beds, take [3] cores (a 5 cm-wide tube pushed in by hand) within the farmed bed, [3] at its edge and [3] at each of [2] unfarmed reference stations of similar sediment far enough away that biodeposits do not reach them, twice a year including late summer. Keep the top 2 cm of each core, note colour and smell, and send it to a partner lab for organic matter (loss on ignition) and, if wanted, organic nitrogen. Compare farm with reference: rising organic matter and black, smelly surface sediment signal enrichment, and a macroalgal mat over the beds can turn the surface anoxic. The source's control lay in the same small plot and showed the same rise as the farmed fields, so the references are placed further away here.</t>
        </is>
      </c>
      <c r="AL177" s="17" t="inlineStr">
        <is>
          <t>High</t>
        </is>
      </c>
      <c r="AM177" s="18" t="inlineStr">
        <is>
          <t>nizzoli_2007_hb141</t>
        </is>
      </c>
      <c r="AN177" s="19" t="n"/>
      <c r="AO177" s="19" t="n"/>
      <c r="AP177" s="19" t="n"/>
      <c r="AQ177" s="16" t="inlineStr">
        <is>
          <t>Sediment-condition monitoring — Mollusk</t>
        </is>
      </c>
      <c r="AR177" s="16" t="inlineStr">
        <is>
          <t>Nizzoli, Daniele; Bartoli, Marco; Viaroli, Pierluigi</t>
        </is>
      </c>
      <c r="AS177" s="16" t="inlineStr">
        <is>
          <t>Direct companion to R115 (Nizzoli 2006 MEPS, same site/group) and to v14 R66 (Nizzoli 2006 Aquaculture, N + P budget). Together these three papers form the Sacca di Goro Manila-clam-vs-Mediterranean-mussel benthic-N research program. Key value here: temporal trajectory of fluxes across the farming cycle, complementing the snapshot pathway-partitioning of the MEPS paper. Bartoli/Nizzoli/Viaroli are the canonical reference group for this biogeochemistry. | v1.4 refinement: Added WQ 1.1.2 (denitrification, via DIN flux + N-cycling indicators); same site/group as R115 Nizzoli 2006 MEPS. WQ 1.2.1 narrowed to DO.  |  Migration (one-indicator-per-row, 2026-09-04): split from nizzoli_2007 -&gt; {nizzoli_2007_wq112, nizzoli_2007_wq121, nizzoli_2007_hb141}. This row = nizzoli_2007_hb141 (H&amp;B 1.4.1 — Sediment). Candidate: AK/N/Q blanked and I/K/W/O/P provisional; per-indicator method text, tier/cost/effort and match adjudication to be finalised at generation. Combined parent I/AK/N/Q retained in v37 (pre-split).  |  [2026-10-13 Rule 15 cost re-rate, batch 13] Framework basis: Mol H&amp;B 1.4.1: 2 farm strata + 2 nearby non-farm refs; biannual (2 visits; least frequent option); 4 locations × 2 visits × 3 replicates = 24. Grab subsamples for grain size + LOI at a partner lab (analytes inferred; band holds Medium for any subset). Prior O: 'Medium — coring + incubation lab; standard chemistry'.  |  [2026-10-16 method-summary pass] Full read (Peter's PDF). S: 'Abstract + Methods (fetched)' → 'Full PDF'. I, K: candidate-split text replaced; Match Yes. L → Partial. W: '2 — Researcher' → '3 — Partnership' (Rule 14; hand cores, partner-lab LOI); fill → T3 pale green. AG → 'Sediment sampling'. N, Q, U filled; P → Multi-season + detail. O: 'Medium — ~$2.8K (Ponar; grain size + LOI)' → 'Low — ~$760' (source: hand cores in a 1.5 m lagoon, surface 0–2 cm LOI + organic N, no grain size; Rule 15 basis unchanged, 24 samples). AK written; AL Med → High.  |  [2026-10-16 monitoring-methods pass] AT (Monitoring Methods) set from the protocol's method summary (AK): Sediment chemistry (OC / TN / redox / AVS), Biodeposition traps.</t>
        </is>
      </c>
      <c r="AT177" s="21" t="inlineStr">
        <is>
          <t>Sediment chemistry (OC / TN / redox / AVS), Biodeposition traps</t>
        </is>
      </c>
    </row>
    <row r="178">
      <c r="A178" t="inlineStr">
        <is>
          <t>Ogilvie, S. C., et al.</t>
        </is>
      </c>
      <c r="B178" t="inlineStr">
        <is>
          <t>Phytoplankton biomass associated with mussel farms in Beatrix Bay, New Zealand</t>
        </is>
      </c>
      <c r="C178" t="inlineStr">
        <is>
          <t>Aquaculture</t>
        </is>
      </c>
      <c r="D178" t="n">
        <v>181</v>
      </c>
      <c r="E178" t="inlineStr">
        <is>
          <t>1-2</t>
        </is>
      </c>
      <c r="F178" t="inlineStr">
        <is>
          <t>71-80</t>
        </is>
      </c>
      <c r="G178" t="n">
        <v>2000</v>
      </c>
      <c r="H178" t="inlineStr">
        <is>
          <t>Elsevier</t>
        </is>
      </c>
      <c r="I178" t="inlineStr">
        <is>
          <t>Inside-vs-outside phytoplankton biomass survey at 4 green-shell mussel (Perna canaliculus) farm sites in Beatrix Bay, Marlborough Sounds, NZ, over a 13-month period. Chl-a measured throughout the water column; ambient (outside) NO3-N, NH4-N, and dissolved reactive phosphorus (DRP) measured. Found significant farm-driven phytoplankton biomass reduction during autumn–winter high-chl-a periods (peaks ~5 µg L⁻¹). Maps to MEL WQ 2.1.1 (chl-a) and WQ 1.2.1 (DIN, DRP).</t>
        </is>
      </c>
      <c r="J178" t="inlineStr">
        <is>
          <t>Protocol (paired inside/outside farm chl-a + nutrient survey)</t>
        </is>
      </c>
      <c r="K178" t="inlineStr">
        <is>
          <t>Yes — replicated across 4 farms, full water column, 13-month coverage; standard chl-a + nutrient methodology.</t>
        </is>
      </c>
      <c r="L178" t="inlineStr">
        <is>
          <t>Partial — sample collection is straightforward; lab analyses need partner.</t>
        </is>
      </c>
      <c r="M178" t="inlineStr">
        <is>
          <t>Yes</t>
        </is>
      </c>
      <c r="N178" t="inlineStr">
        <is>
          <t>Niskin/pump sampling at multiple depths; fluorometer/spectrophotometer for chl-a; autoanalyser for DIN/DRP</t>
        </is>
      </c>
      <c r="O178" t="inlineStr">
        <is>
          <t>High — ~$12K yr 1: $12.3K start-up (chlorophyll fluorescence logger ×3 $12K [est]; mooring ×3 $300 [est]) + $50/yr (calibration supplies $50 [est])</t>
        </is>
      </c>
      <c r="P178" t="inlineStr">
        <is>
          <t>Annual (13-month)</t>
        </is>
      </c>
      <c r="Q178" t="inlineStr">
        <is>
          <t>Paired inside-vs-outside contrasts; significance testing across farms and seasons</t>
        </is>
      </c>
      <c r="R178" t="inlineStr">
        <is>
          <t>No — Paywalled (Elsevier)</t>
        </is>
      </c>
      <c r="S178" t="inlineStr">
        <is>
          <t>Abstract + Methods (fetched)</t>
        </is>
      </c>
      <c r="T178" t="inlineStr">
        <is>
          <t>https://doi.org/10.1016/S0044-8486(99)00219-7</t>
        </is>
      </c>
      <c r="V178" t="inlineStr">
        <is>
          <t>Original list</t>
        </is>
      </c>
      <c r="W178" s="9" t="inlineStr">
        <is>
          <t>3 — Partnership</t>
        </is>
      </c>
      <c r="X178" t="inlineStr">
        <is>
          <t>Mollusk</t>
        </is>
      </c>
      <c r="Y178" t="inlineStr">
        <is>
          <t>Water Quality</t>
        </is>
      </c>
      <c r="Z178" t="inlineStr">
        <is>
          <t>WQ 2.1.1 — Chlorophyll-a</t>
        </is>
      </c>
      <c r="AA178" t="inlineStr">
        <is>
          <t>Temperate Pacific</t>
        </is>
      </c>
      <c r="AB178" t="inlineStr">
        <is>
          <t>Green-shell mussel (Perna canaliculus)</t>
        </is>
      </c>
      <c r="AC178" t="inlineStr">
        <is>
          <t>Longline / suspended</t>
        </is>
      </c>
      <c r="AD178" t="inlineStr">
        <is>
          <t>Multi-site (4 farms)</t>
        </is>
      </c>
      <c r="AE178" t="inlineStr">
        <is>
          <t>Variable / seasonal</t>
        </is>
      </c>
      <c r="AF178" t="inlineStr">
        <is>
          <t>Monoculture</t>
        </is>
      </c>
      <c r="AG178" t="inlineStr">
        <is>
          <t>Water chemistry, Plankton sampling</t>
        </is>
      </c>
      <c r="AH178" t="inlineStr">
        <is>
          <t>Not algae-specific</t>
        </is>
      </c>
      <c r="AI178" t="inlineStr">
        <is>
          <t>Shallow nearshore (2–10 m)</t>
        </is>
      </c>
      <c r="AJ178" t="inlineStr">
        <is>
          <t>Sheltered</t>
        </is>
      </c>
      <c r="AK178" s="16" t="inlineStr">
        <is>
          <t>To detect chlorophyll-a depletion by a mussel farm, profile chlorophyll fluorescence inside and just outside the farm and check whether it varies over the tidal cycle. Moor a CTD with a fluorometer on a longline at mid-depth and log fluorescence at short intervals over several tidal cycles (with a bottom-mounted current profiler for the tide), and on repeat surveys profile chlorophyll through the water column at randomly chosen on-farm stations, each paired with an outside station at equal distance from shore. Calibrate the fluorometer against water samples analysed for chlorophyll-a (90% acetone extraction, laboratory fluorometer), building a monthly conversion regression. Monitor ambient chlorophyll and dissolved nutrients (nitrate plus nitrite, reactive phosphorus, ammonium on an autoanalyser) outside the farm with an integrated tube sampler, and compare inside versus outside to quantify the depletion signal.</t>
        </is>
      </c>
      <c r="AL178" s="17" t="inlineStr">
        <is>
          <t>High</t>
        </is>
      </c>
      <c r="AM178" s="18" t="inlineStr">
        <is>
          <t>ogilvie_2000</t>
        </is>
      </c>
      <c r="AN178" s="19" t="n"/>
      <c r="AO178" s="19" t="n"/>
      <c r="AP178" s="19" t="n"/>
      <c r="AQ178" s="16" t="inlineStr">
        <is>
          <t>Chlorophyll Depletion by a Mussel Farm (Inside-vs-Outside Profiling)</t>
        </is>
      </c>
      <c r="AR178" s="16" t="inlineStr">
        <is>
          <t>Ogilvie, Shaun C; Ross, Alex H; Schiel, David R</t>
        </is>
      </c>
      <c r="AS178" s="16" t="inlineStr">
        <is>
          <t>Foundational green-shell-mussel-vs-phytoplankton paper for the Marlborough Sounds — the global centre of P. canaliculus aquaculture. Heavily cited by NZ DOC mussel-farming impact reviews. Companion to Ogilvie 2003 (in-situ enclosure experiments at same site) and Inglis et al. 2000 (carrying-capacity context). Phytoplankton depletion within farm boundaries shown to be season-dependent — important methodological insight for designing MEL chl-a baselines. | v1.4 refinement: WQ 1.2.1 removed under v1.4 (paper measures DIN + DRP, not DO). Nutrients are not in v1.4 WQ 1.2.1 indicator scope.  |  [2026-10-13 Rule 15 cost re-rate, batch 12] Framework basis: Mol WQ 2.1.1: farm + 2 adjacent non-farm refs; seasonal + diurnal (one logger per location); 3 locations. Sensor chl-a route, one logger per location (Peter, 2026-10-13: use an estimated logger price so these rows can be costed); the price is an evaluator estimate (quote needed) and High holds above about $3,200 a unit. Held from batch 6 pending this price. Prior O: 'Low–Medium'.  |  [2026-10-16 monitoring-methods pass] AT (Monitoring Methods) set from the protocol's method summary (AK): Temperature / salinity, Dissolved nutrients (N &amp; P), Chlorophyll-a (water), ADCP (currents / waves).</t>
        </is>
      </c>
      <c r="AT178" s="21" t="inlineStr">
        <is>
          <t>Temperature / salinity, Dissolved nutrients (N &amp; P), Chlorophyll-a (water), ADCP (currents / waves)</t>
        </is>
      </c>
    </row>
    <row r="179">
      <c r="A179" t="inlineStr">
        <is>
          <t>Muñiz, O., et al.</t>
        </is>
      </c>
      <c r="B179" t="inlineStr">
        <is>
          <t>Annual cycle of phytoplankton community through the water column: Study applied to the implementation of bivalve offshore aquaculture in the southeastern Bay of Biscay</t>
        </is>
      </c>
      <c r="C179" t="inlineStr">
        <is>
          <t>Oceanologia</t>
        </is>
      </c>
      <c r="D179" t="n">
        <v>61</v>
      </c>
      <c r="E179" t="inlineStr">
        <is>
          <t>1</t>
        </is>
      </c>
      <c r="F179" t="inlineStr">
        <is>
          <t>114–130</t>
        </is>
      </c>
      <c r="G179" t="n">
        <v>2019</v>
      </c>
      <c r="H179" t="inlineStr">
        <is>
          <t>Institute of Oceanology, Polish Academy of Sciences (Elsevier)</t>
        </is>
      </c>
      <c r="I179" t="inlineStr">
        <is>
          <t>Maps to WQ 2.1.1 — Chlorophyll-a. Monthly Niskin samples at 3, 10, 17, 24, 33 and 42 m at one station just outside a 1 ha offshore mussel–oyster longline farm (Basque coast, ~45 m deep), May 2014–Jun 2015: ~4.5 L filtered in sequence through 20 µm and 3 µm polycarbonate and GF/F filters, acetone-extracted and read by spectrophotometer, fractions summed to total chl-a; CTD fluorescence profiles alongside. Match: Partial — single station at the farm, no non-farm reference.</t>
        </is>
      </c>
      <c r="J179" t="inlineStr">
        <is>
          <t>Protocol (multi-depth annual phytoplankton + WQ baseline)</t>
        </is>
      </c>
      <c r="K179" t="inlineStr">
        <is>
          <t>Confirmed standalone (full read). A year of monthly profiles characterising food supply for the farmed mussels; total chl-a averaged 0.6 µg/L and was explained mainly by temperature and nutrients — usable for chl-a at the farm (Partial: no farm vs reference comparison, so it is a baseline rather than a farm-effect test).</t>
        </is>
      </c>
      <c r="L179" t="inlineStr">
        <is>
          <t>Partial — water collection at depth and filtration are farmer-doable with a sampler; acetone extraction and spectrophotometry need a partner lab.</t>
        </is>
      </c>
      <c r="M179" t="inlineStr">
        <is>
          <t>Yes</t>
        </is>
      </c>
      <c r="N179" t="inlineStr">
        <is>
          <t>Boat; Niskin bottles (six depths, 3–42 m); CTD (Seabird 25) with fluorometer and PAR sensor; Secchi disc; filtration rig with 20 µm and 3 µm Nuclepore and GF/F filters; partner-lab 90% acetone extraction and UV-vis spectrophotometer (Jeffrey &amp; Humphrey equations).</t>
        </is>
      </c>
      <c r="O179" t="inlineStr">
        <is>
          <t>Medium — ~$2.3K yr 1: $1.34K start-up (water sampler $986 [list]; messenger + line $100 [est]; filtration kit $250 [est]) + $1.01K/yr (chl-a analysis 36 × $25.18 [lab fee]; filters + foil $100 [est])</t>
        </is>
      </c>
      <c r="P179" t="inlineStr">
        <is>
          <t>Year-long study (12 months) — monthly sampling, May 2014–Jun 2015 (none in February)</t>
        </is>
      </c>
      <c r="Q179" t="inlineStr">
        <is>
          <t>Chl-a contour plot and TS diagram; Pearson correlations of log-transformed chl-a fractions with environmental variables at each depth, with Holm's sequential Bonferroni correction; biplots.</t>
        </is>
      </c>
      <c r="R179" t="inlineStr">
        <is>
          <t>Yes — Open access (Oceanologia / Elsevier, CC BY-NC-ND)</t>
        </is>
      </c>
      <c r="S179" t="inlineStr">
        <is>
          <t>Full PDF</t>
        </is>
      </c>
      <c r="T179" t="inlineStr">
        <is>
          <t>https://doi.org/10.1016/j.oceano.2018.08.001</t>
        </is>
      </c>
      <c r="U179" t="inlineStr">
        <is>
          <t>A food-supply baseline at an offshore farm: shows whether chlorophyll stays above the ~0.5 µg/L level below which bivalves largely stop filtering; one station, no reference.</t>
        </is>
      </c>
      <c r="V179" t="inlineStr">
        <is>
          <t>Original list</t>
        </is>
      </c>
      <c r="W179" s="9" t="inlineStr">
        <is>
          <t>3 — Partnership</t>
        </is>
      </c>
      <c r="X179" t="inlineStr">
        <is>
          <t>Mollusk</t>
        </is>
      </c>
      <c r="Y179" t="inlineStr">
        <is>
          <t>Water Quality</t>
        </is>
      </c>
      <c r="Z179" t="inlineStr">
        <is>
          <t>WQ 2.1.1 — Chlorophyll-a</t>
        </is>
      </c>
      <c r="AA179" t="inlineStr">
        <is>
          <t>Temperate Atlantic</t>
        </is>
      </c>
      <c r="AB179" t="inlineStr">
        <is>
          <t>Mediterranean mussel (Mytilus galloprovincialis), Pacific oyster (Crassostrea / Magallana gigas), European flat oyster (Ostrea edulis)</t>
        </is>
      </c>
      <c r="AC179" t="inlineStr">
        <is>
          <t>Longline (subsurface)</t>
        </is>
      </c>
      <c r="AD179" t="inlineStr">
        <is>
          <t>Medium (1–20 ha)</t>
        </is>
      </c>
      <c r="AE179" t="inlineStr">
        <is>
          <t>Variable / seasonal</t>
        </is>
      </c>
      <c r="AF179" t="inlineStr">
        <is>
          <t>Monoculture</t>
        </is>
      </c>
      <c r="AG179" t="inlineStr">
        <is>
          <t>Water chemistry</t>
        </is>
      </c>
      <c r="AH179" t="inlineStr">
        <is>
          <t>Not algae-specific</t>
        </is>
      </c>
      <c r="AI179" t="inlineStr">
        <is>
          <t>Offshore deep (&gt; 30 m)</t>
        </is>
      </c>
      <c r="AJ179" t="inlineStr">
        <is>
          <t>Exposed</t>
        </is>
      </c>
      <c r="AK179" t="inlineStr">
        <is>
          <t>To track phytoplankton food (chlorophyll-a) at your farm, collect water with a water sampler at [3] depths spanning the culture ropes (near the surface, mid-rope and near the rope ends) at a station at the edge of the farm and at [2] non-farm stations of similar depth, at least once per season (monthly shows the annual cycle). Filter a measured volume (up to [4.5 L] in clear offshore water) through glass-fibre filters, keep them dark and frozen, and have a partner lab extract them in acetone and read chlorophyll-a; size fractions (&gt;20, 3–20, &lt;3 µm) are optional. Compare farm and reference values, and check whether levels stay above about 0.5 µg/L, below which mussels largely stop filtering. The source sampled one station only, so the reference stations are added; offshore chl-a is low and patchy, so sample all stations on the same day.</t>
        </is>
      </c>
      <c r="AL179" t="inlineStr">
        <is>
          <t>High</t>
        </is>
      </c>
      <c r="AM179" s="18" t="inlineStr">
        <is>
          <t>muniz_2019_wq211</t>
        </is>
      </c>
      <c r="AN179" s="19" t="n"/>
      <c r="AO179" s="19" t="n"/>
      <c r="AP179" s="19" t="n"/>
      <c r="AQ179" t="inlineStr">
        <is>
          <t>Chlorophyll-a monitoring — Mollusk</t>
        </is>
      </c>
      <c r="AR179" s="16" t="inlineStr">
        <is>
          <t>Muñiz, Oihane; Revilla, Marta; Rodríguez, José Germán; Laza-Martínez, Aitor; Fontán, Almudena</t>
        </is>
      </c>
      <c r="AS179" s="16" t="inlineStr">
        <is>
          <t>Pre-development baseline paper — establishes phytoplankton + WQ conditions BEFORE bivalve farm implementation on the Basque coast. Useful template for MEL practitioners designing baseline campaigns. Companion to Muñiz et al. 2017/2018 toxic-phytoplankton evaluations and Bilbao 2020 inshore study. Methodologically clean baseline that future post-implementation surveys can compare against. | v1.4 refinement: WQ 1.2.1 removed under v1.4 (nutrients + chl-a + phytoplankton community measured; no DO).  |  Migration (one-indicator-per-row, 2026-09-04): split from muniz_2019 -&gt; {muniz_2019_wq211, muniz_2019_wq212}. This row = muniz_2019_wq211 (WQ 2.1.1 — Chlorophyll-a). Candidate: AK/N/Q blanked and I/K/W/O/P provisional; per-indicator method text, tier/cost/effort and match adjudication to be finalised at generation. Combined parent I/AK/N/Q retained in v37 (pre-split).  |  [2026-10-09 Rule 15 cost re-rate, batch 6] Framework basis: Mol WQ 2.1.1: farm + 2 adjacent non-farm refs; seasonal + diurnal, fixed-time reading (4 visits); 3 locations × 4 visits × 3 replicates = 36 (the paper's three depths as replicates). Lab chl-a on field-filtered samples; size fractions excluded as supplementary; offshore, so a water sampler. Prior O: 'Medium — multi-depth sampling + taxonomic lab'.  |  [2026-10-14 method-summary pass] Full read (PDF from Peter). Citation fixed: F '1-15' → '114–130' and T DOI '…2018.07.001' → '…2018.08.001' (both from the PDF); R: + CC BY-NC-ND. S: 'Abstract + Methods (fetched)' → 'Full PDF'. I, K: candidate-split text replaced; Match Partial (single station at the farm, no reference) — brought to Peter. Off-vocabulary tags fixed: AB 'Multi-species / mixed (offshore experimental area)' → M. galloprovincialis, C. gigas, O. edulis; AC 'Longline / suspended (offshore)' → 'Longline (subsurface)'; AD 'Single farm (experimental)' → 'Medium (1–20 ha)' (1 ha); AI 'Offshore (deeper) (3–33 m water column)' → 'Offshore deep (&gt; 30 m)' (~45 m); AJ 'Exposed (offshore Bay of Biscay)' → 'Exposed'; P 'Annual (13-month, monthly cruises)' → Year-long + detail. AG: Plankton sampling dropped (belongs to WQ 2.1.2). L tightened. O unchanged (batch-6 basis: 36 lab chl-a, water sampler at depth). N, Q, AK filled; U reworded; AL: blank → High.  |  [2026-10-15 method-summary pass] Peter's call (2026-10-15): Partial kept.  |  [2026-10-16 monitoring-methods pass] AT (Monitoring Methods) set from the protocol's method summary (AK): Chlorophyll-a (water), Size-fractionated pigments (HPLC).</t>
        </is>
      </c>
      <c r="AT179" s="21" t="inlineStr">
        <is>
          <t>Chlorophyll-a (water), Size-fractionated pigments (HPLC)</t>
        </is>
      </c>
    </row>
    <row r="180">
      <c r="A180" s="21" t="inlineStr">
        <is>
          <t>Muñiz, O., et al.</t>
        </is>
      </c>
      <c r="B180" s="21" t="inlineStr">
        <is>
          <t>Annual cycle of phytoplankton community through the water column: Study applied to the implementation of bivalve offshore aquaculture in the southeastern Bay of Biscay</t>
        </is>
      </c>
      <c r="C180" s="21" t="inlineStr">
        <is>
          <t>Oceanologia</t>
        </is>
      </c>
      <c r="D180" s="21" t="n">
        <v>61</v>
      </c>
      <c r="E180" s="21" t="inlineStr">
        <is>
          <t>1</t>
        </is>
      </c>
      <c r="F180" s="21" t="inlineStr">
        <is>
          <t>114–130</t>
        </is>
      </c>
      <c r="G180" s="21" t="n">
        <v>2019</v>
      </c>
      <c r="H180" s="21" t="inlineStr">
        <is>
          <t>Institute of Oceanology, Polish Academy of Sciences (Elsevier)</t>
        </is>
      </c>
      <c r="I180" s="21" t="inlineStr">
        <is>
          <t>Maps to WQ 2.1.2 — Microorganisms. Lugol-preserved samples from 3, 17 and 33 m at the same single station, monthly May 2014–Jun 2015, counted to taxon by the Utermöhl method (50 mL subsamples, inverted microscope) with carbon biomass from cell biovolume; 194 taxa recorded. Match: Partial — single station at the farm, no non-farm reference.</t>
        </is>
      </c>
      <c r="J180" s="21" t="inlineStr">
        <is>
          <t>Protocol (multi-depth annual phytoplankton + WQ baseline)</t>
        </is>
      </c>
      <c r="K180" s="21" t="inlineStr">
        <is>
          <t>Confirmed standalone (full read). A full taxonomic annual cycle at three depths: dinoflagellates (47% of taxa) and diatoms (35%) led richness, diatoms biomass and haptophytes cell numbers, and river flow drove abundance — usable for the farm-site plankton community (Partial: no reference station; picoplankton not counted).</t>
        </is>
      </c>
      <c r="L180" s="21" t="inlineStr">
        <is>
          <t>Partial — water sampling at depth and Lugol's preservation are farmer-doable; Utermöhl counts, identification and biovolumes need a partner lab.</t>
        </is>
      </c>
      <c r="M180" s="21" t="inlineStr">
        <is>
          <t>Yes</t>
        </is>
      </c>
      <c r="N180" s="21" t="inlineStr">
        <is>
          <t>Boat; Niskin bottles (3, 17, 33 m); 125 mL borosilicate bottles with acidic Lugol's (0.4%), dark and cool; partner-lab Utermöhl sedimentation (50 mL) and inverted microscope (100–400×); CTD and nutrient autoanalyser for environmental variables.</t>
        </is>
      </c>
      <c r="O180" s="21" t="inlineStr">
        <is>
          <t>Medium — ~$7.2K yr 1: $1.09K start-up (water sampler $986 [list]; messenger + line $100 [est]) + $6.09K/yr (phytoplankton count 36 × $165 [lab fee]; bottles + Lugol's $150 [est])</t>
        </is>
      </c>
      <c r="P180" s="21" t="inlineStr">
        <is>
          <t>Year-long study (12 months) — monthly sampling, May 2014–Jun 2015 (none in February)</t>
        </is>
      </c>
      <c r="Q180" s="21" t="inlineStr">
        <is>
          <t>Abundance (cells/L) and carbon biomass (from biovolume) by group; rare taxa (&lt;10% of samples) removed; Pearson correlations of log abundance with environmental variables per depth, with Holm's sequential Bonferroni correction; biplots.</t>
        </is>
      </c>
      <c r="R180" s="21" t="inlineStr">
        <is>
          <t>Yes — Open access (Oceanologia / Elsevier, CC BY-NC-ND)</t>
        </is>
      </c>
      <c r="S180" s="21" t="inlineStr">
        <is>
          <t>Full PDF</t>
        </is>
      </c>
      <c r="T180" s="21" t="inlineStr">
        <is>
          <t>https://doi.org/10.1016/j.oceano.2018.08.001</t>
        </is>
      </c>
      <c r="U180" s="21" t="inlineStr">
        <is>
          <t>A food-supply baseline at an offshore farm: shows whether chlorophyll stays above the ~0.5 µg/L level below which bivalves largely stop filtering; one station, no reference.</t>
        </is>
      </c>
      <c r="V180" s="21" t="inlineStr">
        <is>
          <t>Original list</t>
        </is>
      </c>
      <c r="W180" s="9" t="inlineStr">
        <is>
          <t>3 — Partnership</t>
        </is>
      </c>
      <c r="X180" s="21" t="inlineStr">
        <is>
          <t>Mollusk</t>
        </is>
      </c>
      <c r="Y180" s="21" t="inlineStr">
        <is>
          <t>Water Quality</t>
        </is>
      </c>
      <c r="Z180" s="21" t="inlineStr">
        <is>
          <t>WQ 2.1.2 — Microorganisms</t>
        </is>
      </c>
      <c r="AA180" s="21" t="inlineStr">
        <is>
          <t>Temperate Atlantic</t>
        </is>
      </c>
      <c r="AB180" s="21" t="inlineStr">
        <is>
          <t>Mediterranean mussel (Mytilus galloprovincialis), Pacific oyster (Crassostrea / Magallana gigas), European flat oyster (Ostrea edulis)</t>
        </is>
      </c>
      <c r="AC180" s="21" t="inlineStr">
        <is>
          <t>Longline (subsurface)</t>
        </is>
      </c>
      <c r="AD180" s="21" t="inlineStr">
        <is>
          <t>Medium (1–20 ha)</t>
        </is>
      </c>
      <c r="AE180" s="21" t="inlineStr">
        <is>
          <t>Variable / seasonal</t>
        </is>
      </c>
      <c r="AF180" s="21" t="inlineStr">
        <is>
          <t>Monoculture</t>
        </is>
      </c>
      <c r="AG180" s="21" t="inlineStr">
        <is>
          <t>Water chemistry, Plankton sampling</t>
        </is>
      </c>
      <c r="AH180" s="21" t="inlineStr">
        <is>
          <t>Not algae-specific</t>
        </is>
      </c>
      <c r="AI180" s="21" t="inlineStr">
        <is>
          <t>Offshore deep (&gt; 30 m)</t>
        </is>
      </c>
      <c r="AJ180" s="21" t="inlineStr">
        <is>
          <t>Exposed</t>
        </is>
      </c>
      <c r="AK180" s="21" t="inlineStr">
        <is>
          <t>To track the plankton community your bivalves feed on, collect water with a water sampler at [3] depths spanning the culture ropes at a station at the edge of the farm and at [2] non-farm stations of similar depth, at least once per season (monthly shows the cycle), preserving [125 mL] per sample at once in acidic Lugol's iodine and keeping it dark and cool. A partner lab counts the settled samples to taxon (Utermöhl method), giving cells per litre by group (diatoms, dinoflagellates, haptophytes and others), biomass if biovolumes are measured, and any harmful species. Compare farm and reference communities through the year. The source sampled one station only, so the reference stations are added; cells under 2–3 µm are missed by microscopy.</t>
        </is>
      </c>
      <c r="AL180" s="21" t="inlineStr">
        <is>
          <t>High</t>
        </is>
      </c>
      <c r="AM180" s="18" t="inlineStr">
        <is>
          <t>muniz_2019_wq212</t>
        </is>
      </c>
      <c r="AN180" s="19" t="n"/>
      <c r="AO180" s="19" t="n"/>
      <c r="AP180" s="19" t="n"/>
      <c r="AQ180" s="21" t="inlineStr">
        <is>
          <t>Plankton / microorganism monitoring — Mollusk</t>
        </is>
      </c>
      <c r="AR180" s="16" t="inlineStr">
        <is>
          <t>Muñiz, Oihane; Revilla, Marta; Rodríguez, José Germán; Laza-Martínez, Aitor; Fontán, Almudena</t>
        </is>
      </c>
      <c r="AS180" s="16" t="inlineStr">
        <is>
          <t>Pre-development baseline paper — establishes phytoplankton + WQ conditions BEFORE bivalve farm implementation on the Basque coast. Useful template for MEL practitioners designing baseline campaigns. Companion to Muñiz et al. 2017/2018 toxic-phytoplankton evaluations and Bilbao 2020 inshore study. Methodologically clean baseline that future post-implementation surveys can compare against. | v1.4 refinement: WQ 1.2.1 removed under v1.4 (nutrients + chl-a + phytoplankton community measured; no DO).  |  Migration (one-indicator-per-row, 2026-09-04): split from muniz_2019 -&gt; {muniz_2019_wq211, muniz_2019_wq212}. This row = muniz_2019_wq212 (WQ 2.1.2 — Microorganisms). Candidate: AK/N/Q blanked and I/K/W/O/P provisional; per-indicator method text, tier/cost/effort and match adjudication to be finalised at generation. Combined parent I/AK/N/Q retained in v37 (pre-split).  |  [2026-10-09 Rule 15 cost re-rate, batch 6] Framework basis: Mol WQ 2.1.2: farm + 2 neighbouring non-farm refs; seasonal + diurnal, fixed-time reading (4 visits); 3 locations × 4 visits × 3 replicates = 36 (the paper's three depths as replicates). Microscope counts at a partner lab. Prior O: 'Medium — multi-depth sampling + taxonomic lab'.  |  [2026-10-14 method-summary pass] Full read (PDF from Peter). Citation, S, I, K, AB, AC, AD, AI, AJ, P fixes as muniz_2019_wq211; Match Partial — brought to Peter. L names the partner-lab steps. O unchanged (batch-6 basis: 36 microscope counts, water sampler). N, Q, AK filled; U reworded; AL: blank → High.  |  [2026-10-15 method-summary pass] Peter's call (2026-10-15): Partial kept.  |  [2026-10-16 monitoring-methods pass] AT (Monitoring Methods) set from the protocol's method summary (AK): Phytoplankton community (microscopy).</t>
        </is>
      </c>
      <c r="AT180" s="21" t="inlineStr">
        <is>
          <t>Phytoplankton community (microscopy)</t>
        </is>
      </c>
    </row>
    <row r="181">
      <c r="A181" t="inlineStr">
        <is>
          <t>Taylor, D., et al.</t>
        </is>
      </c>
      <c r="B181" t="inlineStr">
        <is>
          <t>Quantifying bivalve phytoplankton depletion in a eutrophic system: an integrated approach</t>
        </is>
      </c>
      <c r="C181" t="inlineStr">
        <is>
          <t>Limnology and Oceanography</t>
        </is>
      </c>
      <c r="D181" t="n">
        <v>69</v>
      </c>
      <c r="F181" t="inlineStr">
        <is>
          <t>2436-2452</t>
        </is>
      </c>
      <c r="G181" t="n">
        <v>2024</v>
      </c>
      <c r="H181" t="inlineStr">
        <is>
          <t>Wiley (ASLO)</t>
        </is>
      </c>
      <c r="I181" t="inlineStr">
        <is>
          <t>Maps to WQ 2.1.1 — Chlorophyll-a. Five-unit Smartfarm tube-net mussel farm (0.71 km², established 2018) in Venø Sund, Limfjorden, Denmark (4–6 m, eutrophic, microtidal): discrete stations in and around the farm monthly or bimonthly Jun 2018–2020 (CTD-fluorometer casts calibrated by extracted Chl a from pooled 1, 2 and 3 m samples; triplicate Secchi); four moored Chl a buoys at 2 m up-current, within and down-current of the farm (Jun–Oct 2019); daily boat transects and Fluoroprobe profiles at 13 stations in a five-day campaign at peak biomass (Sep 2019); and 55 Sentinel-2 scenes (2017–2020, including before installation) converted to Chl a with an empirical green/red reflectance ratio. Match: Yes.</t>
        </is>
      </c>
      <c r="J181" t="inlineStr">
        <is>
          <t>Protocol (integrated multi-method, multi-scale depletion survey)</t>
        </is>
      </c>
      <c r="K181" t="inlineStr">
        <is>
          <t>Confirmed standalone (full read). Every method showed depletion in and around the farm: buoys read Chl a about 35% lower in and just north of the farm than up-current, discrete sampling 34.8 ± 19.6% lower with Secchi up to 2 m deeper, and satellite gradients appeared only after installation and scaled with mussel biomass — robust for WQ 2.1.1.</t>
        </is>
      </c>
      <c r="L181" t="inlineStr">
        <is>
          <t>Partial — surface water samples on satellite overpass days and filtering are farmer-doable; extracted chlorophyll-a needs a partner lab, and satellite atmospheric correction and calibration need an analyst. The source's moored loggers and transects are optional additions.</t>
        </is>
      </c>
      <c r="M181" t="inlineStr">
        <is>
          <t>Yes</t>
        </is>
      </c>
      <c r="N181" t="inlineStr">
        <is>
          <t>Sentinel-2 A/B MSI imagery (55 cloud-free scenes 2017–2020, 10 m; Copernicus hub) with POLYMER atmospheric correction in SNAP; four moored buoys logging Chl a fluorescence, temperature and salinity at 2 m; EIVA Arop CTD-fluorometer with 500 mL bottle samples (1, 2, 3 m pooled) for extracted Chl a; Secchi disk; flow-through fluorometer for boat transects; bbe Fluoroprobe; ADCPs (RDI Workhorse 600 kHz, Nortek Aquadopp); DJI Phantom 4 drone with white disks (trial remote Secchi).</t>
        </is>
      </c>
      <c r="O181" t="inlineStr">
        <is>
          <t>Medium — ~$1.3K yr 1: $250 start-up (filtration kit $250 [est]) + $1.01K/yr (chl-a analysis 36 × $25.18 [lab fee]; filters + foil $100 [est])</t>
        </is>
      </c>
      <c r="P181" t="inlineStr">
        <is>
          <t>Multi-year monitoring (&gt; 1 year) — discrete sampling Jun 2018–summer 2020, buoys Jun–Oct 2019, five-day campaign Sep 2019, Sentinel-2 scenes 2017–2020</t>
        </is>
      </c>
      <c r="Q181" t="inlineStr">
        <is>
          <t>Bootstrapped summaries of discrete Chl a and Secchi (R boot); Kruskal–Wallis with Dunn's tests on buoy Chl a, temperature and salinity; empirical Bayesian kriging of transect Chl a with local Moran's I / Getis–Ord G* clustering to map the depleted area; satellite Chl a extracted in concentric masks around the farm and fitted to three-parameter exponential decay with distance; full-factorial linear model of depletion rate on mussel biomass, ambient Chl a, season and wind; Theil–Sen trends.</t>
        </is>
      </c>
      <c r="R181" t="inlineStr">
        <is>
          <t>Yes — Open access (Wiley-ASLO CC BY-NC-ND)</t>
        </is>
      </c>
      <c r="S181" t="inlineStr">
        <is>
          <t>Full PDF</t>
        </is>
      </c>
      <c r="T181" t="inlineStr">
        <is>
          <t>https://doi.org/10.1002/lno.12680</t>
        </is>
      </c>
      <c r="U181" t="inlineStr">
        <is>
          <t>Large farm (71 ha) in a eutrophic, wind-driven sound. The satellite algorithm is a site-specific empirical ratio that needs recalibration if conditions change, and 10 m pixels limit it to large farms away from shore. Depletion varied with mussel biomass, ambient Chl a and currents, so single-point readings were not representative; Chl a understates depletion because cells under ~4 µm escape filtration.</t>
        </is>
      </c>
      <c r="V181" t="inlineStr">
        <is>
          <t>Original list</t>
        </is>
      </c>
      <c r="W181" s="42" t="inlineStr">
        <is>
          <t>3 — Partnership</t>
        </is>
      </c>
      <c r="X181" t="inlineStr">
        <is>
          <t>Mollusk</t>
        </is>
      </c>
      <c r="Y181" t="inlineStr">
        <is>
          <t>Water Quality</t>
        </is>
      </c>
      <c r="Z181" t="inlineStr">
        <is>
          <t>WQ 2.1.1 — Chlorophyll-a</t>
        </is>
      </c>
      <c r="AA181" t="inlineStr">
        <is>
          <t>Temperate Atlantic</t>
        </is>
      </c>
      <c r="AB181" t="inlineStr">
        <is>
          <t>Blue mussel (Mytilus edulis)</t>
        </is>
      </c>
      <c r="AC181" t="inlineStr">
        <is>
          <t>Longline (surface)</t>
        </is>
      </c>
      <c r="AD181" t="inlineStr">
        <is>
          <t>Large (&gt;20 ha)</t>
        </is>
      </c>
      <c r="AE181" t="inlineStr">
        <is>
          <t>Variable / seasonal</t>
        </is>
      </c>
      <c r="AF181" t="inlineStr">
        <is>
          <t>Monoculture</t>
        </is>
      </c>
      <c r="AG181" t="inlineStr">
        <is>
          <t>Water chemistry, Remote sensing</t>
        </is>
      </c>
      <c r="AH181" t="inlineStr">
        <is>
          <t>Not algae-specific</t>
        </is>
      </c>
      <c r="AI181" t="inlineStr">
        <is>
          <t>Shallow nearshore (2–10 m)</t>
        </is>
      </c>
      <c r="AJ181" t="inlineStr">
        <is>
          <t>Sheltered</t>
        </is>
      </c>
      <c r="AK181" s="16" t="inlineStr">
        <is>
          <t>To check whether your mussel farm is drawing down phytoplankton, pair free Sentinel-2 satellite images with water samples taken on overpass days. Once per season, on a clear day when the satellite passes over, collect [3] surface-water samples within the farm and [3] at each of [2] reference stations in the same water body, one up-current and one away from the farm's plume, at the same time of day. Filter a measured volume through glass-fibre filters, keep them dark and frozen, and have a partner lab measure chlorophyll-a by extraction; a Secchi reading at each station is a cheap extra. A partner analyst corrects the images for the atmosphere, calibrates a green-to-red reflectance ratio against your samples and maps chlorophyll-a in rings outward from the farm, so depletion shows as lower values over and down-current of the lines. The source added moored chlorophyll loggers, boat transects and images from before the farm went in; 10 m pixels suit large farms only.</t>
        </is>
      </c>
      <c r="AL181" s="17" t="inlineStr">
        <is>
          <t>High</t>
        </is>
      </c>
      <c r="AM181" s="18" t="inlineStr">
        <is>
          <t>taylor_2024_wq211</t>
        </is>
      </c>
      <c r="AN181" s="19" t="n"/>
      <c r="AO181" s="19" t="n"/>
      <c r="AP181" s="19" t="n"/>
      <c r="AQ181" s="16" t="inlineStr">
        <is>
          <t>Chlorophyll-a monitoring — Mollusk</t>
        </is>
      </c>
      <c r="AR181" s="16" t="inlineStr">
        <is>
          <t>Taylor, Daniel; Jakobsen, Hans; Lyngsgaard, Maren Moltke; Darecki, Mirosław; Werther, Mortimer; Maar, Marie; Saurel, Camille</t>
        </is>
      </c>
      <c r="AS181" s="16" t="inlineStr">
        <is>
          <t>Important multi-method integration paper for phytoplankton depletion — establishes that satellite RS, flow-cytometry, mooring, and synoptic survey all detect coherent farm-scale Chl-a depletion in a large mussel farm. Useful methodological template for designing MEL WQ 2.1.x assessments at large suspended-bivalve farms. Companion (same site, same group) to Maar 2024 (R110, climate-projection modelling at Limfjorden — Taylor is co-author there).  |  Migration (one-indicator-per-row, 2026-09-04): split from taylor_2024 -&gt; {taylor_2024_wq211, taylor_2024_wq212}. This row = taylor_2024_wq211 (WQ 2.1.1 — Chlorophyll-a). Candidate: AK/N/Q blanked and I/K/W/O/P provisional; per-indicator method text, tier/cost/effort and match adjudication to be finalised at generation. Combined parent I/AK/N/Q retained in v37 (pre-split).  |  [2026-10-13 Rule 15 cost re-rate, batch 13] Framework basis: Mol WQ 2.1.1: farm + 2 adjacent non-farm refs; seasonal + diurnal, fixed-time reading (4 visits, on overpass dates); 3 locations × 4 visits × 3 replicates = 36 match-ups. Free Sentinel-2 imagery (the paper's farm-scale route) calibrated against lab chl-a from surface bottles, in place of the paper's Fluoroprobe profiles; transects, mooring, ADCP and drone are above the Framework minimum (same cell as gernez_2017). Prior O: 'High — multiple specialised platforms across scales'.  |  [2026-10-16 method-summary pass] Full read (project PDF). I, K: candidate-split text replaced; Match Yes. L → Partial. W: '2 — Researcher' → '3 — Partnership' (Rule 14; partner-lab chl-a); fill → T3 pale green. AC 'Longline / suspended', AD 'Single farm (large, 5-unit)', AJ 'Sheltered (microtidal)', AG (five non-vocabulary tags) → vocabulary values ('Longline (surface)', 'Large (&gt;20 ha)', 'Sheltered', 'Water chemistry, Remote sensing'). N, Q, U filled; P 'Multi-season campaign' → 'Multi-year monitoring' + detail. O unchanged (batch-13 Sentinel-2 + surface-bottle basis, as gernez_2017). AK written; AL Med → High.  |  [2026-10-16 monitoring-methods pass] AT (Monitoring Methods) set from the protocol's method summary (AK): Water clarity / turbidity (Secchi), Chlorophyll-a (water).</t>
        </is>
      </c>
      <c r="AT181" s="21" t="inlineStr">
        <is>
          <t>Water clarity / turbidity (Secchi), Chlorophyll-a (water)</t>
        </is>
      </c>
    </row>
    <row r="182">
      <c r="A182" t="inlineStr">
        <is>
          <t>Cugier, P., et al.</t>
        </is>
      </c>
      <c r="B182" t="inlineStr">
        <is>
          <t>Assessing the role of benthic filter feeders on phytoplankton production in a shellfish farming site: Mont Saint Michel Bay, France</t>
        </is>
      </c>
      <c r="C182" t="inlineStr">
        <is>
          <t>Journal of Marine Systems</t>
        </is>
      </c>
      <c r="D182" t="n">
        <v>82</v>
      </c>
      <c r="E182" t="inlineStr">
        <is>
          <t>1-2</t>
        </is>
      </c>
      <c r="F182" t="inlineStr">
        <is>
          <t>21-34</t>
        </is>
      </c>
      <c r="G182" t="n">
        <v>2010</v>
      </c>
      <c r="H182" t="inlineStr">
        <is>
          <t>Elsevier</t>
        </is>
      </c>
      <c r="I182" t="inlineStr">
        <is>
          <t>Coupled ecological model of Mont Saint Michel Bay (English Channel, France): 2D hydro-sedimentary model + primary production model + filter-feeder filtration model. Filter-feeder compartment includes 3 cultivated species (Mytilus edulis, Crassostrea gigas, Ostrea edulis), 1 invasive (Crepidula fornicata), and 8 wild natives (Abra alba, Cerastoderma edule, etc.). Biodeposits + mineralisation feedback included. Outputs: Chl-a, primary production, partitioned filter-feeder pressure. Key finding: wild species + invasive Crepidula are stronger controllers of phytoplankton biomass than cultivated species. Maps to MEL WQ 2.1.1 (chl-a, modelled), WQ 1.2.1 (nutrients in model).</t>
        </is>
      </c>
      <c r="J182" t="inlineStr">
        <is>
          <t>Reference (model framework — coupled hydro-bio model)</t>
        </is>
      </c>
      <c r="K182" t="inlineStr">
        <is>
          <t>Yes — model validated against in-situ chl-a + nutrient data; partitions filter-feeder pressure by species/compartment.</t>
        </is>
      </c>
      <c r="L182" t="inlineStr">
        <is>
          <t>No — model development is research-only.</t>
        </is>
      </c>
      <c r="M182" t="inlineStr">
        <is>
          <t>Yes</t>
        </is>
      </c>
      <c r="N182" t="inlineStr">
        <is>
          <t>Coupled 2D hydro-sedimentary + primary-production + filter-feeder filtration model; biodeposit + mineralisation modules</t>
        </is>
      </c>
      <c r="O182" t="inlineStr">
        <is>
          <t>High — modelling effort with calibration data requirements</t>
        </is>
      </c>
      <c r="P182" t="inlineStr">
        <is>
          <t>Annual / multi-year simulation</t>
        </is>
      </c>
      <c r="Q182" t="inlineStr">
        <is>
          <t>Scenario analysis (filter-feeder compartment partitioning); steady-state + dynamic outputs</t>
        </is>
      </c>
      <c r="R182" t="inlineStr">
        <is>
          <t>Yes — Open access via HAL (Ifremer); journal article paywalled</t>
        </is>
      </c>
      <c r="S182" t="inlineStr">
        <is>
          <t>Abstract + Methods (fetched)</t>
        </is>
      </c>
      <c r="T182" t="inlineStr">
        <is>
          <t>https://doi.org/10.1016/j.jmarsys.2010.02.013</t>
        </is>
      </c>
      <c r="U182" t="inlineStr">
        <is>
          <t>Where wild or invasive filter-feeders are abundant, attributing depletion to aquaculture requires disentangling their contribution.</t>
        </is>
      </c>
      <c r="V182" t="inlineStr">
        <is>
          <t>Original list</t>
        </is>
      </c>
      <c r="W182" s="38" t="inlineStr">
        <is>
          <t>2 — Researcher</t>
        </is>
      </c>
      <c r="X182" t="inlineStr">
        <is>
          <t>Mollusk</t>
        </is>
      </c>
      <c r="Y182" t="inlineStr">
        <is>
          <t>Water Quality</t>
        </is>
      </c>
      <c r="Z182" t="inlineStr">
        <is>
          <t>WQ 1.3.1 — Rate of water filtration, WQ 2.1.1 — Chlorophyll-a</t>
        </is>
      </c>
      <c r="AA182" t="inlineStr">
        <is>
          <t>Temperate Atlantic</t>
        </is>
      </c>
      <c r="AB182" t="inlineStr">
        <is>
          <t>Blue mussel (Mytilus edulis), Pacific oyster (Crassostrea / Magallana gigas), European flat oyster (Ostrea edulis)</t>
        </is>
      </c>
      <c r="AC182" t="inlineStr">
        <is>
          <t>Mixed (longline mussel + intertidal table oyster + bottom)</t>
        </is>
      </c>
      <c r="AD182" t="inlineStr">
        <is>
          <t>Bay-wide / system-scale (modelled)</t>
        </is>
      </c>
      <c r="AE182" t="inlineStr">
        <is>
          <t>Variable / seasonal</t>
        </is>
      </c>
      <c r="AF182" t="inlineStr">
        <is>
          <t>Monoculture</t>
        </is>
      </c>
      <c r="AG182" t="inlineStr">
        <is>
          <t>Modelling</t>
        </is>
      </c>
      <c r="AH182" t="inlineStr">
        <is>
          <t>Not algae-specific</t>
        </is>
      </c>
      <c r="AI182" t="inlineStr">
        <is>
          <t>Intertidal / very shallow (&lt; 2 m)</t>
        </is>
      </c>
      <c r="AJ182" t="inlineStr">
        <is>
          <t>Mixed exposure</t>
        </is>
      </c>
      <c r="AK182" s="16" t="inlineStr">
        <is>
          <t>This is a coupled 2D hydro-sedimentary, primary-production and filter-feeder model of a major shellfish bay that partitions grazing pressure among cultivated species, an invasive species and wild natives, validated against in-situ chlorophyll and nutrients. Its lesson for monitoring: where wild and invasive filter feeders are abundant, attributing chlorophyll depletion specifically to aquaculture requires disentangling their contributions. Use it as a model reference for carrying-capacity and attribution questions.</t>
        </is>
      </c>
      <c r="AL182" s="17" t="inlineStr">
        <is>
          <t>Ref</t>
        </is>
      </c>
      <c r="AM182" s="18" t="inlineStr">
        <is>
          <t>cugier_2010</t>
        </is>
      </c>
      <c r="AN182" s="19" t="n"/>
      <c r="AO182" s="19" t="n"/>
      <c r="AP182" s="19" t="n"/>
      <c r="AQ182" s="16" t="inlineStr">
        <is>
          <t>Coupled Model of Filter-Feeder Effects on Phytoplankton (Reference)</t>
        </is>
      </c>
      <c r="AR182" s="16" t="inlineStr">
        <is>
          <t>Cugier, Philippe; Struski, Caroline; Blanchard, Michel; Mazurié, Joseph; Pouvreau, Stéphane; Olivier, Frédéric; Trigui, Jihane R; Thiébaut, Eric</t>
        </is>
      </c>
      <c r="AS182" s="16" t="inlineStr">
        <is>
          <t>Foundational coupled-model paper for the role of cultivated AND wild filter-feeders in shaping phytoplankton biomass at a major shellfish-farming site. Methodologically important conclusion for MEL: when wild/invasive filter-feeders are abundant, attributing chl-a depletion specifically to aquaculture requires careful disentangling. Companion to Cugier 2005 (same bay, nutrient-only model) and later applied to Bourgneuf Bay and Pertuis Charentais. | v1.4 refinement: Added WQ 1.3.1 (Rate of water filtration) — paper's central methodology is a filter-feeder filtration model with partitioned per-species filtration pressure on phytoplankton biomass; v1.4 added this indicator. WQ 1.2.1 removed (model does not produce a DO output).  |  [2026-10-16 monitoring-methods pass] AT (Monitoring Methods) set from the protocol's method summary (AK): Chlorophyll-a (water), Nets &amp; baited traps.</t>
        </is>
      </c>
      <c r="AT182" s="21" t="inlineStr">
        <is>
          <t>Chlorophyll-a (water), Nets &amp; baited traps</t>
        </is>
      </c>
    </row>
    <row r="183">
      <c r="A183" t="inlineStr">
        <is>
          <t>Jiang, Z., et al.</t>
        </is>
      </c>
      <c r="B183" t="inlineStr">
        <is>
          <t>Oyster farming control on phytoplankton bloom promoted by thermal discharge from a power plant in a eutrophic, semi-enclosed bay</t>
        </is>
      </c>
      <c r="C183" t="inlineStr">
        <is>
          <t>Water Research</t>
        </is>
      </c>
      <c r="D183" t="n">
        <v>159</v>
      </c>
      <c r="F183" t="inlineStr">
        <is>
          <t>1-9</t>
        </is>
      </c>
      <c r="G183" t="n">
        <v>2019</v>
      </c>
      <c r="H183" t="inlineStr">
        <is>
          <t>Elsevier</t>
        </is>
      </c>
      <c r="I183" t="inlineStr">
        <is>
          <t>Maps to WQ 1.2.1 — Dissolved oxygen. Surface and near-bottom DO (Winkler titration) at stations in the oyster farm centre vs control areas 500–1000 m beyond the farm edge, on seasonal cruises over 2009–2015. Match: Exact — discrete DO at farm vs non-farm stations (daytime only).</t>
        </is>
      </c>
      <c r="J183" t="inlineStr">
        <is>
          <t>Protocol (multi-year paired farm-vs-control sampling, full WQ + phytoplankton suite)</t>
        </is>
      </c>
      <c r="K183" t="inlineStr">
        <is>
          <t>Confirmed standalone (full read). Niskin samples from 0.5 m below the surface and 0.5 m above the seabed at 3 farm and 3 control stations (2015; 1 each in 2009–2010), DO by Winkler titration — robust for WQ 1.2.1 (Exact: farm vs non-farm DO, single daytime readings).</t>
        </is>
      </c>
      <c r="L183" t="inlineStr">
        <is>
          <t>Yes — station sampling with a calibrated handheld DO meter is farmer-doable; the source's Winkler titration is the lab reference method, not a required step.</t>
        </is>
      </c>
      <c r="M183" t="inlineStr">
        <is>
          <t>Yes</t>
        </is>
      </c>
      <c r="N183" t="inlineStr">
        <is>
          <t>Boat; 5 L Niskin bottles (surface and 0.5 m above seabed); Winkler titration reagents and burette (lab); YSI 30 meter for temperature and salinity; Secchi disc.</t>
        </is>
      </c>
      <c r="O183" t="inlineStr">
        <is>
          <t>Low — ~$670 yr 1: $620 start-up (handheld DO meter $620 [est]) + $50/yr (DO membrane caps + electrolyte $50 [est])</t>
        </is>
      </c>
      <c r="P183" t="inlineStr">
        <is>
          <t>Multi-year monitoring (&gt; 1 year) — 10 seasonal cruises, 2009–2015</t>
        </is>
      </c>
      <c r="Q183" t="inlineStr">
        <is>
          <t>Two-way ANOVA (area × water layer) after Kolmogorov-Smirnov and Levene tests, Mann-Whitney U where assumptions fail (SPSS 20).</t>
        </is>
      </c>
      <c r="R183" t="inlineStr">
        <is>
          <t>No — Paywalled (Elsevier / Water Research)</t>
        </is>
      </c>
      <c r="S183" t="inlineStr">
        <is>
          <t>Full PDF</t>
        </is>
      </c>
      <c r="T183" t="inlineStr">
        <is>
          <t>https://doi.org/10.1016/j.watres.2019.04.023</t>
        </is>
      </c>
      <c r="U183" t="inlineStr">
        <is>
          <t>Here oyster farming helped mitigate thermal-discharge algal blooms; the old-vs-new-farm design controls for the thermal signal.</t>
        </is>
      </c>
      <c r="V183" t="inlineStr">
        <is>
          <t>Original list</t>
        </is>
      </c>
      <c r="W183" s="10" t="inlineStr">
        <is>
          <t>4 — Practitioner</t>
        </is>
      </c>
      <c r="X183" t="inlineStr">
        <is>
          <t>Mollusk</t>
        </is>
      </c>
      <c r="Y183" t="inlineStr">
        <is>
          <t>Water Quality</t>
        </is>
      </c>
      <c r="Z183" t="inlineStr">
        <is>
          <t>WQ 1.2.1 — Dissolved oxygen</t>
        </is>
      </c>
      <c r="AA183" t="inlineStr">
        <is>
          <t>Subtropical</t>
        </is>
      </c>
      <c r="AB183" t="inlineStr">
        <is>
          <t>Other</t>
        </is>
      </c>
      <c r="AC183" t="inlineStr">
        <is>
          <t>Raft / floating</t>
        </is>
      </c>
      <c r="AD183" t="inlineStr">
        <is>
          <t>Not scale-specific</t>
        </is>
      </c>
      <c r="AE183" t="inlineStr">
        <is>
          <t>Variable / seasonal</t>
        </is>
      </c>
      <c r="AF183" t="inlineStr">
        <is>
          <t>Monoculture</t>
        </is>
      </c>
      <c r="AG183" t="inlineStr">
        <is>
          <t>Water chemistry, Plankton sampling</t>
        </is>
      </c>
      <c r="AH183" t="inlineStr">
        <is>
          <t>Not algae-specific</t>
        </is>
      </c>
      <c r="AI183" t="inlineStr">
        <is>
          <t>Shallow nearshore (2–10 m)</t>
        </is>
      </c>
      <c r="AJ183" t="inlineStr">
        <is>
          <t>Sheltered</t>
        </is>
      </c>
      <c r="AK183" s="16" t="inlineStr">
        <is>
          <t>To see whether your oyster farm affects dissolved oxygen, sample the farm centre and [2] control areas 500–1000 m beyond its edge, with [3] stations per area, once per season. At each station read dissolved oxygen about 0.5 m below the surface and 0.5 m above the seabed with a calibrated handheld DO meter on a long cable (or bring water up with a sampler and read it at once; Winkler titration through a partner lab is the reference method), recording temperature and salinity alongside. Compare farm and control values for each depth (e.g. two-way ANOVA of area × depth). Single daytime readings miss the night-time oxygen low, and nearby warm-water discharges or river inflows can outweigh the farm, so note them and keep sampling times consistent.</t>
        </is>
      </c>
      <c r="AL183" s="17" t="inlineStr">
        <is>
          <t>High</t>
        </is>
      </c>
      <c r="AM183" s="18" t="inlineStr">
        <is>
          <t>jiang_2019_wq121</t>
        </is>
      </c>
      <c r="AN183" s="19" t="n"/>
      <c r="AO183" s="19" t="n"/>
      <c r="AP183" s="19" t="n"/>
      <c r="AQ183" s="16" t="inlineStr">
        <is>
          <t>Dissolved-oxygen monitoring — Mollusk</t>
        </is>
      </c>
      <c r="AR183" s="16" t="inlineStr">
        <is>
          <t>Jiang, Zhibing; Du, Ping; Liao, Yibo; Liu, Qiang; Chen, Quanzhen; Shou, Lu; Zeng, Jiangning; Chen, Jianfang</t>
        </is>
      </c>
      <c r="AS183" s="16" t="inlineStr">
        <is>
          <t>Important real-world paper showing oyster farming as a mitigation tool for thermal-discharge-induced algal blooms in a eutrophic subtropical bay. Confounded by thermal-discharge factor but design (OF vs CA in same thermal envelope) controls for that. After culture-raft removal, no significant differences between former-OF and CA — direct evidence the effect is the farming activity itself. Companion to Jiang 2012 (v15 R43), Jiang 2016 (#38 = R128), Jiang 2019a/b further work. Strong reference for MEL practitioners thinking about bivalve farming as ecological-restoration intervention. | v1.4 refinement: WQ 1.2.1 narrowed to DO (paper lists oxygen among measured physico-chemical variables).  |  Migration (one-indicator-per-row, 2026-09-04): split from jiang_2019 -&gt; {jiang_2019_wq121, jiang_2019_wq211, jiang_2019_wq212}. This row = jiang_2019_wq121 (WQ 1.2.1 — Dissolved oxygen). Candidate: AK/N/Q blanked and I/K/W/O/P provisional; per-indicator method text, tier/cost/effort and match adjudication to be finalised at generation. Combined parent I/AK/N/Q retained in v37 (pre-split).  |  [2026-10-13 Rule 15 cost re-rate, batch 7] Framework basis: Mol WQ 1.2.1: farm + 2 adjacent non-farm refs; seasonal + diurnal (4 visits, one logger per location); 3 locations × 4 visits × 1 replicates = 12. Standard DO logger route in place of the cruise sampling; the other physico-chemical variables are outside the indicator, and the second (older) farm stratum is above the Framework minimum. Prior O: 'Medium — multi-cruise institutional campaign'.  |  [2026-10-13 method-summary pass] I, K: candidate-split text replaced after full read (prior: 'Maps to WQ 1.2.1 — Dissolved oxygen. Candidate split…' / 'Standalone-candidate… Parent adequacy note: Yes — 10 cruises over 7 years…'). L: 'Partial — water + phytoplankton sampling feasible for trained farmers; identification + lab analyses need partner.' → DO-specific (Winkler titration). N, Q: blank → filled. AA: 'Subtropical Pacific' → 'Subtropical'; AB: 'Chinese pleated oyster (Crassostrea plicatula)' → 'Other' (not in the species list; species kept in this note); AC: 'Raft / longline (oyster ropes on rafts)' → 'Raft / floating'; AD: 'Single farm (paired OF + CA in same bay)' → 'Not scale-specific' (all four were off-vocabulary). P: 'Multi-year (10 cruises 2009–2015)' → controlled phrase + detail (Sub-rule 6a). O unchanged (batch-7 logger route) — flagged: the source measured discrete DO, which the hand-meter route (~$670, Low) would match. AK written; AL High (unchanged).  |  [2026-10-13 method-summary pass] O: 'Medium — ~$5.4K yr 1: $4.62K start-up (DO logger ×3 $4.19K [list]; logger base station $130 [est]; mooring ×3 $300 [est]) + $740/yr (DO sensor cap 6 × $115 [list]; calibration supplies $50 [est])' → Low ~$670 (Peter, 2026-10-13: discrete-station DO is costed on the handheld meter route, as baggett_wq121 and turner_2019_wq121); one meter covers all stations and depths (a cable longer than 4 m is needed at deeper stations). AK revised to the meter route.  |  [2026-10-13 method-summary pass] Peter's call (2026-10-13): W 3 → 4 (Rule 14: the handheld-meter route has no lab step; promoted with jiang_2020_wq121). L → Yes. Prior: W: '3 — Partnership'; L: 'Partial — station sampling with a water sampler is farmer-doable; the '.  |  [2026-10-16 monitoring-methods pass] AT (Monitoring Methods) set from the protocol's method summary (AK): Temperature / salinity, Dissolved oxygen.</t>
        </is>
      </c>
      <c r="AT183" s="21" t="inlineStr">
        <is>
          <t>Temperature / salinity, Dissolved oxygen</t>
        </is>
      </c>
    </row>
    <row r="184">
      <c r="A184" s="21" t="inlineStr">
        <is>
          <t>Jiang, Z., et al.</t>
        </is>
      </c>
      <c r="B184" s="21" t="inlineStr">
        <is>
          <t>Oyster farming control on phytoplankton bloom promoted by thermal discharge from a power plant in a eutrophic, semi-enclosed bay</t>
        </is>
      </c>
      <c r="C184" s="21" t="inlineStr">
        <is>
          <t>Water Research</t>
        </is>
      </c>
      <c r="D184" s="21" t="n">
        <v>159</v>
      </c>
      <c r="E184" s="21" t="n"/>
      <c r="F184" s="21" t="inlineStr">
        <is>
          <t>1-9</t>
        </is>
      </c>
      <c r="G184" s="21" t="n">
        <v>2019</v>
      </c>
      <c r="H184" s="21" t="inlineStr">
        <is>
          <t>Elsevier</t>
        </is>
      </c>
      <c r="I184" s="21" t="inlineStr">
        <is>
          <t>Maps to WQ 2.1.1 — Chlorophyll-a. Extracted chlorophyll-a and phaeopigments (size-fractionated into micro, nano and pico in 2015) from surface and near-bottom water at farm vs control stations. Match: Exact.</t>
        </is>
      </c>
      <c r="J184" s="21" t="inlineStr">
        <is>
          <t>Protocol (multi-year paired farm-vs-control sampling, full WQ + phytoplankton suite)</t>
        </is>
      </c>
      <c r="K184" s="21" t="inlineStr">
        <is>
          <t>Confirmed standalone (full read). 100 mL samples filtered on GF/F (and 20 µm / 2 µm filters in 2015), acetone-extracted and read on a fluorometer, at 3 farm and 3 control stations per cruise — robust for WQ 2.1.1 (Exact; daytime discrete samples).</t>
        </is>
      </c>
      <c r="L184" s="21" t="inlineStr">
        <is>
          <t>Partial — water collection and field filtration are farmer-doable; acetone extraction and fluorometry need a partner lab.</t>
        </is>
      </c>
      <c r="M184" s="21" t="inlineStr">
        <is>
          <t>Yes</t>
        </is>
      </c>
      <c r="N184" s="21" t="inlineStr">
        <is>
          <t>Boat; 5 L Niskin bottles; filtration kit with GF/F (0.7 µm), 2 µm polycarbonate and 20 µm nylon filters; dark, frozen storage; partner-lab acetone extraction and fluorometer (Turner Designs).</t>
        </is>
      </c>
      <c r="O184" s="21" t="inlineStr">
        <is>
          <t>Medium — ~$2.3K yr 1: $1.34K start-up (water sampler $986 [list]; messenger + line $100 [est]; filtration kit $250 [est]) + $1.01K/yr (chl-a analysis 36 × $25.18 [lab fee]; filters + foil $100 [est])</t>
        </is>
      </c>
      <c r="P184" s="21" t="inlineStr">
        <is>
          <t>Multi-year monitoring (&gt; 1 year) — 10 seasonal cruises, 2009–2015</t>
        </is>
      </c>
      <c r="Q184" s="21" t="inlineStr">
        <is>
          <t>Two-way ANOVA (area × water layer) on chlorophyll-a size fractions and phaeopigment ratios after normality and homogeneity tests, Mann-Whitney U where needed; Spearman correlation with environmental variables (SPSS 20).</t>
        </is>
      </c>
      <c r="R184" s="21" t="inlineStr">
        <is>
          <t>No — Paywalled (Elsevier / Water Research)</t>
        </is>
      </c>
      <c r="S184" s="21" t="inlineStr">
        <is>
          <t>Full PDF</t>
        </is>
      </c>
      <c r="T184" s="21" t="inlineStr">
        <is>
          <t>https://doi.org/10.1016/j.watres.2019.04.023</t>
        </is>
      </c>
      <c r="U184" s="21" t="inlineStr">
        <is>
          <t>Here oyster farming helped mitigate thermal-discharge algal blooms; the old-vs-new-farm design controls for the thermal signal.</t>
        </is>
      </c>
      <c r="V184" s="21" t="inlineStr">
        <is>
          <t>Original list</t>
        </is>
      </c>
      <c r="W184" s="9" t="inlineStr">
        <is>
          <t>3 — Partnership</t>
        </is>
      </c>
      <c r="X184" s="21" t="inlineStr">
        <is>
          <t>Mollusk</t>
        </is>
      </c>
      <c r="Y184" s="21" t="inlineStr">
        <is>
          <t>Water Quality</t>
        </is>
      </c>
      <c r="Z184" s="21" t="inlineStr">
        <is>
          <t>WQ 2.1.1 — Chlorophyll-a</t>
        </is>
      </c>
      <c r="AA184" s="21" t="inlineStr">
        <is>
          <t>Subtropical</t>
        </is>
      </c>
      <c r="AB184" s="21" t="inlineStr">
        <is>
          <t>Other</t>
        </is>
      </c>
      <c r="AC184" s="21" t="inlineStr">
        <is>
          <t>Raft / floating</t>
        </is>
      </c>
      <c r="AD184" s="21" t="inlineStr">
        <is>
          <t>Not scale-specific</t>
        </is>
      </c>
      <c r="AE184" s="21" t="inlineStr">
        <is>
          <t>Variable / seasonal</t>
        </is>
      </c>
      <c r="AF184" s="21" t="inlineStr">
        <is>
          <t>Monoculture</t>
        </is>
      </c>
      <c r="AG184" s="21" t="inlineStr">
        <is>
          <t>Water chemistry, Plankton sampling</t>
        </is>
      </c>
      <c r="AH184" s="21" t="inlineStr">
        <is>
          <t>Not algae-specific</t>
        </is>
      </c>
      <c r="AI184" s="21" t="inlineStr">
        <is>
          <t>Shallow nearshore (2–10 m)</t>
        </is>
      </c>
      <c r="AJ184" s="21" t="inlineStr">
        <is>
          <t>Sheltered</t>
        </is>
      </c>
      <c r="AK184" s="16" t="inlineStr">
        <is>
          <t>To measure whether your farm draws down phytoplankton, collect surface and near-bottom water at [3] stations in the farm centre and [3] in control areas 500–1000 m away, once per season. Filter a fixed volume (e.g. 100 mL) through a glass-fibre filter — optionally first through 20 µm and 2 µm filters to split large, medium and small cells — keep the filters dark and frozen, and have a partner lab extract them in acetone and read chlorophyll-a and phaeopigments on a fluorometer. Compare farm and control chlorophyll-a, by size fraction and depth, and the phaeopigment-to-chlorophyll ratio as a grazing signal. Phytoplankton changes fast with season and tide, so sample farm and control on the same day and tide and treat one-off differences with caution.</t>
        </is>
      </c>
      <c r="AL184" s="17" t="inlineStr">
        <is>
          <t>High</t>
        </is>
      </c>
      <c r="AM184" s="18" t="inlineStr">
        <is>
          <t>jiang_2019_wq211</t>
        </is>
      </c>
      <c r="AN184" s="19" t="n"/>
      <c r="AO184" s="19" t="n"/>
      <c r="AP184" s="19" t="n"/>
      <c r="AQ184" s="16" t="inlineStr">
        <is>
          <t>Chlorophyll-a monitoring — Mollusk</t>
        </is>
      </c>
      <c r="AR184" s="16" t="inlineStr">
        <is>
          <t>Jiang, Zhibing; Du, Ping; Liao, Yibo; Liu, Qiang; Chen, Quanzhen; Shou, Lu; Zeng, Jiangning; Chen, Jianfang</t>
        </is>
      </c>
      <c r="AS184" s="16" t="inlineStr">
        <is>
          <t>Important real-world paper showing oyster farming as a mitigation tool for thermal-discharge-induced algal blooms in a eutrophic subtropical bay. Confounded by thermal-discharge factor but design (OF vs CA in same thermal envelope) controls for that. After culture-raft removal, no significant differences between former-OF and CA — direct evidence the effect is the farming activity itself. Companion to Jiang 2012 (v15 R43), Jiang 2016 (#38 = R128), Jiang 2019a/b further work. Strong reference for MEL practitioners thinking about bivalve farming as ecological-restoration intervention. | v1.4 refinement: WQ 1.2.1 narrowed to DO (paper lists oxygen among measured physico-chemical variables).  |  Migration (one-indicator-per-row, 2026-09-04): split from jiang_2019 -&gt; {jiang_2019_wq121, jiang_2019_wq211, jiang_2019_wq212}. This row = jiang_2019_wq211 (WQ 2.1.1 — Chlorophyll-a). Candidate: AK/N/Q blanked and I/K/W/O/P provisional; per-indicator method text, tier/cost/effort and match adjudication to be finalised at generation. Combined parent I/AK/N/Q retained in v37 (pre-split).  |  [2026-10-13 Rule 15 cost re-rate, batch 7] Framework basis: Mol WQ 2.1.1: farm + 2 adjacent non-farm refs; seasonal + diurnal, fixed-time reading (4 visits); 3 locations × 4 visits × 3 replicates = 36. Lab chl-a on field-filtered samples (route from the practitioner note); cruises replaced by the farm workboat at this 2–10 m site; the old-vs-new-farm comparison is above the Framework minimum. Prior O: 'Medium — multi-cruise institutional campaign'.  |  [2026-10-13 method-summary pass] I, K: candidate-split text replaced after full read (prior: 'Maps to WQ 2.1.1 — Chlorophyll-a. Candidate split…' / 'Standalone-candidate…'). N, Q: blank → filled. AA: 'Subtropical Pacific' → 'Subtropical'; AB: 'Chinese pleated oyster (Crassostrea plicatula)' → 'Other' (not in the species list; species kept in this note); AC: 'Raft / longline (oyster ropes on rafts)' → 'Raft / floating'; AD: 'Single farm (paired OF + CA in same bay)' → 'Not scale-specific' (all four were off-vocabulary). P: 'Multi-year (10 cruises 2009–2015)' → controlled phrase + detail (Sub-rule 6a). O unchanged: the source's filtered, lab-extracted chl-a matches the batch-7 basis. L tightened to the chl-a steps. AK written; AL High (unchanged).  |  [2026-10-16 monitoring-methods pass] AT (Monitoring Methods) set from the protocol's method summary (AK): Chlorophyll-a (water), Size-fractionated pigments (HPLC).</t>
        </is>
      </c>
      <c r="AT184" s="21" t="inlineStr">
        <is>
          <t>Chlorophyll-a (water), Size-fractionated pigments (HPLC)</t>
        </is>
      </c>
    </row>
    <row r="185">
      <c r="A185" s="21" t="inlineStr">
        <is>
          <t>Jiang, Z., et al.</t>
        </is>
      </c>
      <c r="B185" s="21" t="inlineStr">
        <is>
          <t>Oyster farming control on phytoplankton bloom promoted by thermal discharge from a power plant in a eutrophic, semi-enclosed bay</t>
        </is>
      </c>
      <c r="C185" s="21" t="inlineStr">
        <is>
          <t>Water Research</t>
        </is>
      </c>
      <c r="D185" s="21" t="n">
        <v>159</v>
      </c>
      <c r="E185" s="21" t="n"/>
      <c r="F185" s="21" t="inlineStr">
        <is>
          <t>1-9</t>
        </is>
      </c>
      <c r="G185" s="21" t="n">
        <v>2019</v>
      </c>
      <c r="H185" s="21" t="inlineStr">
        <is>
          <t>Elsevier</t>
        </is>
      </c>
      <c r="I185" s="21" t="inlineStr">
        <is>
          <t>Maps to WQ 2.1.2 — Microorganisms. Phytoplankton species composition, abundance and diversity from settled, microscope-counted samples at farm vs control stations. Match: Exact for phytoplankton (cells under ~5 µm not identified).</t>
        </is>
      </c>
      <c r="J185" s="21" t="inlineStr">
        <is>
          <t>Protocol (multi-year paired farm-vs-control sampling, full WQ + phytoplankton suite)</t>
        </is>
      </c>
      <c r="K185" s="21" t="inlineStr">
        <is>
          <t>Confirmed standalone (full read). 400–1000 mL samples fixed in 2% formalin, settled 48 h, concentrated and counted (≥300 units) by light microscopy, at farm and control stations on each cruise — robust for WQ 2.1.2 (Exact for microphytoplankton; picophytoplankton not resolved).</t>
        </is>
      </c>
      <c r="L185" s="21" t="inlineStr">
        <is>
          <t>Partial — water collection and preservation are farmer-doable; identification and counting by microscope need a partner lab.</t>
        </is>
      </c>
      <c r="M185" s="21" t="inlineStr">
        <is>
          <t>Yes</t>
        </is>
      </c>
      <c r="N185" s="21" t="inlineStr">
        <is>
          <t>Boat; 5 L Niskin bottles; sample bottles with formalin (2% final) or Lugol's; settling cylinders; partner-lab light microscope (200–630×) with a 0.1 mL counting slide.</t>
        </is>
      </c>
      <c r="O185" s="21" t="inlineStr">
        <is>
          <t>Medium — ~$7.2K yr 1: $1.09K start-up (water sampler $986 [list]; messenger + line $100 [est]) + $6.09K/yr (phytoplankton count 36 × $165 [lab fee]; bottles + Lugol's $150 [est])</t>
        </is>
      </c>
      <c r="P185" s="21" t="inlineStr">
        <is>
          <t>Multi-year monitoring (&gt; 1 year) — 10 seasonal cruises, 2009–2015</t>
        </is>
      </c>
      <c r="Q185" s="21" t="inlineStr">
        <is>
          <t>Species richness, Shannon-Wiener H' and Pielou J' (PRIMER 5); two-way ANOVA (area × layer); ANOSIM on Bray-Curtis similarities of log(x+1) abundances; Spearman correlations (SPSS 20).</t>
        </is>
      </c>
      <c r="R185" s="21" t="inlineStr">
        <is>
          <t>No — Paywalled (Elsevier / Water Research)</t>
        </is>
      </c>
      <c r="S185" s="21" t="inlineStr">
        <is>
          <t>Full PDF</t>
        </is>
      </c>
      <c r="T185" s="21" t="inlineStr">
        <is>
          <t>https://doi.org/10.1016/j.watres.2019.04.023</t>
        </is>
      </c>
      <c r="U185" s="21" t="inlineStr">
        <is>
          <t>Here oyster farming helped mitigate thermal-discharge algal blooms; the old-vs-new-farm design controls for the thermal signal.</t>
        </is>
      </c>
      <c r="V185" s="21" t="inlineStr">
        <is>
          <t>Original list</t>
        </is>
      </c>
      <c r="W185" s="9" t="inlineStr">
        <is>
          <t>3 — Partnership</t>
        </is>
      </c>
      <c r="X185" s="21" t="inlineStr">
        <is>
          <t>Mollusk</t>
        </is>
      </c>
      <c r="Y185" s="21" t="inlineStr">
        <is>
          <t>Water Quality</t>
        </is>
      </c>
      <c r="Z185" s="21" t="inlineStr">
        <is>
          <t>WQ 2.1.2 — Microorganisms</t>
        </is>
      </c>
      <c r="AA185" s="21" t="inlineStr">
        <is>
          <t>Subtropical</t>
        </is>
      </c>
      <c r="AB185" s="21" t="inlineStr">
        <is>
          <t>Other</t>
        </is>
      </c>
      <c r="AC185" s="21" t="inlineStr">
        <is>
          <t>Raft / floating</t>
        </is>
      </c>
      <c r="AD185" s="21" t="inlineStr">
        <is>
          <t>Not scale-specific</t>
        </is>
      </c>
      <c r="AE185" s="21" t="inlineStr">
        <is>
          <t>Variable / seasonal</t>
        </is>
      </c>
      <c r="AF185" s="21" t="inlineStr">
        <is>
          <t>Monoculture</t>
        </is>
      </c>
      <c r="AG185" s="21" t="inlineStr">
        <is>
          <t>Water chemistry, Plankton sampling</t>
        </is>
      </c>
      <c r="AH185" s="21" t="inlineStr">
        <is>
          <t>Not algae-specific</t>
        </is>
      </c>
      <c r="AI185" s="21" t="inlineStr">
        <is>
          <t>Shallow nearshore (2–10 m)</t>
        </is>
      </c>
      <c r="AJ185" s="21" t="inlineStr">
        <is>
          <t>Sheltered</t>
        </is>
      </c>
      <c r="AK185" s="16" t="inlineStr">
        <is>
          <t>To track the phytoplankton community at your farm, collect water from the surface and near the seabed at [3] stations in the farm and [3] in control areas 500–1000 m away, once per season. Preserve [0.4–1 L] of each sample (e.g. 2% formalin or Lugol's), let it settle for 48 hours and siphon off the clear water, then have a partner lab identify and count at least 300 cells or colonies per sample under a microscope. Report abundance, species richness, Shannon diversity and evenness, and compare communities between farm and control (e.g. ANOSIM on Bray-Curtis similarities). Cells smaller than about 5 µm can't be identified this way, so the smallest phytoplankton are missed; size-fractionated chlorophyll-a can track them.</t>
        </is>
      </c>
      <c r="AL185" s="17" t="inlineStr">
        <is>
          <t>High</t>
        </is>
      </c>
      <c r="AM185" s="18" t="inlineStr">
        <is>
          <t>jiang_2019_wq212</t>
        </is>
      </c>
      <c r="AN185" s="19" t="n"/>
      <c r="AO185" s="19" t="n"/>
      <c r="AP185" s="19" t="n"/>
      <c r="AQ185" s="16" t="inlineStr">
        <is>
          <t>Plankton / microorganism monitoring — Mollusk</t>
        </is>
      </c>
      <c r="AR185" s="16" t="inlineStr">
        <is>
          <t>Jiang, Zhibing; Du, Ping; Liao, Yibo; Liu, Qiang; Chen, Quanzhen; Shou, Lu; Zeng, Jiangning; Chen, Jianfang</t>
        </is>
      </c>
      <c r="AS185" s="16" t="inlineStr">
        <is>
          <t>Important real-world paper showing oyster farming as a mitigation tool for thermal-discharge-induced algal blooms in a eutrophic subtropical bay. Confounded by thermal-discharge factor but design (OF vs CA in same thermal envelope) controls for that. After culture-raft removal, no significant differences between former-OF and CA — direct evidence the effect is the farming activity itself. Companion to Jiang 2012 (v15 R43), Jiang 2016 (#38 = R128), Jiang 2019a/b further work. Strong reference for MEL practitioners thinking about bivalve farming as ecological-restoration intervention. | v1.4 refinement: WQ 1.2.1 narrowed to DO (paper lists oxygen among measured physico-chemical variables).  |  Migration (one-indicator-per-row, 2026-09-04): split from jiang_2019 -&gt; {jiang_2019_wq121, jiang_2019_wq211, jiang_2019_wq212}. This row = jiang_2019_wq212 (WQ 2.1.2 — Microorganisms). Candidate: AK/N/Q blanked and I/K/W/O/P provisional; per-indicator method text, tier/cost/effort and match adjudication to be finalised at generation. Combined parent I/AK/N/Q retained in v37 (pre-split).  |  [2026-10-13 Rule 15 cost re-rate, batch 7] Framework basis: Mol WQ 2.1.2: farm + 2 neighbouring non-farm refs; seasonal + diurnal, fixed-time reading (4 visits); 3 locations × 4 visits × 3 replicates = 36. Microscope counts at a partner lab (route from the practitioner note); the old-vs-new-farm comparison is above the Framework minimum. Prior O: 'Medium — multi-cruise institutional campaign'.  |  [2026-10-13 method-summary pass] I, K: candidate-split text replaced after full read (prior: 'Maps to WQ 2.1.2 — Microorganisms. Candidate split…' / 'Standalone-candidate…'). N, Q: blank → filled. AA: 'Subtropical Pacific' → 'Subtropical'; AB: 'Chinese pleated oyster (Crassostrea plicatula)' → 'Other' (not in the species list; species kept in this note); AC: 'Raft / longline (oyster ropes on rafts)' → 'Raft / floating'; AD: 'Single farm (paired OF + CA in same bay)' → 'Not scale-specific' (all four were off-vocabulary). P: 'Multi-year (10 cruises 2009–2015)' → controlled phrase + detail (Sub-rule 6a). O unchanged: microscope counts at a partner lab match the batch-7 basis. L tightened to the counting step. AK written; AL High (unchanged).  |  [2026-10-16 monitoring-methods pass] AT (Monitoring Methods) set from the protocol's method summary (AK): Chlorophyll-a (water), Phytoplankton community (microscopy), Size-fractionated pigments (HPLC).</t>
        </is>
      </c>
      <c r="AT185" s="21" t="inlineStr">
        <is>
          <t>Chlorophyll-a (water), Phytoplankton community (microscopy), Size-fractionated pigments (HPLC)</t>
        </is>
      </c>
    </row>
    <row r="186">
      <c r="A186" t="inlineStr">
        <is>
          <t>Jiang, T., et al.</t>
        </is>
      </c>
      <c r="B186" t="inlineStr">
        <is>
          <t>Size-dependent depletion and community disturbance of phytoplankton under intensive oyster mariculture based on HPLC pigment analysis in Daya Bay, South China Sea</t>
        </is>
      </c>
      <c r="C186" t="inlineStr">
        <is>
          <t>Environmental Pollution</t>
        </is>
      </c>
      <c r="D186" t="n">
        <v>219</v>
      </c>
      <c r="F186" t="inlineStr">
        <is>
          <t>804-814</t>
        </is>
      </c>
      <c r="G186" t="n">
        <v>2016</v>
      </c>
      <c r="H186" t="inlineStr">
        <is>
          <t>Elsevier</t>
        </is>
      </c>
      <c r="I186" t="inlineStr">
        <is>
          <t>Maps to WQ 2.1.1 — Chlorophyll-a. Dapeng Cove, Daya Bay (South China Sea; ~7 m deep, slow currents), monthly May 2013–Jun 2014: four stations — fish farm, suspended longline oyster farm (Crassostrea angulata), cove mouth and an outer reference; triplicate surface (0.5 m) Niskin samples; 4 L size-fractionated on 20, 2.7 and 0.7 µm filters, chl-a by HPLC (sum of fractions); T, S, pH and DO by YSI 556; phytoplankton depletion index against the reference. Match: Yes.</t>
        </is>
      </c>
      <c r="J186" t="inlineStr">
        <is>
          <t>Protocol (HPLC size-fractionated phytopigment community + biomass analysis)</t>
        </is>
      </c>
      <c r="K186" t="inlineStr">
        <is>
          <t>Confirmed standalone (full read). During the culture period total chl-a in the farm area was ~60% below the reference, mostly in the &gt;20 µm fraction, while pico-sized chl-a rose — robust for WQ 2.1.1, with farm and non-farm stations through culture and non-culture periods.</t>
        </is>
      </c>
      <c r="L186" t="inlineStr">
        <is>
          <t>Partial — surface sampling and filtering are farmer-doable; chlorophyll-a extraction needs a partner lab (fluorometric gives the metric; HPLC adds size and taxa).</t>
        </is>
      </c>
      <c r="M186" t="inlineStr">
        <is>
          <t>Yes</t>
        </is>
      </c>
      <c r="N186" t="inlineStr">
        <is>
          <t>Niskin bottle (surface, 0.5 m); 4 L filtered sequentially through 20 µm nylon, GF/D (2.7 µm) and GF/F (0.7 µm) filters; liquid nitrogen and −80 °C storage; 95% methanol extraction; Agilent 1200 HPLC with C8 column and diode-array detector (22 pigment standards); YSI 556 multiparameter.</t>
        </is>
      </c>
      <c r="O186" t="inlineStr">
        <is>
          <t>Medium — ~$1.3K yr 1: $250 start-up (filtration kit $250 [est]) + $1.01K/yr (chl-a analysis 36 × $25.18 [lab fee]; filters + foil $100 [est])</t>
        </is>
      </c>
      <c r="P186" t="inlineStr">
        <is>
          <t>Year-long study (12 months) — monthly, May 2013–Jun 2014 (14 months)</t>
        </is>
      </c>
      <c r="Q186" t="inlineStr">
        <is>
          <t>Phytoplankton depletion index ([pigment] station ÷ [pigment] reference × 100 − 100); one-way ANOVA (LSD) among stations; two-way ANOVA for environmental variables; canonical correspondence analysis (CANOCO 4.5).</t>
        </is>
      </c>
      <c r="R186" t="inlineStr">
        <is>
          <t>No — Paywalled (Elsevier)</t>
        </is>
      </c>
      <c r="S186" t="inlineStr">
        <is>
          <t>Full PDF</t>
        </is>
      </c>
      <c r="T186" t="inlineStr">
        <is>
          <t>https://doi.org/10.1016/j.envpol.2016.07.058</t>
        </is>
      </c>
      <c r="U186" t="inlineStr">
        <is>
          <t>Poorly flushed cove with dense oyster stock (300–400 ind m⁻²) and an adjacent fish farm; the farm species is Crassostrea angulata (not in the species vocabulary, tagged Other). Fluorometric chl-a gives the Framework metric more cheaply than HPLC; GF/D filters may underestimate picoplankton.</t>
        </is>
      </c>
      <c r="V186" t="inlineStr">
        <is>
          <t>Original list</t>
        </is>
      </c>
      <c r="W186" s="42" t="inlineStr">
        <is>
          <t>3 — Partnership</t>
        </is>
      </c>
      <c r="X186" t="inlineStr">
        <is>
          <t>Mollusk</t>
        </is>
      </c>
      <c r="Y186" t="inlineStr">
        <is>
          <t>Water Quality</t>
        </is>
      </c>
      <c r="Z186" t="inlineStr">
        <is>
          <t>WQ 2.1.1 — Chlorophyll-a</t>
        </is>
      </c>
      <c r="AA186" t="inlineStr">
        <is>
          <t>Subtropical Pacific</t>
        </is>
      </c>
      <c r="AB186" t="inlineStr">
        <is>
          <t>Other</t>
        </is>
      </c>
      <c r="AC186" t="inlineStr">
        <is>
          <t>Longline (surface)</t>
        </is>
      </c>
      <c r="AD186" t="inlineStr">
        <is>
          <t>Single bay</t>
        </is>
      </c>
      <c r="AE186" t="inlineStr">
        <is>
          <t>Variable / seasonal</t>
        </is>
      </c>
      <c r="AF186" t="inlineStr">
        <is>
          <t>Monoculture</t>
        </is>
      </c>
      <c r="AG186" t="inlineStr">
        <is>
          <t>Water chemistry</t>
        </is>
      </c>
      <c r="AH186" t="inlineStr">
        <is>
          <t>Not algae-specific</t>
        </is>
      </c>
      <c r="AI186" t="inlineStr">
        <is>
          <t>Shallow nearshore (2–10 m)</t>
        </is>
      </c>
      <c r="AJ186" t="inlineStr">
        <is>
          <t>Sheltered</t>
        </is>
      </c>
      <c r="AK186" s="16" t="inlineStr">
        <is>
          <t>To see whether your oyster farm is drawing down phytoplankton, collect surface water (about 0.5 m) in clean bottles at [3] points within the farm and at [3] points in each of [2] reference areas in the same water body outside the farm's influence (for example toward the bay mouth and offshore), once per season at the same tide state and time of day, both while oysters are on the lines and when they are out. Filter a measured volume of each sample through glass-fibre filters, keep the filters dark and frozen, and send them to a partner lab for chlorophyll-a. Compare farm with reference as a depletion index (farm ÷ reference × 100 − 100). Splitting the sample through 20 µm and 2.7 µm filters as well shows which sizes the oysters remove — in the source the large cells dropped most while the smallest increased.</t>
        </is>
      </c>
      <c r="AL186" s="17" t="inlineStr">
        <is>
          <t>High</t>
        </is>
      </c>
      <c r="AM186" s="18" t="inlineStr">
        <is>
          <t>jiang_2016_wq211</t>
        </is>
      </c>
      <c r="AN186" s="19" t="n"/>
      <c r="AO186" s="19" t="n"/>
      <c r="AP186" s="19" t="n"/>
      <c r="AQ186" s="16" t="inlineStr">
        <is>
          <t>Chlorophyll-a monitoring — Mollusk</t>
        </is>
      </c>
      <c r="AR186" s="16" t="inlineStr">
        <is>
          <t>Jiang, Tao; Chen, Feiyu; Yu, Zonghe; Lu, Lin; Wang, Zhaohui</t>
        </is>
      </c>
      <c r="AS186" s="16" t="inlineStr">
        <is>
          <t>Different Jiang from R43/R126 (Z-B Jiang group) — this is Tao Jiang's group, focused on South China Sea / Daya Bay. Methodologically important for showing size-selective grazing fingerprint in pigment data — useful for MEL practitioners designing chl-a indicator measurements where filtering signal must be distinguished from background community shifts. Sub-rule 1a-adjacent framing: HPLC pigment chemotaxonomy complements but does not replace tissue %N bioextraction.  |  Migration (one-indicator-per-row, 2026-09-04): split from jiang_2016 -&gt; {jiang_2016_wq211, jiang_2016_wq212}. This row = jiang_2016_wq211 (WQ 2.1.1 — Chlorophyll-a). Candidate: AK/N/Q blanked and I/K/W/O/P provisional; per-indicator method text, tier/cost/effort and match adjudication to be finalised at generation. Combined parent I/AK/N/Q retained in v37 (pre-split).  |  [2026-10-13 Rule 15 cost re-rate, batch 13] Framework basis: Mol WQ 2.1.1: farm + 2 adjacent non-farm refs; seasonal + diurnal, fixed-time reading (4 visits); 3 locations × 4 visits × 3 replicates = 36. Lab chl-a on field-filtered samples; fluorometric chl-a gives the same metric as the paper's HPLC at lower cost. Prior O: 'Medium–High — HPLC partner lab + multi-month sampling'.  |  [2026-10-16 method-summary pass] Full read (Peter's PDF). S → 'Full PDF'. I, K: candidate-split text replaced; Match Yes. L → Partial. W: '2 — Researcher' → '3 — Partnership' (Rule 14; partner-lab chl-a); fill → T3 pale green. AG → 'Water chemistry'; AB → 'Other' (C. angulata; was a non-vocabulary 'Hong Kong oyster / Pacific oyster'); AC → 'Longline (surface)'. N, Q, U filled; P → Year-long + detail. O: 'Medium — ~$2.3K' → 'Medium — ~$1.3K' (surface samples at 0.5 m need no water sampler — standing call; Rule 15 basis unchanged, 36 samples). AK written; AL Med → High.  |  [2026-10-16 monitoring-methods pass] AT (Monitoring Methods) set from the protocol's method summary (AK): Chlorophyll-a (water).</t>
        </is>
      </c>
      <c r="AT186" s="21" t="inlineStr">
        <is>
          <t>Chlorophyll-a (water)</t>
        </is>
      </c>
    </row>
    <row r="187">
      <c r="A187" s="21" t="inlineStr">
        <is>
          <t>Jiang, T., et al.</t>
        </is>
      </c>
      <c r="B187" s="21" t="inlineStr">
        <is>
          <t>Size-dependent depletion and community disturbance of phytoplankton under intensive oyster mariculture based on HPLC pigment analysis in Daya Bay, South China Sea</t>
        </is>
      </c>
      <c r="C187" s="21" t="inlineStr">
        <is>
          <t>Environmental Pollution</t>
        </is>
      </c>
      <c r="D187" s="21" t="n">
        <v>219</v>
      </c>
      <c r="E187" s="21" t="n"/>
      <c r="F187" s="21" t="inlineStr">
        <is>
          <t>804-814</t>
        </is>
      </c>
      <c r="G187" s="21" t="n">
        <v>2016</v>
      </c>
      <c r="H187" s="21" t="inlineStr">
        <is>
          <t>Elsevier</t>
        </is>
      </c>
      <c r="I187" s="21" t="inlineStr">
        <is>
          <t>Maps to WQ 2.1.2 — Microorganisms. Dapeng Cove, Daya Bay (South China Sea; ~7 m deep, slow currents), monthly May 2013–Jun 2014: four stations — fish farm, suspended longline oyster farm (Crassostrea angulata), cove mouth and an outer reference; triplicate surface (0.5 m) Niskin samples: size-fractionated (&gt;20, 2.7–20, &lt;2.7 µm) diagnostic pigments by HPLC (fucoxanthin, peridinin, 19′-hex-fucoxanthin, prasinoxanthin, zeaxanthin and others) for diatoms, dinoflagellates, prymnesiophytes, prasinophytes and cyanobacteria, plus flow cytometry of picoeukaryotes and Synechococcus. Match: Yes.</t>
        </is>
      </c>
      <c r="J187" s="21" t="inlineStr">
        <is>
          <t>Protocol (HPLC size-fractionated phytopigment community + biomass analysis)</t>
        </is>
      </c>
      <c r="K187" s="21" t="inlineStr">
        <is>
          <t>Confirmed standalone (full read). Pigment chemotaxonomy and flow cytometry tracked community shifts at farm vs reference: micro-sized diatoms and dinoflagellates were depleted in the farm area while picoeukaryotes (prasinophytes) were enriched — robust for WQ 2.1.2.</t>
        </is>
      </c>
      <c r="L187" s="21" t="inlineStr">
        <is>
          <t>Partial — surface sampling and filtering are farmer-doable; HPLC pigments (and flow cytometry) need a partner lab.</t>
        </is>
      </c>
      <c r="M187" s="21" t="inlineStr">
        <is>
          <t>Yes</t>
        </is>
      </c>
      <c r="N187" s="21" t="inlineStr">
        <is>
          <t>Niskin bottle (surface, 0.5 m); 4 L filtered sequentially through 20 µm nylon, GF/D (2.7 µm) and GF/F (0.7 µm) filters; liquid nitrogen and −80 °C storage; 95% methanol extraction; Agilent 1200 HPLC with C8 column and diode-array detector (22 pigment standards); YSI 556 multiparameter; FACSCalibur flow cytometer (2% formaldehyde-fixed samples, liquid nitrogen).</t>
        </is>
      </c>
      <c r="O187" s="21" t="inlineStr">
        <is>
          <t>Medium — ~$3.4K yr 1: $250 start-up (filtration kit $250 [est]) + $3.11K/yr (HPLC pigments 36 × $83.50 [lab fee]; filters + foil $100 [est])</t>
        </is>
      </c>
      <c r="P187" s="21" t="inlineStr">
        <is>
          <t>Year-long study (12 months) — monthly, May 2013–Jun 2014 (14 months)</t>
        </is>
      </c>
      <c r="Q187" s="21" t="inlineStr">
        <is>
          <t>Depletion index per pigment and size class against the reference; one-way ANOVA (LSD); Pearson correlations of picoeukaryote counts with pico-sized pigments; canonical correspondence analysis (CANOCO 4.5).</t>
        </is>
      </c>
      <c r="R187" s="21" t="inlineStr">
        <is>
          <t>No — Paywalled (Elsevier)</t>
        </is>
      </c>
      <c r="S187" s="21" t="inlineStr">
        <is>
          <t>Full PDF</t>
        </is>
      </c>
      <c r="T187" s="21" t="inlineStr">
        <is>
          <t>https://doi.org/10.1016/j.envpol.2016.07.058</t>
        </is>
      </c>
      <c r="U187" s="21" t="inlineStr">
        <is>
          <t>Pigments resolve algal groups, not species; Synechococcus followed temperature rather than farming. Flow-cytometry samples need fixing and liquid-nitrogen storage. Farm species Crassostrea angulata (tagged Other).</t>
        </is>
      </c>
      <c r="V187" s="21" t="inlineStr">
        <is>
          <t>Original list</t>
        </is>
      </c>
      <c r="W187" s="41" t="inlineStr">
        <is>
          <t>3 — Partnership</t>
        </is>
      </c>
      <c r="X187" s="21" t="inlineStr">
        <is>
          <t>Mollusk</t>
        </is>
      </c>
      <c r="Y187" s="21" t="inlineStr">
        <is>
          <t>Water Quality</t>
        </is>
      </c>
      <c r="Z187" s="21" t="inlineStr">
        <is>
          <t>WQ 2.1.2 — Microorganisms</t>
        </is>
      </c>
      <c r="AA187" s="21" t="inlineStr">
        <is>
          <t>Subtropical Pacific</t>
        </is>
      </c>
      <c r="AB187" s="21" t="inlineStr">
        <is>
          <t>Other</t>
        </is>
      </c>
      <c r="AC187" s="21" t="inlineStr">
        <is>
          <t>Longline (surface)</t>
        </is>
      </c>
      <c r="AD187" s="21" t="inlineStr">
        <is>
          <t>Single bay</t>
        </is>
      </c>
      <c r="AE187" s="21" t="inlineStr">
        <is>
          <t>Variable / seasonal</t>
        </is>
      </c>
      <c r="AF187" s="21" t="inlineStr">
        <is>
          <t>Monoculture</t>
        </is>
      </c>
      <c r="AG187" s="21" t="inlineStr">
        <is>
          <t>Water chemistry</t>
        </is>
      </c>
      <c r="AH187" s="21" t="inlineStr">
        <is>
          <t>Not algae-specific</t>
        </is>
      </c>
      <c r="AI187" s="21" t="inlineStr">
        <is>
          <t>Shallow nearshore (2–10 m)</t>
        </is>
      </c>
      <c r="AJ187" s="21" t="inlineStr">
        <is>
          <t>Sheltered</t>
        </is>
      </c>
      <c r="AK187" s="16" t="inlineStr">
        <is>
          <t>To see how your oyster farm shifts the make-up of the phytoplankton, collect surface water (about 0.5 m) at [3] points within the farm and [3] points in each of [2] reference areas in the same water body outside the farm's influence, once per season at the same tide state and time of day. Filter measured volumes through 20 µm, 2.7 µm and 0.7 µm filters in sequence, freeze them at once (−80 °C or liquid nitrogen) and send them to a partner lab for HPLC pigments, which separate diatoms, dinoflagellates, flagellates, green picoplankton and cyanobacteria by their marker pigments. Compare each group and size class between farm and reference. In the source the farm removed large diatoms and dinoflagellates while small green picoplankton increased; a fixed sample for flow cytometry adds picoplankton counts.</t>
        </is>
      </c>
      <c r="AL187" s="17" t="inlineStr">
        <is>
          <t>High</t>
        </is>
      </c>
      <c r="AM187" s="18" t="inlineStr">
        <is>
          <t>jiang_2016_wq212</t>
        </is>
      </c>
      <c r="AN187" s="19" t="n"/>
      <c r="AO187" s="19" t="n"/>
      <c r="AP187" s="19" t="n"/>
      <c r="AQ187" s="16" t="inlineStr">
        <is>
          <t>Plankton / microorganism monitoring — Mollusk</t>
        </is>
      </c>
      <c r="AR187" s="16" t="inlineStr">
        <is>
          <t>Jiang, Tao; Chen, Feiyu; Yu, Zonghe; Lu, Lin; Wang, Zhaohui</t>
        </is>
      </c>
      <c r="AS187" s="16" t="inlineStr">
        <is>
          <t>Different Jiang from R43/R126 (Z-B Jiang group) — this is Tao Jiang's group, focused on South China Sea / Daya Bay. Methodologically important for showing size-selective grazing fingerprint in pigment data — useful for MEL practitioners designing chl-a indicator measurements where filtering signal must be distinguished from background community shifts. Sub-rule 1a-adjacent framing: HPLC pigment chemotaxonomy complements but does not replace tissue %N bioextraction.  |  Migration (one-indicator-per-row, 2026-09-04): split from jiang_2016 -&gt; {jiang_2016_wq211, jiang_2016_wq212}. This row = jiang_2016_wq212 (WQ 2.1.2 — Microorganisms). Candidate: AK/N/Q blanked and I/K/W/O/P provisional; per-indicator method text, tier/cost/effort and match adjudication to be finalised at generation. Combined parent I/AK/N/Q retained in v37 (pre-split).  |  [2026-10-13 Rule 15 cost re-rate, batch 13] Framework basis: Mol WQ 2.1.2: farm + 2 neighbouring non-farm refs; seasonal + diurnal, fixed-time reading (4 visits); 3 locations × 4 visits × 3 replicates = 36. HPLC pigment chemotaxonomy (the paper's community method) at a partner lab on field-filtered samples; fee is a 2019 list price. Prior O: 'Medium–High — HPLC partner lab + multi-month sampling'.  |  [2026-10-16 method-summary pass] Full read (Peter's PDF). S → 'Full PDF'. I, K: candidate-split text replaced; Match Yes. L → Partial. W: '2 — Researcher' → '3 — Partnership' (Rule 14; partner-lab HPLC); fill → T3 pale green. AG → 'Water chemistry'; AB → 'Other'; AC → 'Longline (surface)'. N, Q, U filled; P → Year-long + detail. O: 'Medium — ~$4.4K' → 'Medium — ~$3.4K' (surface samples need no water sampler — standing call). AK written; AL Med → High.  |  [2026-10-16 monitoring-methods pass] AT (Monitoring Methods) set from the protocol's method summary (AK): Phytoplankton community (microscopy), Flow cytometry, Size-fractionated pigments (HPLC).</t>
        </is>
      </c>
      <c r="AT187" s="21" t="inlineStr">
        <is>
          <t>Phytoplankton community (microscopy), Flow cytometry, Size-fractionated pigments (HPLC)</t>
        </is>
      </c>
    </row>
    <row r="188">
      <c r="A188" t="inlineStr">
        <is>
          <t>Rahman, M. A., et al.</t>
        </is>
      </c>
      <c r="B188" t="inlineStr">
        <is>
          <t>Analysis of the seasonal impact of three marine bivalves on seston particles in water column</t>
        </is>
      </c>
      <c r="C188" t="inlineStr">
        <is>
          <t>Journal of Experimental Marine Biology and Ecology</t>
        </is>
      </c>
      <c r="D188" t="n">
        <v>522</v>
      </c>
      <c r="F188" t="inlineStr">
        <is>
          <t>151251</t>
        </is>
      </c>
      <c r="G188" t="n">
        <v>2020</v>
      </c>
      <c r="H188" t="inlineStr">
        <is>
          <t>Elsevier</t>
        </is>
      </c>
      <c r="I188" t="inlineStr">
        <is>
          <t>Maps to WQ 1.3.1 — Rate of water filtration. Laboratory feeding trials with natural seston pumped from the Coffin Bay oyster zone (South Australia) in four seasons (Nov 2016–Aug 2017): 10 Pacific oysters or 10 Mediterranean mussels (50–60 mm) or 20 mud cockles (30–40 mm) on a frame in 20 L containers (triplicate, plus animal-free controls) for 10 h; particle removal by flow cytometry (picoplankton, bacteria, viruses) and microscopy (diatoms, dinoflagellates); filtration rates per individual for particles &gt;8 µm and &lt;5 µm. Match: Partial — individual lab rates by particle size, not a farm filtration rate; usable as seasonal species-specific rates in the Framework's model route.</t>
        </is>
      </c>
      <c r="J188" t="inlineStr">
        <is>
          <t>Protocol (paired laboratory + field clearance-rate / capture-efficiency assays on natural seston)</t>
        </is>
      </c>
      <c r="K188" t="inlineStr">
        <is>
          <t>Confirmed standalone (full read). Gives seasonal, species-specific filtration rates and size selectivity for three South Australian bivalves (oysters and mussels cleared large particles, cockles also small ones) — usable for WQ 1.3.1 only as rates applied to farm biomass (Partial: static batch trials; some negative rates).</t>
        </is>
      </c>
      <c r="L188" t="inlineStr">
        <is>
          <t>Yes — a desk calculation from stock numbers and per-animal filtration rates (the source's or the TNC clearance-rate tool's); the source's laboratory trials need flow cytometry.</t>
        </is>
      </c>
      <c r="M188" t="inlineStr">
        <is>
          <t>Yes</t>
        </is>
      </c>
      <c r="N188" t="inlineStr">
        <is>
          <t>20 L containers with plastic frames and temperature control; diaphragm hand pump (water from 1–1.2 m); FACSCanto II flow cytometer (glutaraldehyde-fixed samples, SYBR Green I); 5 µm polycarbonate filtration, Lugol's iodine, Sedgewick-Rafter chamber and phase-contrast microscope. Desk route: farm stock records and per-individual filtration rates.</t>
        </is>
      </c>
      <c r="O188" t="inlineStr">
        <is>
          <t>Low — ~$0 yr 1: no start-up cost + no recurring cost</t>
        </is>
      </c>
      <c r="P188" t="inlineStr">
        <is>
          <t>One-time (no sampling — desk-based) — rates from four seasonal 10 h laboratory trials</t>
        </is>
      </c>
      <c r="Q188" t="inlineStr">
        <is>
          <t>Two-way ANOVA (season × species) with Tukey HSD, or Kruskal–Wallis; percentage removal against controls; filtration rate by particle-size class (SPSS 20).</t>
        </is>
      </c>
      <c r="R188" t="inlineStr">
        <is>
          <t>No — Paywalled (Elsevier)</t>
        </is>
      </c>
      <c r="S188" t="inlineStr">
        <is>
          <t>Full PDF</t>
        </is>
      </c>
      <c r="T188" t="inlineStr">
        <is>
          <t>https://doi.org/10.1016/j.jembe.2019.151251</t>
        </is>
      </c>
      <c r="U188" t="inlineStr">
        <is>
          <t>Rates come from 10 h static containers (food depletes during the trial) on 50–60 mm animals, so they are indicative; some size classes gave negative rates. The paper makes no farm-scale estimate.</t>
        </is>
      </c>
      <c r="V188" t="inlineStr">
        <is>
          <t>Original list</t>
        </is>
      </c>
      <c r="W188" s="40" t="inlineStr">
        <is>
          <t>4 — Practitioner</t>
        </is>
      </c>
      <c r="X188" t="inlineStr">
        <is>
          <t>Mollusk</t>
        </is>
      </c>
      <c r="Y188" t="inlineStr">
        <is>
          <t>Water Quality</t>
        </is>
      </c>
      <c r="Z188" t="inlineStr">
        <is>
          <t>WQ 1.3.1 — Rate of water filtration</t>
        </is>
      </c>
      <c r="AA188" t="inlineStr">
        <is>
          <t>Temperate Pacific</t>
        </is>
      </c>
      <c r="AB188" t="inlineStr">
        <is>
          <t>Pacific oyster (Crassostrea / Magallana gigas), Mediterranean mussel (Mytilus galloprovincialis), Native clam — other / unspecified</t>
        </is>
      </c>
      <c r="AC188" t="inlineStr">
        <is>
          <t>Mixed</t>
        </is>
      </c>
      <c r="AD188" t="inlineStr">
        <is>
          <t>Single bay (Coffin Bay, SA)</t>
        </is>
      </c>
      <c r="AE188" t="inlineStr">
        <is>
          <t>Variable / seasonal</t>
        </is>
      </c>
      <c r="AF188" t="inlineStr">
        <is>
          <t>Monoculture</t>
        </is>
      </c>
      <c r="AG188" t="inlineStr">
        <is>
          <t>Modelling</t>
        </is>
      </c>
      <c r="AH188" t="inlineStr">
        <is>
          <t>Not algae-specific</t>
        </is>
      </c>
      <c r="AI188" t="inlineStr">
        <is>
          <t>Shallow nearshore (2–10 m)</t>
        </is>
      </c>
      <c r="AJ188" t="inlineStr">
        <is>
          <t>Sheltered</t>
        </is>
      </c>
      <c r="AK188" s="16" t="inlineStr">
        <is>
          <t>To estimate how much water your stock filters, count or estimate the number of animals on the farm (from stocking and mortality records) and their average size. Multiply the number by a per-animal filtration rate for your species and season — the source's laboratory rates for Pacific oysters, Mediterranean mussels and mud cockles fed natural Coffin Bay water, or allometric rates from the TNC clearance-rate estimation tool for your animals' size — and report litres filtered per hour for the farm, using the season that matches the period you report. The source measured rates over 10 hours in 20 L containers on 50–60 mm animals and found oysters and mussels mainly cleared particles larger than about 5 µm while cockles also took small ones, so the result is an estimate of potential filtration, not a measured farm rate.</t>
        </is>
      </c>
      <c r="AL188" s="17" t="inlineStr">
        <is>
          <t>High</t>
        </is>
      </c>
      <c r="AM188" s="18" t="inlineStr">
        <is>
          <t>rahman_2020_wq131</t>
        </is>
      </c>
      <c r="AN188" s="19" t="n"/>
      <c r="AO188" s="19" t="n"/>
      <c r="AP188" s="19" t="n"/>
      <c r="AQ188" s="16" t="inlineStr">
        <is>
          <t>Water-filtration / clearance-rate measurement — Mollusk</t>
        </is>
      </c>
      <c r="AR188" s="16" t="inlineStr">
        <is>
          <t>Rahman, M A; Henderson, S; Miller-Ezzy, P A; Li, X X; Qin, J G</t>
        </is>
      </c>
      <c r="AS188" s="16" t="inlineStr">
        <is>
          <t>Sub-rule 1b boundary case — primarily a physiology paper, but the seston-particle measurements and chl-a depletion in chambers provide MEL-relevant quantification of filtering capacity per species. Useful for parameterising mass-balance / carrying-capacity models that depend on species-specific clearance rates. Coffin Bay site connects to broader South Australian shellfish industry. | v1.4 refinement: Added WQ 1.3.1 (Rate of water filtration) — clearance-rate methodology is mollusc-specific WQ 1.3.1 indicator; v1.4 addition. CRs measured per species across natural seston assemblages.  |  Migration (one-indicator-per-row, 2026-09-04): split from rahman_2020 -&gt; {rahman_2020_wq131, rahman_2020_wq211, rahman_2020_wq212}. This row = rahman_2020_wq131 (WQ 1.3.1 — Rate of water filtration). Candidate: AK/N/Q blanked and I/K/W/O/P provisional; per-indicator method text, tier/cost/effort and match adjudication to be finalised at generation. Combined parent I/AK/N/Q retained in v37 (pre-split).  |  [2026-10-13 Rule 15 cost re-rate, batch 13] Framework basis: Mol WQ 1.3.1: farmed biomass at a point in time; desk-based. The paper's per-species clearance rates applied to the farm's standing biomass (the Framework's suggested species-specific model route, e.g. TNC's clearance-rate estimation tool); the lab flow-through assay and particle counter are research-only and not costed. Prior O: 'Medium — specialised flow-through setup + particle-counting instrumentation'.  |  [2026-10-16 method-summary pass] Full read (Peter's PDF). S → 'Full PDF'. I, K: candidate-split text replaced (the study is a static 20 L batch trial, not flow-through); Match Partial (lab rates, desk model route). L → Yes. W: '2 — Researcher' → '4 — Practitioner' (Rule 14; desk calculation, as other WQ 1.3.1 model-route rows); fill → T4 lime. AG → 'Modelling'; AB, AC → vocabulary values (cockle as 'Native clam — other / unspecified'). N, Q, U filled; P → desk. O unchanged ($0). AK written; AL Med → High.  |  [2026-10-16 method-summary pass] Peter's call (2026-10-16): Partial kept.  |  [2026-10-16 monitoring-methods pass] AT (Monitoring Methods) set from the protocol's method summary (AK): Bivalve condition index / growth.</t>
        </is>
      </c>
      <c r="AT188" s="21" t="inlineStr">
        <is>
          <t>Bivalve condition index / growth</t>
        </is>
      </c>
    </row>
    <row r="189">
      <c r="A189" t="inlineStr">
        <is>
          <t>Ysebaert, T., et al.</t>
        </is>
      </c>
      <c r="B189" t="inlineStr">
        <is>
          <t>Habitat modification and coastal protection by ecosystem-engineering reef-building bivalves</t>
        </is>
      </c>
      <c r="C189" t="inlineStr">
        <is>
          <t>Goods and Services of Marine Bivalves (book; eds. Smaal, Ferreira, Grant, Petersen, Strand)</t>
        </is>
      </c>
      <c r="F189" t="inlineStr">
        <is>
          <t>253-273</t>
        </is>
      </c>
      <c r="G189" t="n">
        <v>2018</v>
      </c>
      <c r="H189" t="inlineStr">
        <is>
          <t>Springer (Open Access)</t>
        </is>
      </c>
      <c r="I189" t="inlineStr">
        <is>
          <t>Synthesis chapter on ecosystem-engineering effects of reef-building bivalves — oysters and mussels — on intertidal/subtidal coastal environments. Documents how 3D bivalve reef structures alter local hydrodynamics and sediment-morphology far beyond the reef boundary (up to hundreds of metres), provide habitat for associated species, and contribute to shoreline stabilisation + erosion control. Two case studies: (1) Eastern oyster (Crassostrea virginica) reefs for shoreline protection in coastal Alabama, USA; (2) Crassostrea gigas reefs as protection against tidal flat erosion in the Oosterschelde, The Netherlands (Walles 2015 work). Argued as nature-based solutions for climate adaptation. Maps to MEL H&amp;B 1.1.1 (epibiota — reef structures), H&amp;B 1.4.1 (sediment biogeochemistry / dynamics), H&amp;B 2.1.1 (community composition supported by reef structure).</t>
        </is>
      </c>
      <c r="J189" t="inlineStr">
        <is>
          <t>Reference (synthesis chapter with embedded case-study protocols)</t>
        </is>
      </c>
      <c r="K189" t="inlineStr">
        <is>
          <t>Yes — the embedded case studies follow standard reef-establishment + monitoring protocols; the chapter is a methodological + framework synthesis useful for restoration practitioners.</t>
        </is>
      </c>
      <c r="L189" t="inlineStr">
        <is>
          <t>Partial — reef establishment is operational; structured monitoring requires partnership.</t>
        </is>
      </c>
      <c r="M189" t="inlineStr">
        <is>
          <t>Yes</t>
        </is>
      </c>
      <c r="N189" t="inlineStr">
        <is>
          <t>Reef-building substrates (oyster castles, gabion bags, reef balls); standard habitat-monitoring (epibiota cover, infaunal cores, RTK elevation surveys)</t>
        </is>
      </c>
      <c r="O189" t="inlineStr">
        <is>
          <t>Medium–High — multi-year operational monitoring</t>
        </is>
      </c>
      <c r="P189" t="inlineStr">
        <is>
          <t>Multi-year</t>
        </is>
      </c>
      <c r="Q189" t="inlineStr">
        <is>
          <t>Before/after + reef/control contrasts; sediment elevation modelling</t>
        </is>
      </c>
      <c r="R189" t="inlineStr">
        <is>
          <t>Yes — Open access (Springer SpringerOpen)</t>
        </is>
      </c>
      <c r="S189" t="inlineStr">
        <is>
          <t>Abstract + DOI metadata</t>
        </is>
      </c>
      <c r="T189" t="inlineStr">
        <is>
          <t>https://doi.org/10.1007/978-3-319-96776-9_13</t>
        </is>
      </c>
      <c r="U189" t="inlineStr">
        <is>
          <t>A framework reference for restoration-oriented reef monitoring and coastal-protection benefit.</t>
        </is>
      </c>
      <c r="V189" t="inlineStr">
        <is>
          <t>Original list</t>
        </is>
      </c>
      <c r="W189" s="7" t="inlineStr">
        <is>
          <t>2 — Researcher</t>
        </is>
      </c>
      <c r="X189" t="inlineStr">
        <is>
          <t>Mollusk</t>
        </is>
      </c>
      <c r="Y189" t="inlineStr">
        <is>
          <t>Habitat &amp; Biodiversity, Climate Change</t>
        </is>
      </c>
      <c r="Z189" t="inlineStr">
        <is>
          <t>CC 3.1.1 — Wave attenuation / coastal protection, H&amp;B 1.1.1 — Epibiota, H&amp;B 1.4.1 — Sediment, H&amp;B 2.1.1 — Community composition</t>
        </is>
      </c>
      <c r="AA189" t="inlineStr">
        <is>
          <t>Temperate Atlantic + Subtropical Atlantic/Gulf</t>
        </is>
      </c>
      <c r="AB189" t="inlineStr">
        <is>
          <t>Eastern oyster (Crassostrea virginica), Pacific oyster (Crassostrea / Magallana gigas), Blue mussel (Mytilus edulis)</t>
        </is>
      </c>
      <c r="AC189" t="inlineStr">
        <is>
          <t>Reef / on-bottom structure</t>
        </is>
      </c>
      <c r="AD189" t="inlineStr">
        <is>
          <t>Multi-site (synthesis of 2 case studies)</t>
        </is>
      </c>
      <c r="AE189" t="inlineStr">
        <is>
          <t>Variable / seasonal</t>
        </is>
      </c>
      <c r="AF189" t="inlineStr">
        <is>
          <t>Monoculture</t>
        </is>
      </c>
      <c r="AG189" t="inlineStr">
        <is>
          <t>Visual survey, Benthic infauna sampling, Sediment sampling</t>
        </is>
      </c>
      <c r="AH189" t="inlineStr">
        <is>
          <t>Not algae-specific</t>
        </is>
      </c>
      <c r="AI189" t="inlineStr">
        <is>
          <t>Intertidal / very shallow (&lt; 2 m)</t>
        </is>
      </c>
      <c r="AJ189" t="inlineStr">
        <is>
          <t>Exposed (deliberately, for coastal-protection function)</t>
        </is>
      </c>
      <c r="AK189" s="16" t="inlineStr">
        <is>
          <t>This synthesis documents how reef-building bivalves reshape local hydrodynamics and sediment morphology (sometimes hundreds of metres beyond the reef), provide habitat and deliver coastal-protection services. It embeds standard reef-establishment and monitoring approaches (epibiota cover, infaunal cores, RTK sediment-elevation surveys, before/after reef-versus-control contrasts). Use it as a framework reference for restoration-oriented reef monitoring and coastal-protection benefit.</t>
        </is>
      </c>
      <c r="AL189" s="17" t="inlineStr">
        <is>
          <t>Ref</t>
        </is>
      </c>
      <c r="AM189" s="18" t="inlineStr">
        <is>
          <t>ysebaert_2018</t>
        </is>
      </c>
      <c r="AN189" s="19" t="n"/>
      <c r="AO189" s="19" t="n"/>
      <c r="AP189" s="19" t="n"/>
      <c r="AQ189" s="16" t="inlineStr">
        <is>
          <t>Bivalve-Reef Coastal Protection &amp; Ecosystem Engineering (Synthesis)</t>
        </is>
      </c>
      <c r="AR189" s="16" t="inlineStr">
        <is>
          <t>Ysebaert, Tom; Walles, Brenda; Haner, Judy; Hancock, Boze</t>
        </is>
      </c>
      <c r="AS189" s="16" t="inlineStr">
        <is>
          <t>Distinct from v14 R80 Ysebaert 2009 (Tom Ysebaert's earlier ESM/J Sea Res paper on different topic) — new row added. This 2018 chapter is one of the most cited syntheses on bivalve-reef coastal-protection ecosystem services. Companion to Walles 2015 (Oosterschelde) and to the Alabama TNC oyster-reef program. Useful framework reference for MEL practitioners assessing H&amp;B + coastal-protection indicators. | v1.4 refinement: Added CC 3.1.1 (Wave attenuation / coastal protection) — chapter's primary deliverable is the ecosystem-engineering coastal-protection function of reef-building bivalves; v1.4 added this indicator (mollusc CC Goal 3). Y now multi-tagged H&amp;B + CC.  [v21 retier] Reference cannot hold an execution tier (T3/T4); reclassified to T2 as a usable framework synthesis.</t>
        </is>
      </c>
      <c r="AT189" s="21" t="n"/>
    </row>
    <row r="190">
      <c r="A190" s="21" t="inlineStr">
        <is>
          <t>Goedefroo, N., et al.</t>
        </is>
      </c>
      <c r="B190" s="21" t="inlineStr">
        <is>
          <t>Nature-based solutions in a sandy foreshore: A biological assessment of a longline mussel aquaculture technique to establish subtidal reefs</t>
        </is>
      </c>
      <c r="C190" s="21" t="inlineStr">
        <is>
          <t>Ecological Engineering</t>
        </is>
      </c>
      <c r="D190" s="21" t="n">
        <v>185</v>
      </c>
      <c r="E190" s="21" t="n"/>
      <c r="F190" s="21" t="inlineStr">
        <is>
          <t>106807</t>
        </is>
      </c>
      <c r="G190" s="21" t="n">
        <v>2022</v>
      </c>
      <c r="H190" s="21" t="inlineStr">
        <is>
          <t>Elsevier</t>
        </is>
      </c>
      <c r="I190" s="21" t="inlineStr">
        <is>
          <t>Maps to H&amp;B 1.1.1 — Epibiota. Biofouling on 50 cm top and bottom segments of mussel dropper lines, rinsed over a 0.5 mm sieve, mussels counted and fouling identified to the lowest taxon; diver video gave abundance classes for larger epifauna. Match: Exact.</t>
        </is>
      </c>
      <c r="J190" s="21" t="inlineStr">
        <is>
          <t>Protocol (NBS / mussel-reef pilot with biological monitoring program)</t>
        </is>
      </c>
      <c r="K190" s="21" t="inlineStr">
        <is>
          <t>Confirmed standalone (full read). Three top and three bottom segments per line cohort, subsampled for abundant amphipods, identified and counted — robust for H&amp;B 1.1.1 (Exact; single retrieval after ~2 years; video counts are semi-quantitative).</t>
        </is>
      </c>
      <c r="L190" s="21" t="inlineStr">
        <is>
          <t>Partial — cutting and bagging line segments is farmer-doable; sorting and identifying the fouling community under a stereo microscope needs a partner lab.</t>
        </is>
      </c>
      <c r="M190" s="21" t="inlineStr">
        <is>
          <t>Yes</t>
        </is>
      </c>
      <c r="N190" s="21" t="inlineStr">
        <is>
          <t>Knife; buckets with 10% formalin (or ethanol); 0.5 mm sieve; quarterising tray for subsampling; partner-lab stereo microscope; underwater camera for video surveys.</t>
        </is>
      </c>
      <c r="O190" s="21" t="inlineStr">
        <is>
          <t>Medium — ~$10.1K yr 1: no start-up cost + $10.1K/yr (epibiota sorting + ID 24 × $414 [est]; preservative + jars $150 [est])</t>
        </is>
      </c>
      <c r="P190" s="21" t="inlineStr">
        <is>
          <t>Single deployment (hours to 1 day) — dropper lines retrieved once (Jan 2020) after ~2 years, plus seven dive video surveys</t>
        </is>
      </c>
      <c r="Q190" s="21" t="inlineStr">
        <is>
          <t>Abundance per taxon per 50 cm segment (top vs bottom, line cohort); linear mixed models with likelihood-ratio tests; SIMPER (R).</t>
        </is>
      </c>
      <c r="R190" s="21" t="inlineStr">
        <is>
          <t>Yes — Open access via ILVO institutional deposit; journal article paywalled</t>
        </is>
      </c>
      <c r="S190" s="21" t="inlineStr">
        <is>
          <t>Full PDF</t>
        </is>
      </c>
      <c r="T190" s="21" t="inlineStr">
        <is>
          <t>https://doi.org/10.1016/j.ecoleng.2022.106807</t>
        </is>
      </c>
      <c r="U190" s="21" t="inlineStr">
        <is>
          <t>Tests whether the mussel-farming technique can be redirected from harvest to coastal protection.</t>
        </is>
      </c>
      <c r="V190" s="21" t="inlineStr">
        <is>
          <t>Original list</t>
        </is>
      </c>
      <c r="W190" s="9" t="inlineStr">
        <is>
          <t>3 — Partnership</t>
        </is>
      </c>
      <c r="X190" s="21" t="inlineStr">
        <is>
          <t>Mollusk</t>
        </is>
      </c>
      <c r="Y190" s="21" t="inlineStr">
        <is>
          <t>Habitat &amp; Biodiversity</t>
        </is>
      </c>
      <c r="Z190" s="21" t="inlineStr">
        <is>
          <t>H&amp;B 1.1.1 — Epibiota</t>
        </is>
      </c>
      <c r="AA190" s="21" t="inlineStr">
        <is>
          <t>Temperate Atlantic</t>
        </is>
      </c>
      <c r="AB190" s="21" t="inlineStr">
        <is>
          <t>Blue mussel (Mytilus edulis)</t>
        </is>
      </c>
      <c r="AC190" s="21" t="inlineStr">
        <is>
          <t>Suspended longline (mussel)</t>
        </is>
      </c>
      <c r="AD190" s="21" t="inlineStr">
        <is>
          <t>Small (&lt;1 ha)</t>
        </is>
      </c>
      <c r="AE190" s="21" t="inlineStr">
        <is>
          <t>Variable / seasonal</t>
        </is>
      </c>
      <c r="AF190" s="21" t="inlineStr">
        <is>
          <t>Monoculture</t>
        </is>
      </c>
      <c r="AG190" s="21" t="inlineStr">
        <is>
          <t>Benthic infauna sampling, Visual survey</t>
        </is>
      </c>
      <c r="AH190" s="21" t="inlineStr">
        <is>
          <t>Not algae-specific</t>
        </is>
      </c>
      <c r="AI190" s="21" t="inlineStr">
        <is>
          <t>Shallow nearshore (2–10 m)</t>
        </is>
      </c>
      <c r="AJ190" s="21" t="inlineStr">
        <is>
          <t>Sheltered</t>
        </is>
      </c>
      <c r="AK190" s="16" t="inlineStr">
        <is>
          <t>To measure the fouling community on your mussel lines, cut a [50 cm] segment from the top and another from the bottom of [3] dropper lines within the farm and [3] at its edge, once per season, bagging each separately in 10% formalin or ethanol. Rinse each segment over a 0.5 mm sieve, count and remove the mussels, scrape off all other attached growth, and have a partner lab identify and count it, subsampling very abundant groups such as amphipods. Report taxa and abundances per 50 cm of line, top and bottom separately. Diver or camera passes along the lines add a quick picture of larger animals (crabs, fish, starfish), but only as rough abundance classes.</t>
        </is>
      </c>
      <c r="AL190" s="17" t="inlineStr">
        <is>
          <t>High</t>
        </is>
      </c>
      <c r="AM190" s="18" t="inlineStr">
        <is>
          <t>goedefroo_2022_hb111</t>
        </is>
      </c>
      <c r="AN190" s="19" t="n"/>
      <c r="AO190" s="19" t="n"/>
      <c r="AP190" s="19" t="n"/>
      <c r="AQ190" s="16" t="inlineStr">
        <is>
          <t>Epibiota / fouling survey — Mollusk</t>
        </is>
      </c>
      <c r="AR190" s="16" t="inlineStr">
        <is>
          <t>Goedefroo, Nanou; Benham, Peter; Debusschere, Elisabeth; Deneudt, Klaas; Mascart, Thibaud; Semeraro, Alexia; Sterckx, Tomas; Van Hoey, Gert</t>
        </is>
      </c>
      <c r="AS190" s="16" t="inlineStr">
        <is>
          <t>Pilot-project paper for the Coastbusters NBS program (Belgium). Important methodological contribution: testing whether longline mussel aquaculture technique can be redirected from harvest goal to coastal-protection goal. Companion to Coastbusters 2.0 (Boulenger 2023 ff.). Useful for MEL practitioners thinking about repurposing aquaculture infrastructure for habitat + coastal-protection services. | v1.4 refinement: Added CC 3.1.1 — explicit nature-based-solution paper for coastal erosion mitigation off Belgian coast; matches mollusc CC Obj 3.1 directly. Y now multi-tagged H&amp;B + CC.  |  Migration (one-indicator-per-row, 2026-09-04): split from goedefroo_2022 -&gt; {goedefroo_2022_cc311, goedefroo_2022_hb111, goedefroo_2022_hb131, goedefroo_2022_hb211}. This row = goedefroo_2022_hb111 (H&amp;B 1.1.1 — Epibiota). Candidate: AK/N/Q blanked and I/K/W/O/P provisional; per-indicator method text, tier/cost/effort and match adjudication to be finalised at generation. Combined parent I/AK/N/Q retained in v37 (pre-split).  |  [2026-10-13 review] goedefroo_2022_cc311 deleted on review (2026-10-13, Peter's decision): the paper does not measure wave attenuation.  |  [2026-10-13 method-summary pass] I, K: candidate-split text replaced after full read (prior: 'Maps to H&amp;B 1.1.1 — Epibiota. Candidate split…' / 'Standalone-candidate…'). S: 'Abstract + Methods (fetched)' → 'Full PDF'. AC 'Longline / suspended (with dropper lines to seabed)' → 'Suspended longline (mussel)'; AD 'Single farm (pilot)' → 'Small (&lt;1 ha)' (one 50 m longline); AI 'Subtidal sandy foreshore (2–10 m)' → 'Shallow nearshore (2–10 m)'; AJ 'Mixed exposure' → 'Sheltered' (source: relatively sheltered by the coastal banks) — off-vocabulary values. N, Q: blank → filled. L: 'Partial — line deployment is operational; …' → fouling-specific. P: 'Multi-year (3 yr pilot)' → single line retrieval (this indicator). O: 'Medium–High — multi-year pilot infrastructure + biological monitoring' → computed ~$10.1K (Mol H&amp;B 1.1.1 within + edge × 4 seasonal visits × 3 = 24 lab-sorted segments), labelled Medium following your 2026-10-13 call on the goedefroo per-sample-fee rows. AK written; AL High.  |  [2026-10-16 monitoring-methods pass] AT (Monitoring Methods) set from the protocol's method summary (AK): Time-lapse / GoPro cameras, Epibiota on lines / structures, Epifauna on crop / rope.</t>
        </is>
      </c>
      <c r="AT190" s="21" t="inlineStr">
        <is>
          <t>Time-lapse / GoPro cameras, Epibiota on lines / structures, Epifauna on crop / rope</t>
        </is>
      </c>
    </row>
    <row r="191">
      <c r="A191" s="21" t="inlineStr">
        <is>
          <t>Goedefroo, N., et al.</t>
        </is>
      </c>
      <c r="B191" s="21" t="inlineStr">
        <is>
          <t>Nature-based solutions in a sandy foreshore: A biological assessment of a longline mussel aquaculture technique to establish subtidal reefs</t>
        </is>
      </c>
      <c r="C191" s="21" t="inlineStr">
        <is>
          <t>Ecological Engineering</t>
        </is>
      </c>
      <c r="D191" s="21" t="n">
        <v>185</v>
      </c>
      <c r="E191" s="21" t="n"/>
      <c r="F191" s="21" t="inlineStr">
        <is>
          <t>106807</t>
        </is>
      </c>
      <c r="G191" s="21" t="n">
        <v>2022</v>
      </c>
      <c r="H191" s="21" t="inlineStr">
        <is>
          <t>Elsevier</t>
        </is>
      </c>
      <c r="I191" s="21" t="inlineStr">
        <is>
          <t>Maps to H&amp;B 1.3.1 — Benthic infauna. BACI grab survey: nine fixed stations under the mussel line and four control grabs ~50 m outside, Van Veen 0.1 m², 1 mm sieve, macrobenthos identified. Match: Exact.</t>
        </is>
      </c>
      <c r="J191" s="21" t="inlineStr">
        <is>
          <t>Protocol (NBS / mussel-reef pilot with biological monitoring program)</t>
        </is>
      </c>
      <c r="K191" s="21" t="inlineStr">
        <is>
          <t>Confirmed standalone (full read). One pre-installation and four post-installation campaigns, rose-bengal-stained and sorted in the lab, epifauna and meiofauna excluded — robust for H&amp;B 1.3.1 (Exact).</t>
        </is>
      </c>
      <c r="L191" s="21" t="inlineStr">
        <is>
          <t>Partial — grab sampling and 1 mm sieving from a boat are farmer-doable; staining, sorting and identifying the macrobenthos need a partner lab.</t>
        </is>
      </c>
      <c r="M191" s="21" t="inlineStr">
        <is>
          <t>Yes</t>
        </is>
      </c>
      <c r="N191" s="21" t="inlineStr">
        <is>
          <t>Van Veen grab (0.1 m²); 1 mm sieve; 6% formaldehyde in seawater; rose bengal; partner-lab sorting and identification.</t>
        </is>
      </c>
      <c r="O191" s="21" t="inlineStr">
        <is>
          <t>Medium — ~$12K yr 1: $1.77K start-up (Petite Ponar grab $1.57K [list]; grab line $50 [est]; 1 mm sieve $150 [est]) + $10.1K/yr (infauna sort + ID 24 × $414 [lab fee]; preservative + jars $150 [est])</t>
        </is>
      </c>
      <c r="P191" s="21" t="inlineStr">
        <is>
          <t>Multi-year monitoring (&gt; 1 year) — five grab campaigns, Jun 2017–Oct 2019 (one before installation)</t>
        </is>
      </c>
      <c r="Q191" s="21" t="inlineStr">
        <is>
          <t>Density, richness and composition; linear mixed models (fixed: treatment; random: campaign) with likelihood-ratio tests; SIMPER on square-root abundances (R).</t>
        </is>
      </c>
      <c r="R191" s="21" t="inlineStr">
        <is>
          <t>Yes — Open access via ILVO institutional deposit; journal article paywalled</t>
        </is>
      </c>
      <c r="S191" s="21" t="inlineStr">
        <is>
          <t>Full PDF</t>
        </is>
      </c>
      <c r="T191" s="21" t="inlineStr">
        <is>
          <t>https://doi.org/10.1016/j.ecoleng.2022.106807</t>
        </is>
      </c>
      <c r="U191" s="21" t="inlineStr">
        <is>
          <t>Tests whether the mussel-farming technique can be redirected from harvest to coastal protection.</t>
        </is>
      </c>
      <c r="V191" s="21" t="inlineStr">
        <is>
          <t>Original list</t>
        </is>
      </c>
      <c r="W191" s="9" t="inlineStr">
        <is>
          <t>3 — Partnership</t>
        </is>
      </c>
      <c r="X191" s="21" t="inlineStr">
        <is>
          <t>Mollusk</t>
        </is>
      </c>
      <c r="Y191" s="21" t="inlineStr">
        <is>
          <t>Habitat &amp; Biodiversity</t>
        </is>
      </c>
      <c r="Z191" s="21" t="inlineStr">
        <is>
          <t>H&amp;B 1.3.1 — Benthic infauna</t>
        </is>
      </c>
      <c r="AA191" s="21" t="inlineStr">
        <is>
          <t>Temperate Atlantic</t>
        </is>
      </c>
      <c r="AB191" s="21" t="inlineStr">
        <is>
          <t>Blue mussel (Mytilus edulis)</t>
        </is>
      </c>
      <c r="AC191" s="21" t="inlineStr">
        <is>
          <t>Suspended longline (mussel)</t>
        </is>
      </c>
      <c r="AD191" s="21" t="inlineStr">
        <is>
          <t>Small (&lt;1 ha)</t>
        </is>
      </c>
      <c r="AE191" s="21" t="inlineStr">
        <is>
          <t>Variable / seasonal</t>
        </is>
      </c>
      <c r="AF191" s="21" t="inlineStr">
        <is>
          <t>Monoculture</t>
        </is>
      </c>
      <c r="AG191" s="21" t="inlineStr">
        <is>
          <t>Benthic infauna sampling, Visual survey</t>
        </is>
      </c>
      <c r="AH191" s="21" t="inlineStr">
        <is>
          <t>Not algae-specific</t>
        </is>
      </c>
      <c r="AI191" s="21" t="inlineStr">
        <is>
          <t>Shallow nearshore (2–10 m)</t>
        </is>
      </c>
      <c r="AJ191" s="21" t="inlineStr">
        <is>
          <t>Sheltered</t>
        </is>
      </c>
      <c r="AK191" s="16" t="inlineStr">
        <is>
          <t>To check the bottom-living animals under and around your mussel lines, take grabs (about 0.1 m²) at [9] fixed stations under the lines and [4] about 50 m outside the farm on either side, once per season, ideally with one round before installation. Sieve on a 1 mm mesh on board, preserve in formalin, and have a partner lab stain, sort and identify the macrobenthos, leaving out epifauna and meiofauna that a grab samples poorly. Compare density, species richness and community composition between farm and outside stations; with only a few control grabs, pool them as one reference location.</t>
        </is>
      </c>
      <c r="AL191" s="17" t="inlineStr">
        <is>
          <t>High</t>
        </is>
      </c>
      <c r="AM191" s="18" t="inlineStr">
        <is>
          <t>goedefroo_2022_hb131</t>
        </is>
      </c>
      <c r="AN191" s="19" t="n"/>
      <c r="AO191" s="19" t="n"/>
      <c r="AP191" s="19" t="n"/>
      <c r="AQ191" s="16" t="inlineStr">
        <is>
          <t>Benthic-infauna sampling — Mollusk</t>
        </is>
      </c>
      <c r="AR191" s="16" t="inlineStr">
        <is>
          <t>Goedefroo, Nanou; Benham, Peter; Debusschere, Elisabeth; Deneudt, Klaas; Mascart, Thibaud; Semeraro, Alexia; Sterckx, Tomas; Van Hoey, Gert</t>
        </is>
      </c>
      <c r="AS191" s="16" t="inlineStr">
        <is>
          <t>Pilot-project paper for the Coastbusters NBS program (Belgium). Important methodological contribution: testing whether longline mussel aquaculture technique can be redirected from harvest goal to coastal-protection goal. Companion to Coastbusters 2.0 (Boulenger 2023 ff.). Useful for MEL practitioners thinking about repurposing aquaculture infrastructure for habitat + coastal-protection services. | v1.4 refinement: Added CC 3.1.1 — explicit nature-based-solution paper for coastal erosion mitigation off Belgian coast; matches mollusc CC Obj 3.1 directly. Y now multi-tagged H&amp;B + CC.  |  Migration (one-indicator-per-row, 2026-09-04): split from goedefroo_2022 -&gt; {goedefroo_2022_cc311, goedefroo_2022_hb111, goedefroo_2022_hb131, goedefroo_2022_hb211}. This row = goedefroo_2022_hb131 (H&amp;B 1.3.1 — Benthic infauna). Candidate: AK/N/Q blanked and I/K/W/O/P provisional; per-indicator method text, tier/cost/effort and match adjudication to be finalised at generation. Combined parent I/AK/N/Q retained in v37 (pre-split).  |  [2026-10-13 Rule 15 cost re-rate, batch 7] Framework basis: Mol H&amp;B 1.3.1: under/within farm + edge; seasonal (4 visits); 2 locations × 4 visits × 3 replicates = 24. Macrobenthos grabs from the farm boat (2–10 m sandy foreshore), partner-lab sort + ID; Petite Ponar as the boat-deployable grab; dropper-line material trials are outside the indicator; method from method note. Band set to Medium on review (2026-10-13, Peter's decision): the total rests on per-sample ID fees; the AS records the computed total. goedefroo_2022_cc311 deleted on review (2026-10-13, Peter's decision): the paper does not measure wave attenuation. Prior O: 'Medium–High — multi-year pilot infrastructure + biological monitoring'.  |  [2026-10-13 method-summary pass] I, K: candidate-split text replaced after full read (prior: 'Maps to H&amp;B 1.3.1 — Benthic infauna. Candidate split…' / 'Standalone-candidate…'). S: 'Abstract + Methods (fetched)' → 'Full PDF'. AC 'Longline / suspended (with dropper lines to seabed)' → 'Suspended longline (mussel)'; AD 'Single farm (pilot)' → 'Small (&lt;1 ha)' (one 50 m longline); AI 'Subtidal sandy foreshore (2–10 m)' → 'Shallow nearshore (2–10 m)'; AJ 'Mixed exposure' → 'Sheltered' (source: relatively sheltered by the coastal banks) — off-vocabulary values. N, Q: blank → filled. L: 'Partial — line deployment is operational; …' → infauna-specific. P: 'Multi-year (3 yr pilot)' → controlled phrase + detail. O: sieve corrected 500 µm → 1 mm (source; same price), total and your Medium label unchanged. AK written; AL High.  |  [2026-10-16 monitoring-methods pass] AT (Monitoring Methods) set from the protocol's method summary (AK): Benthic infauna community, Epifauna on crop / rope.</t>
        </is>
      </c>
      <c r="AT191" s="21" t="inlineStr">
        <is>
          <t>Benthic infauna community, Epifauna on crop / rope</t>
        </is>
      </c>
    </row>
    <row r="192">
      <c r="A192" s="21" t="inlineStr">
        <is>
          <t>Goedefroo, N., et al.</t>
        </is>
      </c>
      <c r="B192" s="21" t="inlineStr">
        <is>
          <t>Nature-based solutions in a sandy foreshore: A biological assessment of a longline mussel aquaculture technique to establish subtidal reefs</t>
        </is>
      </c>
      <c r="C192" s="21" t="inlineStr">
        <is>
          <t>Ecological Engineering</t>
        </is>
      </c>
      <c r="D192" s="21" t="n">
        <v>185</v>
      </c>
      <c r="E192" s="21" t="n"/>
      <c r="F192" s="21" t="inlineStr">
        <is>
          <t>106807</t>
        </is>
      </c>
      <c r="G192" s="21" t="n">
        <v>2022</v>
      </c>
      <c r="H192" s="21" t="inlineStr">
        <is>
          <t>Elsevier</t>
        </is>
      </c>
      <c r="I192" s="21" t="inlineStr">
        <is>
          <t>Maps to H&amp;B 2.1.1 — Community composition. Seabed macrobenthos under the mussel line compared with control grabs ~50 m outside, before and after installation (BACI). Match: Partial — infauna only; one small pilot line.</t>
        </is>
      </c>
      <c r="J192" s="21" t="inlineStr">
        <is>
          <t>Protocol (NBS / mussel-reef pilot with biological monitoring program)</t>
        </is>
      </c>
      <c r="K192" s="21" t="inlineStr">
        <is>
          <t>Confirmed standalone (full read). Community composition farm vs control and before vs after, with SIMPER identifying the taxa driving differences — robust for H&amp;B 2.1.1 (Partial; comparative, few control replicates).</t>
        </is>
      </c>
      <c r="L192" s="21" t="inlineStr">
        <is>
          <t>Partial — grab sampling and 1 mm sieving from a boat are farmer-doable; staining, sorting and identifying the macrobenthos need a partner lab.</t>
        </is>
      </c>
      <c r="M192" s="21" t="inlineStr">
        <is>
          <t>Yes</t>
        </is>
      </c>
      <c r="N192" s="21" t="inlineStr">
        <is>
          <t>Van Veen grab (0.1 m²); 1 mm sieve; formaldehyde; rose bengal; partner-lab identification; diver video for reef extent (context).</t>
        </is>
      </c>
      <c r="O192" s="21" t="inlineStr">
        <is>
          <t>Medium — ~$22K yr 1: $1.77K start-up (Petite Ponar grab $1.57K [list]; grab line $50 [est]; 1 mm sieve $150 [est]) + $20K/yr (infauna sort + ID 48 × $414 [lab fee]; preservative + jars $150 [est])</t>
        </is>
      </c>
      <c r="P192" s="21" t="inlineStr">
        <is>
          <t>Multi-year monitoring (&gt; 1 year) — five grab campaigns, Jun 2017–Oct 2019 (one before installation)</t>
        </is>
      </c>
      <c r="Q192" s="21" t="inlineStr">
        <is>
          <t>BACI comparison; linear mixed models with likelihood-ratio tests; SIMPER on square-root abundances (R).</t>
        </is>
      </c>
      <c r="R192" s="21" t="inlineStr">
        <is>
          <t>Yes — Open access via ILVO institutional deposit; journal article paywalled</t>
        </is>
      </c>
      <c r="S192" s="21" t="inlineStr">
        <is>
          <t>Full PDF</t>
        </is>
      </c>
      <c r="T192" s="21" t="inlineStr">
        <is>
          <t>https://doi.org/10.1016/j.ecoleng.2022.106807</t>
        </is>
      </c>
      <c r="U192" s="21" t="inlineStr">
        <is>
          <t>Tests whether the mussel-farming technique can be redirected from harvest to coastal protection.</t>
        </is>
      </c>
      <c r="V192" s="21" t="inlineStr">
        <is>
          <t>Original list</t>
        </is>
      </c>
      <c r="W192" s="9" t="inlineStr">
        <is>
          <t>3 — Partnership</t>
        </is>
      </c>
      <c r="X192" s="21" t="inlineStr">
        <is>
          <t>Mollusk</t>
        </is>
      </c>
      <c r="Y192" s="21" t="inlineStr">
        <is>
          <t>Habitat &amp; Biodiversity</t>
        </is>
      </c>
      <c r="Z192" s="21" t="inlineStr">
        <is>
          <t>H&amp;B 2.1.1 — Community composition</t>
        </is>
      </c>
      <c r="AA192" s="21" t="inlineStr">
        <is>
          <t>Temperate Atlantic</t>
        </is>
      </c>
      <c r="AB192" s="21" t="inlineStr">
        <is>
          <t>Blue mussel (Mytilus edulis)</t>
        </is>
      </c>
      <c r="AC192" s="21" t="inlineStr">
        <is>
          <t>Suspended longline (mussel)</t>
        </is>
      </c>
      <c r="AD192" s="21" t="inlineStr">
        <is>
          <t>Small (&lt;1 ha)</t>
        </is>
      </c>
      <c r="AE192" s="21" t="inlineStr">
        <is>
          <t>Variable / seasonal</t>
        </is>
      </c>
      <c r="AF192" s="21" t="inlineStr">
        <is>
          <t>Monoculture</t>
        </is>
      </c>
      <c r="AG192" s="21" t="inlineStr">
        <is>
          <t>Benthic infauna sampling, Visual survey</t>
        </is>
      </c>
      <c r="AH192" s="21" t="inlineStr">
        <is>
          <t>Not algae-specific</t>
        </is>
      </c>
      <c r="AI192" s="21" t="inlineStr">
        <is>
          <t>Shallow nearshore (2–10 m)</t>
        </is>
      </c>
      <c r="AJ192" s="21" t="inlineStr">
        <is>
          <t>Sheltered</t>
        </is>
      </c>
      <c r="AK192" s="16" t="inlineStr">
        <is>
          <t>To compare the seabed community under your farm with the surrounding seabed, take grabs (0.1 m², sieved at 1 mm) at fixed stations under the lines and at [2] reference sites about 50 m outside on either side, with a baseline round before installation if possible, and have a partner lab identify the macrobenthos. Repeat once a year and compare composition between farm and reference and against the baseline (e.g. SIMPER on square-root-transformed abundances). A mussel reef forming under the lines changes the habitat itself, so expect hard-substrate species to appear and record the reef's extent by video or diver survey alongside.</t>
        </is>
      </c>
      <c r="AL192" s="17" t="inlineStr">
        <is>
          <t>High</t>
        </is>
      </c>
      <c r="AM192" s="18" t="inlineStr">
        <is>
          <t>goedefroo_2022_hb211</t>
        </is>
      </c>
      <c r="AN192" s="19" t="n"/>
      <c r="AO192" s="19" t="n"/>
      <c r="AP192" s="19" t="n"/>
      <c r="AQ192" s="16" t="inlineStr">
        <is>
          <t>Community-composition survey — Mollusk</t>
        </is>
      </c>
      <c r="AR192" s="16" t="inlineStr">
        <is>
          <t>Goedefroo, Nanou; Benham, Peter; Debusschere, Elisabeth; Deneudt, Klaas; Mascart, Thibaud; Semeraro, Alexia; Sterckx, Tomas; Van Hoey, Gert</t>
        </is>
      </c>
      <c r="AS192" s="16" t="inlineStr">
        <is>
          <t>Pilot-project paper for the Coastbusters NBS program (Belgium). Important methodological contribution: testing whether longline mussel aquaculture technique can be redirected from harvest goal to coastal-protection goal. Companion to Coastbusters 2.0 (Boulenger 2023 ff.). Useful for MEL practitioners thinking about repurposing aquaculture infrastructure for habitat + coastal-protection services. | v1.4 refinement: Added CC 3.1.1 — explicit nature-based-solution paper for coastal erosion mitigation off Belgian coast; matches mollusc CC Obj 3.1 directly. Y now multi-tagged H&amp;B + CC.  |  Migration (one-indicator-per-row, 2026-09-04): split from goedefroo_2022 -&gt; {goedefroo_2022_cc311, goedefroo_2022_hb111, goedefroo_2022_hb131, goedefroo_2022_hb211}. This row = goedefroo_2022_hb211 (H&amp;B 2.1.1 — Community composition). Candidate: AK/N/Q blanked and I/K/W/O/P provisional; per-indicator method text, tier/cost/effort and match adjudication to be finalised at generation. Combined parent I/AK/N/Q retained in v37 (pre-split).  |  [2026-10-13 Rule 15 cost re-rate, batch 7] Framework basis: Mol H&amp;B 2.1.1: 2 farm strata + 2 nearby non-farm refs (sandy seabed); seasonal (4 visits); 4 locations × 4 visits × 3 replicates = 48. Paired macrobenthos grabs (the paper's community method), partner-lab sort + ID; a visual survey of the dropper lines would add little gear cost, so the band holds; method from method note. Band set to Medium on review (2026-10-13, Peter's decision): the total rests on per-sample ID fees; the AS records the computed total. goedefroo_2022_cc311 deleted on review (2026-10-13, Peter's decision): the paper does not measure wave attenuation. Prior O: 'Medium–High — multi-year pilot infrastructure + biological monitoring'.  |  [2026-10-13 method-summary pass] I, K: candidate-split text replaced after full read (prior: 'Maps to H&amp;B 2.1.1 — Community composition. Candidate split…' / 'Standalone-candidate…'). S: 'Abstract + Methods (fetched)' → 'Full PDF'. AC 'Longline / suspended (with dropper lines to seabed)' → 'Suspended longline (mussel)'; AD 'Single farm (pilot)' → 'Small (&lt;1 ha)' (one 50 m longline); AI 'Subtidal sandy foreshore (2–10 m)' → 'Shallow nearshore (2–10 m)'; AJ 'Mixed exposure' → 'Sheltered' (source: relatively sheltered by the coastal banks) — off-vocabulary values. N, Q: blank → filled. L → infauna-specific. P → controlled phrase + detail. O: sieve corrected 500 µm → 1 mm, total and your Medium label unchanged. AK written; AL High.  |  [2026-10-16 monitoring-methods pass] AT (Monitoring Methods) set from the protocol's method summary (AK): Benthic infauna community, Visual census / belt transects.</t>
        </is>
      </c>
      <c r="AT192" s="21" t="inlineStr">
        <is>
          <t>Benthic infauna community, Visual census / belt transects</t>
        </is>
      </c>
    </row>
    <row r="193">
      <c r="A193" s="21" t="inlineStr">
        <is>
          <t>Lin, J., et al.</t>
        </is>
      </c>
      <c r="B193" s="21" t="inlineStr">
        <is>
          <t>Hydrodynamic effect of a large offshore mussel suspended aquaculture farm</t>
        </is>
      </c>
      <c r="C193" s="21" t="inlineStr">
        <is>
          <t>Aquaculture</t>
        </is>
      </c>
      <c r="D193" s="21" t="n">
        <v>451</v>
      </c>
      <c r="E193" s="21" t="n"/>
      <c r="F193" s="21" t="inlineStr">
        <is>
          <t>147-155</t>
        </is>
      </c>
      <c r="G193" s="21" t="n">
        <v>2016</v>
      </c>
      <c r="H193" s="21" t="inlineStr">
        <is>
          <t>Elsevier</t>
        </is>
      </c>
      <c r="I193" s="21" t="inlineStr">
        <is>
          <t>Maps to WQ 2.1.1 — Chlorophyll-a. CTD casts with a fluorometer (chlorophyll fluorescence, salinity, temperature) at three stations inside an 8 km² suspended mussel farm and two outside, completed within 2 hours. Match: Partial — one-day vertical snapshot of in vivo fluorescence.</t>
        </is>
      </c>
      <c r="J193" s="21" t="inlineStr">
        <is>
          <t>Protocol (paired in-farm vs out-of-farm ADCP + CTD + chl-a fluorescence vertical profiles)</t>
        </is>
      </c>
      <c r="K193" s="21" t="inlineStr">
        <is>
          <t>Confirmed standalone (full read). Five CTD-fluorometer profiles across the farm boundary on one day showed surface chlorophyll fluorescence about 80% lower inside the farm, with relatively higher values near the bed — robust for farm vs adjacent chlorophyll (Partial: single survey; fluorescence uncalibrated). The paper's main work is ADCP current measurement, which belongs to the flow characterisation, not this indicator.</t>
        </is>
      </c>
      <c r="L193" s="21" t="inlineStr">
        <is>
          <t>Partial — lowering a fluorescence profiler at stations from a boat is farmer-doable; interpreting vertical profiles needs a partner.</t>
        </is>
      </c>
      <c r="M193" s="21" t="inlineStr">
        <is>
          <t>Yes</t>
        </is>
      </c>
      <c r="N193" s="21" t="inlineStr">
        <is>
          <t>Boat; CTD with integrated fluorometer (source: SBE 19plus with WET Labs WETStar) cast at 3 stations inside and 2 outside the farm.</t>
        </is>
      </c>
      <c r="O193" s="21" t="inlineStr">
        <is>
          <t>Medium — ~$4.1K yr 1: $4K start-up (chlorophyll fluorescence logger $4,000 [est]) + $50/yr (logger calibration consumables $50 [est])</t>
        </is>
      </c>
      <c r="P193" s="21" t="inlineStr">
        <is>
          <t>Single deployment (hours to 1 day) — five CTD fluorescence casts within 2 h (Jul 2011)</t>
        </is>
      </c>
      <c r="Q193" s="21" t="inlineStr">
        <is>
          <t>Descriptive comparison of vertical profiles (salinity, temperature, chlorophyll fluorescence) inside vs outside the farm; no statistical test for chlorophyll.</t>
        </is>
      </c>
      <c r="R193" s="21" t="inlineStr">
        <is>
          <t>No — Paywalled (Elsevier)</t>
        </is>
      </c>
      <c r="S193" s="21" t="inlineStr">
        <is>
          <t>Full PDF</t>
        </is>
      </c>
      <c r="T193" s="21" t="inlineStr">
        <is>
          <t>https://doi.org/10.1016/j.aquaculture.2015.08.039</t>
        </is>
      </c>
      <c r="U193" s="21" t="inlineStr">
        <is>
          <t>Documents how a large suspended farm acts as a porous canopy that reduces flow and can strongly deplete chlorophyll.</t>
        </is>
      </c>
      <c r="V193" s="21" t="inlineStr">
        <is>
          <t>Original list</t>
        </is>
      </c>
      <c r="W193" s="9" t="inlineStr">
        <is>
          <t>3 — Partnership</t>
        </is>
      </c>
      <c r="X193" s="21" t="inlineStr">
        <is>
          <t>Mollusk</t>
        </is>
      </c>
      <c r="Y193" s="21" t="inlineStr">
        <is>
          <t>Water Quality</t>
        </is>
      </c>
      <c r="Z193" s="21" t="inlineStr">
        <is>
          <t>WQ 2.1.1 — Chlorophyll-a</t>
        </is>
      </c>
      <c r="AA193" s="21" t="inlineStr">
        <is>
          <t>Subtropical</t>
        </is>
      </c>
      <c r="AB193" s="21" t="inlineStr">
        <is>
          <t>Blue mussel (Mytilus edulis)</t>
        </is>
      </c>
      <c r="AC193" s="21" t="inlineStr">
        <is>
          <t>Suspended longline (mussel)</t>
        </is>
      </c>
      <c r="AD193" s="21" t="inlineStr">
        <is>
          <t>Large (&gt;20 ha)</t>
        </is>
      </c>
      <c r="AE193" s="21" t="inlineStr">
        <is>
          <t>Variable / seasonal</t>
        </is>
      </c>
      <c r="AF193" s="21" t="inlineStr">
        <is>
          <t>Monoculture</t>
        </is>
      </c>
      <c r="AG193" s="21" t="inlineStr">
        <is>
          <t>Water chemistry</t>
        </is>
      </c>
      <c r="AH193" s="21" t="inlineStr">
        <is>
          <t>Not algae-specific</t>
        </is>
      </c>
      <c r="AI193" s="21" t="inlineStr">
        <is>
          <t>Coastal (10–30 m)</t>
        </is>
      </c>
      <c r="AJ193" s="21" t="inlineStr">
        <is>
          <t>Exposed</t>
        </is>
      </c>
      <c r="AK193" s="21" t="inlineStr">
        <is>
          <t>To check whether your suspended farm depletes phytoplankton, lower a chlorophyll fluorescence sensor (ideally with temperature and salinity) from the surface to near the seabed at [3] stations inside the farm and [2] outside it, finishing all casts within [2] hours on the same tide. Compare the profiles depth by depth: depletion usually shows in the layer occupied by the culture lines, while deeper water can hold more chlorophyll as particles sink. Repeat once per season. One round of casts is a snapshot, and fluorescence is a relative measure unless checked against lab chlorophyll-a samples.</t>
        </is>
      </c>
      <c r="AL193" s="21" t="inlineStr">
        <is>
          <t>High</t>
        </is>
      </c>
      <c r="AM193" s="18" t="inlineStr">
        <is>
          <t>lin_2016_wq211</t>
        </is>
      </c>
      <c r="AN193" s="19" t="n"/>
      <c r="AO193" s="19" t="n"/>
      <c r="AP193" s="19" t="n"/>
      <c r="AQ193" s="21" t="inlineStr">
        <is>
          <t>Chlorophyll-a monitoring — Mollusk</t>
        </is>
      </c>
      <c r="AR193" s="16" t="inlineStr">
        <is>
          <t>Lin, Jun; Li, Chunyan; Zhang, Shouyu</t>
        </is>
      </c>
      <c r="AS193" s="16" t="inlineStr">
        <is>
          <t>Foundational paper for documenting that suspended-bivalve farms act as porous physical canopies in the surface layer, reducing horizontal flow and inducing downwelling. The 80% chl-a depletion result is striking and matches the seston-depletion + carrying-capacity literature. Important for MEL practitioners: chl-a measurements 'inside' farms are physically distorted by reduced current — sampling design must account for canopy-induced vertical mixing. Companion to R125 Cugier 2010 (modelling), R110 Maar 2024 (modelling). | v1.4 refinement: Added CC 3.1.1 per Sub-rule 1c (v1.4) — paper measures canopy-induced flow modification which contributes to wave-energy attenuation by suspended bivalve farms; does not compute wave-decay coefficient directly, so retained under Sub-rule 1c with caveat. Y now multi-tagged WQ + CC.  |  Migration (one-indicator-per-row, 2026-09-04): split from lin_2016 -&gt; {lin_2016_cc311, lin_2016_wq211}. This row = lin_2016_wq211 (WQ 2.1.1 — Chlorophyll-a). Candidate: AK/N/Q blanked and I/K/W/O/P provisional; per-indicator method text, tier/cost/effort and match adjudication to be finalised at generation. Combined parent I/AK/N/Q retained in v37 (pre-split).  |  [2026-10-13 Rule 15 cost re-rate, batch 12] Framework basis: Mol WQ 2.1.1: farm + 2 adjacent non-farm refs; seasonal + diurnal (one logger per location); 3 locations. Sensor chl-a route, one logger per location (Peter, 2026-10-13: use an estimated logger price so these rows can be costed); the price is an evaluator estimate (quote needed) and High holds above about $3,200 a unit. Held from batch 7 pending this price. The CTD-mounted profiling fluorometer is replaced by moored loggers; ADCP work belongs to the flow characterisation. Prior O: 'Medium — ADCP + CTD suite is institutional'.  |  [2026-10-13 method-summary pass] I, K: candidate-split text replaced after full read (prior: 'Maps to WQ 2.1.1 — Chlorophyll-a. Candidate split…' / 'Standalone-candidate…'). S: 'Abstract + Methods (fetched)' → 'Full PDF'. N, Q: blank → filled. P: 'Multi-day campaign (covering tidal cycles)' → single CTD survey (the multi-day ADCP work is the flow characterisation). AA 'Subtropical Pacific' → 'Subtropical'; AB 'Mediterranean mussel (Mytilus galloprovincialis)' → 'Blue mussel (Mytilus edulis)' (source: M. edulis &gt;80%, M. coruscus the rest); AC 'Longline / suspended (offshore)' → 'Suspended longline (mussel)'; AD 'Single farm (large)' → 'Large (&gt;20 ha)' (8 km²); AG 'Water chemistry, Hydrodynamic measurement' → 'Water chemistry'; AI 'Offshore (deeper)' → 'Coastal (10–30 m)' (15–25 m) — off-vocabulary or wrong values. O: 'High — ~$12K yr 1: … chlorophyll fluorescence logger ×3 …' → Medium ~$4.1K: the source profiles one sensor across stations, so one unit (as turner_2019_wq211), not three moorings. AK written; AL High.  |  [2026-10-13 method-summary pass] Sibling row lin_2016_cc311 deleted (Peter, 2026-10-13): the source measures tidal-current reduction by ADCP, not wave attenuation (same grounds as goedefroo_2022 and ukireland_2021).  |  [2026-10-16 monitoring-methods pass] AT (Monitoring Methods) set from the protocol's method summary (AK): Temperature / salinity, Chlorophyll-a (water), Sediment chemistry (OC / TN / redox / AVS).</t>
        </is>
      </c>
      <c r="AT193" s="21" t="inlineStr">
        <is>
          <t>Temperature / salinity, Chlorophyll-a (water), Sediment chemistry (OC / TN / redox / AVS)</t>
        </is>
      </c>
    </row>
    <row r="194">
      <c r="A194" t="inlineStr">
        <is>
          <t>Briant, N., et al.</t>
        </is>
      </c>
      <c r="B194" t="inlineStr">
        <is>
          <t>Carbon and nitrogen elemental and isotopic ratios of filter-feeding bivalves along the French coasts: An assessment of specific, geographic, seasonal and multi-decadal variations</t>
        </is>
      </c>
      <c r="C194" t="inlineStr">
        <is>
          <t>Science of the Total Environment</t>
        </is>
      </c>
      <c r="D194" t="inlineStr">
        <is>
          <t>613-614</t>
        </is>
      </c>
      <c r="F194" t="inlineStr">
        <is>
          <t>196-207</t>
        </is>
      </c>
      <c r="G194" t="n">
        <v>2018</v>
      </c>
      <c r="H194" t="inlineStr">
        <is>
          <t>Elsevier</t>
        </is>
      </c>
      <c r="I194" t="inlineStr">
        <is>
          <t>ROCCH-network (Ifremer Mussel-Watch, ongoing since 1979) C, N, δ13C, δ15N analysis of bivalve soft tissues across THREE temporal scales in France: (i) SPATIAL — 189 samples from 74 stations spanning English Channel + Atlantic + Mediterranean, winter 2014, classified as littoral/estuary/bay/lagoon; (ii) SEASONAL — 4 seasons × 1998+1999 at Pointe Chemoulin, Bourgneuf-Coupelasse (AO), Cap Couronne (Med); (iii) DECADAL — every 3 years from 1987 to 2014 at 10 sites. Three species: Mytilus edulis (EC + AO), M. galloprovincialis (EC + Med), Crassostrea gigas (EC + AO). δ13C + δ15N used as food-source proxies; C/N (mol/mol) as body-condition proxy. Spatial variability tied to trophic status (oligo-Med vs meso-eutrophic EC+AO); seasonal C/N tied to mussel reproduction cycle; δ13C tied to trophic-resource variability at river-mouth sites; multi-decadal shifts in early 2000s with declining δ13C + δ15N likely linked to climate change. Maps to MEL WQ 1.1.1 (tissue bioindication) and WQ 1.2.1 (anthropogenic-N proxy via δ15N) — canonical Sub-rule 1a application.</t>
        </is>
      </c>
      <c r="J194" t="inlineStr">
        <is>
          <t>Protocol (ROCCH national bioindicator network + tissue elemental + isotopic IRMS protocol)</t>
        </is>
      </c>
      <c r="K194" t="inlineStr">
        <is>
          <t>Yes — gold-standard tissue elemental + isotopic methodology; 189 samples across 74 sites with consistent ROCCH sampling protocol since 1979; precision ≤0.2‰ for δ13C + δ15N validated against IAEA-N2, USGS-24 + casein/acetanilide standards.</t>
        </is>
      </c>
      <c r="L194" t="inlineStr">
        <is>
          <t>No — IRMS lab analysis requires specialist facility (EPOC Bordeaux in this case).</t>
        </is>
      </c>
      <c r="M194" t="inlineStr">
        <is>
          <t>Yes</t>
        </is>
      </c>
      <c r="N194" t="inlineStr">
        <is>
          <t>ROCCH sampling kit (pooled 50-mussel or 10-oyster samples per station); 24-h depuration in site water; freeze-drying + stainless-steel homogenisation; 400 µg aliquots on Carlo Erba NC2500 Elemental Analyzer + Isoprime GV Instruments IRMS; standards casein, acetanilide, IAEA-N2, USGS-24</t>
        </is>
      </c>
      <c r="O194" t="inlineStr">
        <is>
          <t>Low — ~$80 yr 1: no start-up cost + $80/yr (tissue N + P 3 × $20 [lab fee]; sample bags $20 [est])</t>
        </is>
      </c>
      <c r="P194" t="inlineStr">
        <is>
          <t>Multi-scale: seasonal (4 × 1998+1999 at 3 sites), spatial snapshot (winter 2014, 74 sites), decadal (3-yr intervals 1987–2014 at 10 sites)</t>
        </is>
      </c>
      <c r="Q194" t="inlineStr">
        <is>
          <t>Spatial: across-region and across-ecosystem-typology comparisons (Kruskal-Wallis + post-hoc); seasonal: within-site temporal contrasts; multi-decadal: trend + shift detection (Pettitt, Mann-Kendall) on 30-year series</t>
        </is>
      </c>
      <c r="R194" t="inlineStr">
        <is>
          <t>No — Paywalled (Elsevier); preprint may be available via Ifremer Archimer</t>
        </is>
      </c>
      <c r="S194" t="inlineStr">
        <is>
          <t>Full PDF</t>
        </is>
      </c>
      <c r="T194" t="inlineStr">
        <is>
          <t>https://doi.org/10.1016/j.scitotenv.2017.08.281</t>
        </is>
      </c>
      <c r="V194" t="inlineStr">
        <is>
          <t>Original list</t>
        </is>
      </c>
      <c r="W194" s="7" t="inlineStr">
        <is>
          <t>2 — Researcher</t>
        </is>
      </c>
      <c r="X194" t="inlineStr">
        <is>
          <t>Mollusk</t>
        </is>
      </c>
      <c r="Y194" t="inlineStr">
        <is>
          <t>Water Quality</t>
        </is>
      </c>
      <c r="Z194" t="inlineStr">
        <is>
          <t>WQ 1.1.1 — N and P bioextraction</t>
        </is>
      </c>
      <c r="AA194" t="inlineStr">
        <is>
          <t>Temperate Atlantic + Mediterranean</t>
        </is>
      </c>
      <c r="AB194" t="inlineStr">
        <is>
          <t>Pacific oyster (Crassostrea / Magallana gigas), Blue mussel (Mytilus edulis), Mediterranean mussel (Mytilus galloprovincialis)</t>
        </is>
      </c>
      <c r="AC194" t="inlineStr">
        <is>
          <t>Mixed (national network across multiple farm + wild-stock types)</t>
        </is>
      </c>
      <c r="AD194" t="inlineStr">
        <is>
          <t>Multi-bay national (74 stations, 3 coastal regions)</t>
        </is>
      </c>
      <c r="AE194" t="inlineStr">
        <is>
          <t>Variable / seasonal</t>
        </is>
      </c>
      <c r="AF194" t="inlineStr">
        <is>
          <t>Monoculture</t>
        </is>
      </c>
      <c r="AG194" t="inlineStr">
        <is>
          <t>Tissue analysis, Stable isotope analysis</t>
        </is>
      </c>
      <c r="AH194" t="inlineStr">
        <is>
          <t>Not algae-specific</t>
        </is>
      </c>
      <c r="AI194" t="inlineStr">
        <is>
          <t>Variable (littoral, estuary, bay, lagoon)</t>
        </is>
      </c>
      <c r="AJ194" t="inlineStr">
        <is>
          <t>Mixed exposure</t>
        </is>
      </c>
      <c r="AK194" s="16" t="inlineStr">
        <is>
          <t>To establish a multi-scale bivalve-tissue bioindicator baseline, sample pooled soft tissue of the target species at many coastal stations (following a national mussel-watch protocol), depurate briefly in site water, freeze-dry and homogenise, then analyse carbon and nitrogen content and delta-13-C/delta-15-N on an elemental analyser coupled to an IRMS against certified standards. Design the sampling across spatial (many sites in one season), seasonal (repeated within a year) and multi-decadal scales so you can run typology comparisons (Kruskal-Wallis) and trend/shift detection (Pettitt, Mann-Kendall) on the long series.</t>
        </is>
      </c>
      <c r="AL194" s="17" t="inlineStr">
        <is>
          <t>Med</t>
        </is>
      </c>
      <c r="AM194" s="18" t="inlineStr">
        <is>
          <t>briant_2018</t>
        </is>
      </c>
      <c r="AN194" s="19" t="n"/>
      <c r="AO194" s="19" t="n"/>
      <c r="AP194" s="19" t="n"/>
      <c r="AQ194" s="16" t="inlineStr">
        <is>
          <t>Multi-Scale Bivalve-Tissue C/N Isotope Bioindicator Baseline</t>
        </is>
      </c>
      <c r="AR194" s="16" t="inlineStr">
        <is>
          <t>Briant, Nicolas; Savoye, Nicolas; Chouvelon, Tiphaine; David, Valérie; Rodriguez, Samuel; Charlier, Karine; Sonke, Jeroen E; Chiffoleau, Jean François; Brach-Papa, Christophe; Knoery, Joël</t>
        </is>
      </c>
      <c r="AS194" s="16" t="inlineStr">
        <is>
          <t>Canonical Sub-rule 1a precursor to R116 Liénart 2025 — same ROCCH network (Ifremer), same research consortium (Briant himself is co-author of Liénart 2025). Briant 2018 established the cross-scale (spatial + seasonal + decadal) methodology with 189 samples across 74 sites; Liénart 2025 extended it to 1141 samples × 1981–2021 at a curated 33-station subset. Together the pair represents the deepest multi-decadal bivalve-tissue bioindication dataset in MEL-relevant literature. Companion to Carmichael 2012 (R113, USA Atlantic estuaries) and the broader Sub-rule 1a corpus. Note: added at R134 out of CSV order (after R133 #44 Shi 2020) because the PDF arrived after the rest of the chat had been processed. | v1.4 refinement: WQ 1.2.1 removed under v1.4 (tissue C/N + δ13C + δ15N only; no DO measurement). δ15N anthropogenic-N proxy framing noted in U but does not map to a v1.4 indicator.  |  [2026-10-13 Rule 15 cost re-rate, batch 13] Framework basis: Mol WQ 1.1.1: farmed biomass at harvest; farm only, no reference site; 1 locations × 1 visits × 3 replicates = 3. Tissue N + P at a partner lab; δ13C/δ15N excluded as supplementary (attribution); the national station network is above the Framework minimum. Prior O: 'Medium–High — sampling is operational (institutional); IRMS analysis is the cost driver'.  |  [2026-10-16 monitoring-methods pass] AT (Monitoring Methods) set from the protocol's method summary (AK): Stable isotopes (d13C / d15N).</t>
        </is>
      </c>
      <c r="AT194" s="21" t="inlineStr">
        <is>
          <t>Stable isotopes (d13C / d15N)</t>
        </is>
      </c>
    </row>
    <row r="195">
      <c r="A195" t="inlineStr">
        <is>
          <t>Janiak, D. (MarineGEO)</t>
        </is>
      </c>
      <c r="B195" t="inlineStr">
        <is>
          <t>MarineGEO Fouling Community Monitoring Protocol</t>
        </is>
      </c>
      <c r="C195" t="inlineStr">
        <is>
          <t>Tennenbaum Marine Observatories Network, MarineGEO</t>
        </is>
      </c>
      <c r="G195" t="n">
        <v>2021</v>
      </c>
      <c r="H195" t="inlineStr">
        <is>
          <t>Smithsonian Institution</t>
        </is>
      </c>
      <c r="I195" t="inlineStr">
        <is>
          <t>Maps to H&amp;B 1.1.1 — Epibiota. Six 13 × 13 cm PVC settlement panels per site hung horizontally, rough side down, ≥1 m below low water and ≥0.5 m off the seabed, photographed at 30, 60 and 90 days and scored for percent cover by 100-point counts; retrieved at 90 days for wet biomass and a sessile species list under a dissecting microscope, with optional mobile fauna sieved at 500 µm. Match: Yes — panels hung among the farmed stock are the stationary collectors the Framework names.</t>
        </is>
      </c>
      <c r="J195" t="inlineStr">
        <is>
          <t>Protocol</t>
        </is>
      </c>
      <c r="K195" t="inlineStr">
        <is>
          <t>Yes (full read) — standardised panels give percent cover by species or group, species richness and biomass of the colonising sessile community over a 90-day season. Panels record what colonises bare surface, an approximation of the growth on the stock itself; the source stresses that photos miss cryptic species.</t>
        </is>
      </c>
      <c r="L195" t="inlineStr">
        <is>
          <t>Yes — panels hung from farm lines, photographed and scored by broad taxonomic group with free point-count software and a guide; the source's species counts under a dissecting microscope and mobile-fauna sorting are optional lab steps.</t>
        </is>
      </c>
      <c r="M195" t="inlineStr">
        <is>
          <t>Yes</t>
        </is>
      </c>
      <c r="N195" t="inlineStr">
        <is>
          <t>13 × 13 cm PVC panels (0.5–1 cm thick, sanded on the underside), brick or PVC T-frame, rope and zip ties, coloured cable-tie labels; camera; GPS; multiparameter sonde for temperature and salinity; kitchen scale (0.1 g) for wet biomass; 500 µm sieve and 70% ethanol for mobile fauna; dissecting microscope; point-count software (CPCe, ImageJ, Paparazzi or CoralNet).</t>
        </is>
      </c>
      <c r="O195" t="inlineStr">
        <is>
          <t>Low — ~$320 yr 1: $80 start-up (field ID kit $80 [est]) + $240/yr (settlement plate 24 × $10 [est])</t>
        </is>
      </c>
      <c r="P195" t="inlineStr">
        <is>
          <t>Seasonal (1–3 months) — 90-day panel deployment in the most productive season (June–August in the northern temperate zone), photographed at 30, 60 and 90 days</t>
        </is>
      </c>
      <c r="Q195" t="inlineStr">
        <is>
          <t>Percent cover from 100 stratified random points per panel photo, scored to species and to 25 taxonomic categories (sponges, hydroids, barnacles, bryozoans, ascidians, algae, open space, etc.; points can exceed 100); species richness per panel from dissecting-microscope examination; wet-weight biomass (g) less clean-panel weight; optional mobile fauna abundance. Compared across sites, habitats and regions (no specific test).</t>
        </is>
      </c>
      <c r="R195" t="inlineStr">
        <is>
          <t>Yes — Open (DOI-published, CC)</t>
        </is>
      </c>
      <c r="S195" t="inlineStr">
        <is>
          <t>Full PDF</t>
        </is>
      </c>
      <c r="T195" t="inlineStr">
        <is>
          <t>https://doi.org/10.25573/serc.14510649.v1</t>
        </is>
      </c>
      <c r="U195" t="inlineStr">
        <is>
          <t>Built for natural hard-bottom but transfers cleanly to farm gear; where organisms are too cryptic to ID from panels, an ARMS plus DNA-metabarcoding approach is the alternative.</t>
        </is>
      </c>
      <c r="V195" t="inlineStr">
        <is>
          <t>Provided by Claude (grey/white-lit protocol search)</t>
        </is>
      </c>
      <c r="W195" s="10" t="inlineStr">
        <is>
          <t>4 — Practitioner</t>
        </is>
      </c>
      <c r="X195" t="inlineStr">
        <is>
          <t>Seaweed, Mollusk</t>
        </is>
      </c>
      <c r="Y195" t="inlineStr">
        <is>
          <t>Habitat &amp; Biodiversity</t>
        </is>
      </c>
      <c r="Z195" t="inlineStr">
        <is>
          <t>H&amp;B 1.1.1 — Epibiota</t>
        </is>
      </c>
      <c r="AA195" t="inlineStr">
        <is>
          <t>Cross-zone / global</t>
        </is>
      </c>
      <c r="AB195" t="inlineStr">
        <is>
          <t>Not species-specific</t>
        </is>
      </c>
      <c r="AC195" t="inlineStr">
        <is>
          <t>Not gear-specific</t>
        </is>
      </c>
      <c r="AD195" t="inlineStr">
        <is>
          <t>Not scale-specific</t>
        </is>
      </c>
      <c r="AE195" t="inlineStr">
        <is>
          <t>Not site-specific</t>
        </is>
      </c>
      <c r="AF195" t="inlineStr">
        <is>
          <t>Not specific</t>
        </is>
      </c>
      <c r="AG195" t="inlineStr">
        <is>
          <t>Visual survey</t>
        </is>
      </c>
      <c r="AH195" t="inlineStr">
        <is>
          <t>Not algae-specific</t>
        </is>
      </c>
      <c r="AI195" t="inlineStr">
        <is>
          <t>Not depth-specific</t>
        </is>
      </c>
      <c r="AJ195" t="inlineStr">
        <is>
          <t>Not exposure-specific</t>
        </is>
      </c>
      <c r="AK195" s="16" t="inlineStr">
        <is>
          <t>To measure what grows among your farmed stock, hang [3] settlement panels — 13 × 13 cm squares of sanded PVC, rough side facing down — from lines within the farm and [3] at the farm edge each season, at least 1 m apart and 0.5 m clear of the seabed, each labelled with a coloured cable tie. Photograph each panel face at 30, 60 and 90 days so it fills the frame. At 90 days lay 100 random points over each photo with free software (e.g. ImageJ or CPCe), record what lies under each point by group — sponges, hydroids, barnacles, mussels, tube-worms, bryozoans, sea squirts, seaweeds, open space — to get percent cover, then weigh the panel for wet biomass and hang clean ones. Compare cover and the number of groups between farm and edge across seasons; panels show what colonises bare surface rather than the growth on the stock itself, and species-level counts need a dissecting microscope.</t>
        </is>
      </c>
      <c r="AL195" s="17" t="inlineStr">
        <is>
          <t>High</t>
        </is>
      </c>
      <c r="AM195" s="18" t="inlineStr">
        <is>
          <t>smithsonianmarinegeo_2022_hb111</t>
        </is>
      </c>
      <c r="AN195" s="19" t="n"/>
      <c r="AO195" s="19" t="n"/>
      <c r="AP195" s="19" t="n"/>
      <c r="AQ195" s="16" t="inlineStr">
        <is>
          <t>Epibiota / fouling survey — Seaweed, Mollusk</t>
        </is>
      </c>
      <c r="AR195" s="16" t="inlineStr">
        <is>
          <t>Janiak, Dean</t>
        </is>
      </c>
      <c r="AS195" s="16" t="inlineStr">
        <is>
          <t>Smithsonian MarineGEO suite — the closest direct analogue to the Oyster-Reef protocol for the epibiota-on-structures case. ARMS (Autonomous Reef Monitoring Structures) is the metabarcoding-based cousin for cryptobiota where panel ID is impractical. Built for natural hard-bottom; transfers cleanly to aquaculture gear.  |  Migration (one-indicator-per-row, 2026-09-04): split from smithsonianmarinegeo_2022 -&gt; {smithsonianmarinegeo_2022_hb111, smithsonianmarinegeo_2022_hb211, smithsonianmarinegeo_2022_hb221}. This row = smithsonianmarinegeo_2022_hb111 (H&amp;B 1.1.1 — Epibiota). Candidate: AK/N/Q blanked and I/K/W/O/P provisional; per-indicator method text, tier/cost/effort and match adjudication to be finalised at generation. Combined parent I/AK/N/Q retained in v37 (pre-split).  |  [2026-10-13 Rule 15 cost re-rate, batch 7] Framework basis: Mol H&amp;B 1.1.1 (Seaweed + Mollusk; the mollusc row is the most demanding): amongst farmed biomass, within farm + edge; seasonal (4 visits); 2 locations × 4 visits × 3 replicates = 24. Settlement panels hung from farm lines, one retrieved per sample, counted and identified in the field with a guide; lab fee waived (Peter, 2026-10-13: species counts and field-identifiable taxa carry no lab fee); the ARMS + metabarcoding alternative is excluded. Prior O: 'Low–Medium — panels and gear inexpensive; cost sits in ID/processing time'.  |  [2026-10-13 method-summary pass] Full read (Peter's PDF, MarineGEO Fouling Community Monitoring Protocol 2021). A, G, C, T, AR corrected to the protocol's citation (Janiak 2021, doi:10.25573/serc.14510649.v1). I, K: candidate-split text replaced. W: 3 → 4 (Rule 14: photo point counts by broad group and field ID with a guide; lab-fee waiver applies; fill → lime). L → Yes. N, Q: blank → filled. S → Full PDF. P: controlled phrase + detail. AL Med → High. Match: Yes. O unchanged (24 panels + field ID kit match). Prior: A: 'Smithsonian MarineGEO'; G: '2022'; C: 'Smithsonian Environmental Research Center (MarineGEO Protocols)'; T: 'https://marinegeo.github.io/fouling-community.html ; collection DOI ht…'; AR: 'Smithsonian MarineGEO / Tennenbaum Marine Observatories Network'; S: 'Abstract + Methods (fetched)'; W: '3 — Partnership'; AL: 'Med'; P: 'Seasonal (1–3 months)'; L: 'Partial — panel deployment/retrieval and photography are farmer-doable…'; I: 'Maps to H&amp;B 1.1.1 — Epibiota. Candidate split from parent protocol 'sm…'; K: 'Standalone-candidate (per-indicator adequacy to be confirmed at genera…'.  |  [2026-10-13 method-summary pass] smithsonianmarinegeo_2022_hb211 deleted (Peter's call, 2026-10-13): panels sample only the sessile fouling community on a standard substrate; H&amp;B 2.1.1 covered by smithsonianmarinegeo_2022-b_hb211 (shellfish) and other T4 seaweed rows.  |  [2026-10-16 monitoring-methods pass] AT (Monitoring Methods) set from the protocol's method summary (AK): Settlement plates / artificial substrata, Bivalve condition index / growth.</t>
        </is>
      </c>
      <c r="AT195" s="21" t="inlineStr">
        <is>
          <t>Settlement plates / artificial substrata, Bivalve condition index / growth</t>
        </is>
      </c>
    </row>
    <row r="196">
      <c r="A196" s="21" t="inlineStr">
        <is>
          <t>Janiak, D. (MarineGEO)</t>
        </is>
      </c>
      <c r="B196" s="21" t="inlineStr">
        <is>
          <t>MarineGEO Fouling Community Monitoring Protocol</t>
        </is>
      </c>
      <c r="C196" s="21" t="inlineStr">
        <is>
          <t>Tennenbaum Marine Observatories Network, MarineGEO</t>
        </is>
      </c>
      <c r="D196" s="21" t="n"/>
      <c r="E196" s="21" t="n"/>
      <c r="F196" s="21" t="n"/>
      <c r="G196" s="21" t="n">
        <v>2021</v>
      </c>
      <c r="H196" s="21" t="inlineStr">
        <is>
          <t>Smithsonian Institution</t>
        </is>
      </c>
      <c r="I196" s="21" t="inlineStr">
        <is>
          <t>Maps to H&amp;B 2.2.1 — Spawning / recruitment. Panels deployed for 90 days through the most productive season record colonisation and growth of sessile species (community development), photographed at 30, 60 and 90 days, with a 90-day species list recording native or non-native origin. Match: Yes — successive photos show which sessile animals and algae are recruiting at the site.</t>
        </is>
      </c>
      <c r="J196" s="21" t="inlineStr">
        <is>
          <t>Protocol</t>
        </is>
      </c>
      <c r="K196" s="21" t="inlineStr">
        <is>
          <t>Yes (full read) — 'development' is defined as colonisation and growth over monthly intervals, which is recruitment of sessile fauna and algae onto new surface; equipment stays deployed for an extended period with successive sampling, as the Framework describes. Recruitment is detected at the site, not attributed to the farm.</t>
        </is>
      </c>
      <c r="L196" s="21" t="inlineStr">
        <is>
          <t>Yes — panels hung from farm lines, photographed and scored by broad taxonomic group with free point-count software and a guide; the source's species counts under a dissecting microscope and mobile-fauna sorting are optional lab steps.</t>
        </is>
      </c>
      <c r="M196" s="21" t="inlineStr">
        <is>
          <t>Yes</t>
        </is>
      </c>
      <c r="N196" s="21" t="inlineStr">
        <is>
          <t>13 × 13 cm PVC panels (0.5–1 cm thick, sanded on the underside), brick or PVC T-frame, rope and zip ties, coloured cable-tie labels; camera; GPS; multiparameter sonde for temperature and salinity; kitchen scale (0.1 g) for wet biomass; 500 µm sieve and 70% ethanol for mobile fauna; dissecting microscope; point-count software (CPCe, ImageJ, Paparazzi or CoralNet).</t>
        </is>
      </c>
      <c r="O196" s="21" t="inlineStr">
        <is>
          <t>Low — ~$170 yr 1: $80 start-up (field ID kit $80 [est]) + $90/yr (settlement plate 9 × $10 [est])</t>
        </is>
      </c>
      <c r="P196" s="21" t="inlineStr">
        <is>
          <t>Seasonal (1–3 months) — 90-day panel deployment in the most productive season (June–August in the northern temperate zone), photographed at 30, 60 and 90 days</t>
        </is>
      </c>
      <c r="Q196" s="21" t="inlineStr">
        <is>
          <t>Percent cover from 100 stratified random points per panel photo, scored to species and to 25 taxonomic categories (sponges, hydroids, barnacles, bryozoans, ascidians, algae, open space, etc.; points can exceed 100); species richness per panel from dissecting-microscope examination; wet-weight biomass (g) less clean-panel weight; optional mobile fauna abundance. Compared across sites, habitats and regions (no specific test).</t>
        </is>
      </c>
      <c r="R196" s="21" t="inlineStr">
        <is>
          <t>Yes — Open (DOI-published, CC)</t>
        </is>
      </c>
      <c r="S196" s="21" t="inlineStr">
        <is>
          <t>Full PDF</t>
        </is>
      </c>
      <c r="T196" s="21" t="inlineStr">
        <is>
          <t>https://doi.org/10.25573/serc.14510649.v1</t>
        </is>
      </c>
      <c r="U196" s="21" t="inlineStr">
        <is>
          <t>Built for natural hard-bottom but transfers cleanly to farm gear; where organisms are too cryptic to ID from panels, an ARMS plus DNA-metabarcoding approach is the alternative.</t>
        </is>
      </c>
      <c r="V196" s="21" t="inlineStr">
        <is>
          <t>Provided by Claude (grey/white-lit protocol search)</t>
        </is>
      </c>
      <c r="W196" s="10" t="inlineStr">
        <is>
          <t>4 — Practitioner</t>
        </is>
      </c>
      <c r="X196" s="21" t="inlineStr">
        <is>
          <t>Seaweed, Mollusk</t>
        </is>
      </c>
      <c r="Y196" s="21" t="inlineStr">
        <is>
          <t>Habitat &amp; Biodiversity</t>
        </is>
      </c>
      <c r="Z196" s="21" t="inlineStr">
        <is>
          <t>H&amp;B 2.2.1 — Spawning</t>
        </is>
      </c>
      <c r="AA196" s="21" t="inlineStr">
        <is>
          <t>Cross-zone / global</t>
        </is>
      </c>
      <c r="AB196" s="21" t="inlineStr">
        <is>
          <t>Not species-specific</t>
        </is>
      </c>
      <c r="AC196" s="21" t="inlineStr">
        <is>
          <t>Not gear-specific</t>
        </is>
      </c>
      <c r="AD196" s="21" t="inlineStr">
        <is>
          <t>Not scale-specific</t>
        </is>
      </c>
      <c r="AE196" s="21" t="inlineStr">
        <is>
          <t>Not site-specific</t>
        </is>
      </c>
      <c r="AF196" s="21" t="inlineStr">
        <is>
          <t>Not specific</t>
        </is>
      </c>
      <c r="AG196" s="21" t="inlineStr">
        <is>
          <t>Visual survey</t>
        </is>
      </c>
      <c r="AH196" s="21" t="inlineStr">
        <is>
          <t>Not algae-specific</t>
        </is>
      </c>
      <c r="AI196" s="21" t="inlineStr">
        <is>
          <t>Not depth-specific</t>
        </is>
      </c>
      <c r="AJ196" s="21" t="inlineStr">
        <is>
          <t>Not exposure-specific</t>
        </is>
      </c>
      <c r="AK196" s="16" t="inlineStr">
        <is>
          <t>To show which sessile animals and seaweeds settle on your farm, hang [3] settlement panels (13 × 13 cm sanded PVC, rough side down) from lines within the farm at the start of the most productive season (June–August in much of the northern temperate zone), at least 1 m apart and 0.5 m above the seabed. Photograph each at 30, 60 and 90 days and note the new settlers each time — barnacles, tube-worms, sea squirts, bryozoans, mussels, seaweeds — with a hand lens and guide, flagging non-native species. At 90 days score 100 random points per photo for percent cover and weigh the panels; repeat each year. Settlement on bare panels shows which species are recruiting at the farm, not that the farm itself produced them.</t>
        </is>
      </c>
      <c r="AL196" s="17" t="inlineStr">
        <is>
          <t>High</t>
        </is>
      </c>
      <c r="AM196" s="18" t="inlineStr">
        <is>
          <t>smithsonianmarinegeo_2022_hb221</t>
        </is>
      </c>
      <c r="AN196" s="19" t="n"/>
      <c r="AO196" s="19" t="n"/>
      <c r="AP196" s="19" t="n"/>
      <c r="AQ196" s="16" t="inlineStr">
        <is>
          <t>Spawning / recruitment monitoring — Seaweed, Mollusk</t>
        </is>
      </c>
      <c r="AR196" s="16" t="inlineStr">
        <is>
          <t>Janiak, Dean</t>
        </is>
      </c>
      <c r="AS196" s="16" t="inlineStr">
        <is>
          <t>Smithsonian MarineGEO suite — the closest direct analogue to the Oyster-Reef protocol for the epibiota-on-structures case. ARMS (Autonomous Reef Monitoring Structures) is the metabarcoding-based cousin for cryptobiota where panel ID is impractical. Built for natural hard-bottom; transfers cleanly to aquaculture gear.  |  Migration (one-indicator-per-row, 2026-09-04): split from smithsonianmarinegeo_2022 -&gt; {smithsonianmarinegeo_2022_hb111, smithsonianmarinegeo_2022_hb211, smithsonianmarinegeo_2022_hb221}. This row = smithsonianmarinegeo_2022_hb221 (H&amp;B 2.2.1 — Spawning). Candidate: AK/N/Q blanked and I/K/W/O/P provisional; per-indicator method text, tier/cost/effort and match adjudication to be finalised at generation. Combined parent I/AK/N/Q retained in v37 (pre-split).  |  [2026-10-13 Rule 15 cost re-rate, batch 7] Framework basis: Mol/SW H&amp;B 2.2.1: within the farm; settlement season (3 monthly retrievals); 1 locations × 3 visits × 3 replicates = 9. Settlement panels hung from farm lines, recruits counted and identified in the field; lab fee waived (Peter, 2026-10-13: species counts and field-identifiable taxa carry no lab fee). Prior O: 'Low–Medium — panels and gear inexpensive; cost sits in ID/processing time'.  |  [2026-10-13 method-summary pass] Full read (Peter's PDF, MarineGEO Fouling Community Monitoring Protocol 2021). A, G, C, T, AR corrected to the protocol's citation (Janiak 2021, doi:10.25573/serc.14510649.v1). I, K: candidate-split text replaced. W: 3 → 4 (Rule 14: photo point counts by broad group and field ID with a guide; lab-fee waiver applies; fill → lime). L → Yes. N, Q: blank → filled. S → Full PDF. P: controlled phrase + detail. AL Med → High. Match: Yes. O unchanged: the source's 3 panels photographed at 30/60/90 days use fewer plates than the 9 costed (3 monthly retrievals × 3); band holds at Low. Prior: A: 'Smithsonian MarineGEO'; G: '2022'; C: 'Smithsonian Environmental Research Center (MarineGEO Protocols)'; T: 'https://marinegeo.github.io/fouling-community.html ; collection DOI ht…'; AR: 'Smithsonian MarineGEO / Tennenbaum Marine Observatories Network'; S: 'Abstract + Methods (fetched)'; W: '3 — Partnership'; AL: 'Med'; P: 'Seasonal (1–3 months)'; L: 'Partial — panel deployment/retrieval and photography are farmer-doable…'; I: 'Maps to H&amp;B 2.2.1 — Spawning. Candidate split from parent protocol 'sm…'; K: 'Standalone-candidate (per-indicator adequacy to be confirmed at genera…'.  |  [2026-10-13 method-summary pass] smithsonianmarinegeo_2022_hb211 deleted (Peter's call, 2026-10-13): panels sample only the sessile fouling community on a standard substrate; H&amp;B 2.1.1 covered by smithsonianmarinegeo_2022-b_hb211 (shellfish) and other T4 seaweed rows.  |  [2026-10-16 monitoring-methods pass] AT (Monitoring Methods) set from the protocol's method summary (AK): Epibiota on lines / structures, Settlement plates / artificial substrata.</t>
        </is>
      </c>
      <c r="AT196" s="21" t="inlineStr">
        <is>
          <t>Epibiota on lines / structures, Settlement plates / artificial substrata</t>
        </is>
      </c>
    </row>
    <row r="197">
      <c r="A197" t="inlineStr">
        <is>
          <t>Janiak, D. &amp; Anderson, E. (MarineGEO)</t>
        </is>
      </c>
      <c r="B197" t="inlineStr">
        <is>
          <t>MarineGEO Oyster Habitat Monitoring Protocol (version 2)</t>
        </is>
      </c>
      <c r="C197" t="inlineStr">
        <is>
          <t>Tennenbaum Marine Observatories Network, MarineGEO</t>
        </is>
      </c>
      <c r="G197" t="n">
        <v>2026</v>
      </c>
      <c r="H197" t="inlineStr">
        <is>
          <t>Smithsonian Institution</t>
        </is>
      </c>
      <c r="I197" t="inlineStr">
        <is>
          <t>Maps to H&amp;B 1.1.1 — Epibiota. Oyster habitat composition: 1 × 1 m quadrats strung with 81 points, 5 per 30 m transect × 3 transects × 3 sites, tallying primary substrate (live, box, cultch, shell hash, sediment, rock) and secondary species growing on oysters (macroalgae, barnacles, mussels, ascidians, sponges) to the lowest taxon; plus one 0.25 × 0.25 m excavated quadrat per transect counting and measuring other bivalves and gastropods and noting other sessile invertebrates. Annual, at low tide or best visibility. Match: Yes — applied to farmed stock.</t>
        </is>
      </c>
      <c r="J197" t="inlineStr">
        <is>
          <t>Protocol</t>
        </is>
      </c>
      <c r="K197" t="inlineStr">
        <is>
          <t>Yes (full read) — point-count cover of species growing on oysters and counts of associated molluscs per m² give abundance and diversity of epibiota on the oysters, with simple, replicated field methods. Written for reef habitat surveyed once a year; the protocol applies it to the farmed stock each season.</t>
        </is>
      </c>
      <c r="L197" t="inlineStr">
        <is>
          <t>Yes — quadrat point counts, excavated-quadrat counts and bio-box sorting are field steps with a guide; the source's lab identification of preserved bio-box fauna is optional at the Framework's group level.</t>
        </is>
      </c>
      <c r="M197" t="inlineStr">
        <is>
          <t>Yes</t>
        </is>
      </c>
      <c r="N197" t="inlineStr">
        <is>
          <t>81-point PVC quadrat (1 × 1 m, strings every 10 cm); 0.25 × 0.25 m PVC quadrat; 30 m transect tapes; calipers; buckets; work gloves; camera; GPS; waterproof field sheets (low-visibility version for subtidal sites).</t>
        </is>
      </c>
      <c r="O197" t="inlineStr">
        <is>
          <t>Low — ~$80 yr 1: $80 start-up (field ID kit $80 [est]) + no recurring cost</t>
        </is>
      </c>
      <c r="P197" t="inlineStr">
        <is>
          <t>Single deployment (hours to 1 day) — one low-tide (or best-visibility) day per site, repeated each year</t>
        </is>
      </c>
      <c r="Q197" t="inlineStr">
        <is>
          <t>Percent cover from 81-point counts (primary substrate and secondary/canopy species); associated mollusc density (individuals per m²) and size (first 25 per taxon); presence of other sessile invertebrates; 15 quadrats per site, 3 sites per region; data pooled by MarineGEO for cross-site comparison (no specific test).</t>
        </is>
      </c>
      <c r="R197" t="inlineStr">
        <is>
          <t>Yes — Open (DOI-published)</t>
        </is>
      </c>
      <c r="S197" t="inlineStr">
        <is>
          <t>Full PDF</t>
        </is>
      </c>
      <c r="T197" t="inlineStr">
        <is>
          <t>https://doi.org/10.25573/serc.14714328</t>
        </is>
      </c>
      <c r="U197" t="inlineStr">
        <is>
          <t>Written for natural and restored oyster habitat of any oyster species; the composition, excavation and bio-box methods transfer to farmed oyster stock.</t>
        </is>
      </c>
      <c r="V197" t="inlineStr">
        <is>
          <t>Provided by Claude (grey/white-lit protocol search)</t>
        </is>
      </c>
      <c r="W197" s="10" t="inlineStr">
        <is>
          <t>4 — Practitioner</t>
        </is>
      </c>
      <c r="X197" t="inlineStr">
        <is>
          <t>Mollusk</t>
        </is>
      </c>
      <c r="Y197" t="inlineStr">
        <is>
          <t>Habitat &amp; Biodiversity</t>
        </is>
      </c>
      <c r="Z197" t="inlineStr">
        <is>
          <t>H&amp;B 1.1.1 — Epibiota</t>
        </is>
      </c>
      <c r="AA197" t="inlineStr">
        <is>
          <t>Cross-zone / global</t>
        </is>
      </c>
      <c r="AB197" t="inlineStr">
        <is>
          <t>Eastern oyster (Crassostrea virginica)</t>
        </is>
      </c>
      <c r="AC197" t="inlineStr">
        <is>
          <t>Not gear-specific</t>
        </is>
      </c>
      <c r="AD197" t="inlineStr">
        <is>
          <t>Not scale-specific</t>
        </is>
      </c>
      <c r="AE197" t="inlineStr">
        <is>
          <t>Not site-specific</t>
        </is>
      </c>
      <c r="AF197" t="inlineStr">
        <is>
          <t>Not specific</t>
        </is>
      </c>
      <c r="AG197" t="inlineStr">
        <is>
          <t>Visual survey</t>
        </is>
      </c>
      <c r="AH197" t="inlineStr">
        <is>
          <t>Not algae-specific</t>
        </is>
      </c>
      <c r="AI197" t="inlineStr">
        <is>
          <t>Not depth-specific</t>
        </is>
      </c>
      <c r="AJ197" t="inlineStr">
        <is>
          <t>Not exposure-specific</t>
        </is>
      </c>
      <c r="AK197" s="16" t="inlineStr">
        <is>
          <t>To measure the animals and seaweeds living on your oysters, each season pick [3] spots among the stock within the farm and [3] at its edge. At each, lay a 1 m² frame strung into an 81-point grid over the bags, trays or bottom stock and record what lies under every point — live oyster, dead shell, sediment — plus any seaweed, barnacle, mussel, sea squirt or sponge growing on top, to the lowest level you can name with a guide. Then empty the oysters from a 25 × 25 cm square (or a bag of known area) into a bucket, count and measure the snails and other bivalves, note the other attached animals, and return everything without breaking up clumps. Compare cover and counts between farm and edge across seasons; the source surveys reefs once a year, so keep timing and tide the same between visits.</t>
        </is>
      </c>
      <c r="AL197" s="17" t="inlineStr">
        <is>
          <t>High</t>
        </is>
      </c>
      <c r="AM197" s="18" t="inlineStr">
        <is>
          <t>smithsonianmarinegeo_2022-b_hb111</t>
        </is>
      </c>
      <c r="AN197" s="19" t="n"/>
      <c r="AO197" s="19" t="n"/>
      <c r="AP197" s="19" t="n"/>
      <c r="AQ197" s="16" t="inlineStr">
        <is>
          <t>Epibiota / fouling survey — Mollusk</t>
        </is>
      </c>
      <c r="AR197" s="16" t="inlineStr">
        <is>
          <t>Janiak, Dean; Anderson, Emily</t>
        </is>
      </c>
      <c r="AS197" s="16" t="inlineStr">
        <is>
          <t>Specific to eastern oyster (Crassostrea virginica) but design transfers to other bivalve reef/longline contexts. Pairs with the Baggett 2014 handbook (next row), the methodological parent.  |  Migration (one-indicator-per-row, 2026-09-04): split from smithsonianmarinegeo_2022-b -&gt; {smithsonianmarinegeo_2022-b_hb111, smithsonianmarinegeo_2022-b_hb121, smithsonianmarinegeo_2022-b_hb211}. This row = smithsonianmarinegeo_2022-b_hb111 (H&amp;B 1.1.1 — Epibiota). Candidate: AK/N/Q blanked and I/K/W/O/P provisional; per-indicator method text, tier/cost/effort and match adjudication to be finalised at generation. Combined parent I/AK/N/Q retained in v37 (pre-split).  |  [2026-10-13 Rule 15 cost re-rate, batch 7] Framework basis: Mol H&amp;B 1.1.1: amongst farmed biomass, within farm + edge; seasonal (4 visits); 2 locations × 4 visits × 3 replicates = 24. Associated fauna picked from the farmed biomass on a sorting tray and counted to the lowest practical taxon in the field, as the MarineGEO oyster protocol (2025 draft in the Project files) allows; lab fee waived (Peter, 2026-10-13: species counts and field-identifiable taxa carry no lab fee); reef-structure metrics are outside the indicator. Prior O: 'Low–Medium'.  |  [2026-10-13 method-summary pass] Full read (Peter's PDF, MarineGEO Oyster Habitat Monitoring Protocol v2, 2026). A, B, G, C, T, AR corrected to the protocol's citation (Janiak &amp; Anderson 2026, doi:10.25573/serc.14714328); B 'Oyster Reef Habitat' → 'Oyster Habitat'. U: no longer eastern-oyster specific (v2 covers any oyster species). I, K: candidate-split text replaced. W: 3 → 4 (Rule 14: field counts with a guide; lab-fee waiver applies; fill → lime). L → Yes. N, Q: blank → filled. S → Full PDF. P: controlled phrase + detail. AL Med → High. Match: Yes. O unchanged: the 81-point and 25 cm quadrats (~$45) keep the band at Low. Prior: A: 'Smithsonian MarineGEO'; B: 'MarineGEO Oyster Reef Habitat Monitoring Protocol'; G: '2022'; C: 'Smithsonian Environmental Research Center (MarineGEO Protocols)'; T: 'https://marinegeo.si.edu/protocols/oyster-reefs'; AR: 'Smithsonian MarineGEO'; S: 'Abstract + Methods (fetched)'; W: '3 — Partnership'; AL: 'Med'; U: 'Specific to eastern oyster but the design transfers to other bivalve r…'; L: 'Partial — reef metrics (area, height, density, size) and fauna collect…'; I: 'Maps to H&amp;B 1.1.1 — Epibiota. Candidate split from parent protocol 'sm…'; K: 'Standalone-candidate (per-indicator adequacy to be confirmed at genera…'; P: 'Seasonal (1–3 months)'.  |  [2026-10-16 monitoring-methods pass] AT (Monitoring Methods) set from the protocol's method summary (AK): Epibiota on lines / structures.</t>
        </is>
      </c>
      <c r="AT197" s="21" t="inlineStr">
        <is>
          <t>Epibiota on lines / structures</t>
        </is>
      </c>
    </row>
    <row r="198">
      <c r="A198" s="21" t="inlineStr">
        <is>
          <t>Janiak, D. &amp; Anderson, E. (MarineGEO)</t>
        </is>
      </c>
      <c r="B198" s="21" t="inlineStr">
        <is>
          <t>MarineGEO Oyster Habitat Monitoring Protocol (version 2)</t>
        </is>
      </c>
      <c r="C198" s="21" t="inlineStr">
        <is>
          <t>Tennenbaum Marine Observatories Network, MarineGEO</t>
        </is>
      </c>
      <c r="D198" s="21" t="n"/>
      <c r="E198" s="21" t="n"/>
      <c r="F198" s="21" t="n"/>
      <c r="G198" s="21" t="n">
        <v>2026</v>
      </c>
      <c r="H198" s="21" t="inlineStr">
        <is>
          <t>Smithsonian Institution</t>
        </is>
      </c>
      <c r="I198" s="21" t="inlineStr">
        <is>
          <t>Maps to H&amp;B 1.2.1 — Mobile fauna. Optional associated-fauna module: 3 bio-boxes per site (half-size flatware racks, 0.5 × 0.25 m, lined with 6.25 mm mesh, filled with oysters at habitat density) set 1.5–2 months before sampling, lifted into a tray (lidded if subtidal), macrofauna over 5 mm picked out, larger crabs, gastropods and fish noted and released, the rest preserved in 70% ethanol for lab identification; individuals per m². Match: Yes — resident crabs, shrimp, snails and small fish.</t>
        </is>
      </c>
      <c r="J198" s="21" t="inlineStr">
        <is>
          <t>Protocol</t>
        </is>
      </c>
      <c r="K198" s="21" t="inlineStr">
        <is>
          <t>Yes (full read) — a standardised colonisation tray gives abundance per m² and taxa of small resident mobile fauna within oyster habitat; it does not sample larger transient fish, birds or mammals, which the Framework's video method would.</t>
        </is>
      </c>
      <c r="L198" s="21" t="inlineStr">
        <is>
          <t>Yes — quadrat point counts, excavated-quadrat counts and bio-box sorting are field steps with a guide; the source's lab identification of preserved bio-box fauna is optional at the Framework's group level.</t>
        </is>
      </c>
      <c r="M198" s="21" t="inlineStr">
        <is>
          <t>Yes</t>
        </is>
      </c>
      <c r="N198" s="21" t="inlineStr">
        <is>
          <t>Bio-boxes (half-size commercial flatware rack 0.5 × 0.25 m, 6.25 mm vexar mesh, cable ties; PVC and mesh lid for subtidal sites; rebar or dowels in high-energy areas); large sorting tray; forceps; 0.5 L jars with 70% ethanol; sieve under 6.25 mm; GPS.</t>
        </is>
      </c>
      <c r="O198" s="21" t="inlineStr">
        <is>
          <t>Low — ~$250 yr 1: $250 start-up (bio-box ×6 $150 [est]; sorting tray $20 [est]; field ID kit $80 [est]) + no recurring cost</t>
        </is>
      </c>
      <c r="P198" s="21" t="inlineStr">
        <is>
          <t>Seasonal (1–3 months) — bio-boxes colonise for 1.5–2 months before retrieval; repeated each year</t>
        </is>
      </c>
      <c r="Q198" s="21" t="inlineStr">
        <is>
          <t>Individuals per m² by taxon (identified to the lowest level and counted); 3 bio-boxes per site, 3 sites per region; no specific test.</t>
        </is>
      </c>
      <c r="R198" s="21" t="inlineStr">
        <is>
          <t>Yes — Open (DOI-published)</t>
        </is>
      </c>
      <c r="S198" s="21" t="inlineStr">
        <is>
          <t>Full PDF</t>
        </is>
      </c>
      <c r="T198" s="21" t="inlineStr">
        <is>
          <t>https://doi.org/10.25573/serc.14714328</t>
        </is>
      </c>
      <c r="U198" s="21" t="inlineStr">
        <is>
          <t>Written for natural and restored oyster habitat of any oyster species; the composition, excavation and bio-box methods transfer to farmed oyster stock.</t>
        </is>
      </c>
      <c r="V198" s="21" t="inlineStr">
        <is>
          <t>Provided by Claude (grey/white-lit protocol search)</t>
        </is>
      </c>
      <c r="W198" s="10" t="inlineStr">
        <is>
          <t>4 — Practitioner</t>
        </is>
      </c>
      <c r="X198" s="21" t="inlineStr">
        <is>
          <t>Mollusk</t>
        </is>
      </c>
      <c r="Y198" s="21" t="inlineStr">
        <is>
          <t>Habitat &amp; Biodiversity</t>
        </is>
      </c>
      <c r="Z198" s="21" t="inlineStr">
        <is>
          <t>H&amp;B 1.2.1 — Mobile fauna</t>
        </is>
      </c>
      <c r="AA198" s="21" t="inlineStr">
        <is>
          <t>Cross-zone / global</t>
        </is>
      </c>
      <c r="AB198" s="21" t="inlineStr">
        <is>
          <t>Eastern oyster (Crassostrea virginica)</t>
        </is>
      </c>
      <c r="AC198" s="21" t="inlineStr">
        <is>
          <t>Not gear-specific</t>
        </is>
      </c>
      <c r="AD198" s="21" t="inlineStr">
        <is>
          <t>Not scale-specific</t>
        </is>
      </c>
      <c r="AE198" s="21" t="inlineStr">
        <is>
          <t>Not site-specific</t>
        </is>
      </c>
      <c r="AF198" s="21" t="inlineStr">
        <is>
          <t>Not specific</t>
        </is>
      </c>
      <c r="AG198" s="21" t="inlineStr">
        <is>
          <t>Visual survey</t>
        </is>
      </c>
      <c r="AH198" s="21" t="inlineStr">
        <is>
          <t>Not algae-specific</t>
        </is>
      </c>
      <c r="AI198" s="21" t="inlineStr">
        <is>
          <t>Not depth-specific</t>
        </is>
      </c>
      <c r="AJ198" s="21" t="inlineStr">
        <is>
          <t>Not exposure-specific</t>
        </is>
      </c>
      <c r="AK198" s="16" t="inlineStr">
        <is>
          <t>To measure the crabs, shrimp, snails and small fish living among your oysters, set [3] bio-boxes — half-size flatware racks (50 × 25 cm) lined with 6 mm plastic mesh and filled with oysters or shell at the density of your stock — among the stock within the farm and [3] at its edge, several metres apart. After 6–8 weeks lift each box straight into a large tray (fit a mesh lid first if it is underwater), pick out every animal over 5 mm, working through clumps without breaking them, then sieve the leftover shell hash. Identify and count the animals with a regional guide and release them; multiply counts by 8 for individuals per m². Repeat each season and compare farm with edge; the boxes catch resident animals, not passing fish, which need a camera.</t>
        </is>
      </c>
      <c r="AL198" s="17" t="inlineStr">
        <is>
          <t>High</t>
        </is>
      </c>
      <c r="AM198" s="18" t="inlineStr">
        <is>
          <t>smithsonianmarinegeo_2022-b_hb121</t>
        </is>
      </c>
      <c r="AN198" s="19" t="n"/>
      <c r="AO198" s="19" t="n"/>
      <c r="AP198" s="19" t="n"/>
      <c r="AQ198" s="16" t="inlineStr">
        <is>
          <t>Mobile-fauna monitoring — Mollusk</t>
        </is>
      </c>
      <c r="AR198" s="16" t="inlineStr">
        <is>
          <t>Janiak, Dean; Anderson, Emily</t>
        </is>
      </c>
      <c r="AS198" s="16" t="inlineStr">
        <is>
          <t>Specific to eastern oyster (Crassostrea virginica) but design transfers to other bivalve reef/longline contexts. Pairs with the Baggett 2014 handbook (next row), the methodological parent.  |  Migration (one-indicator-per-row, 2026-09-04): split from smithsonianmarinegeo_2022-b -&gt; {smithsonianmarinegeo_2022-b_hb111, smithsonianmarinegeo_2022-b_hb121, smithsonianmarinegeo_2022-b_hb211}. This row = smithsonianmarinegeo_2022-b_hb121 (H&amp;B 1.2.1 — Mobile fauna). Candidate: AK/N/Q blanked and I/K/W/O/P provisional; per-indicator method text, tier/cost/effort and match adjudication to be finalised at generation. Combined parent I/AK/N/Q retained in v37 (pre-split).  |  [2026-10-13 Rule 15 cost re-rate, batch 7] Framework basis: Mol H&amp;B 1.2.1: amongst farmed biomass, within farm + edge; seasonal (4 visits); 2 locations × 4 visits × 3 replicates = 24. Associated mobile fauna picked from the farmed biomass on a sorting tray and counted to the lowest practical taxon in the field, as the MarineGEO oyster protocol (2025 draft in the Project files) allows; lab fee waived (Peter, 2026-10-13: species counts and field-identifiable taxa carry no lab fee). Prior O: 'Low–Medium'.  |  [2026-10-13 method-summary pass] Full read (Peter's PDF, MarineGEO Oyster Habitat Monitoring Protocol v2, 2026). A, B, G, C, T, AR corrected to the protocol's citation (Janiak &amp; Anderson 2026, doi:10.25573/serc.14714328); B 'Oyster Reef Habitat' → 'Oyster Habitat'. U: no longer eastern-oyster specific (v2 covers any oyster species). I, K: candidate-split text replaced. W: 3 → 4 (Rule 14: field counts with a guide; lab-fee waiver applies; fill → lime). L → Yes. N, Q: blank → filled. S → Full PDF. P: controlled phrase + detail. AL Med → High. Match: Yes. O: bio-boxes added (re-rate had assumed fauna picked straight from the stock); band stays Low. Prior: A: 'Smithsonian MarineGEO'; B: 'MarineGEO Oyster Reef Habitat Monitoring Protocol'; G: '2022'; C: 'Smithsonian Environmental Research Center (MarineGEO Protocols)'; T: 'https://marinegeo.si.edu/protocols/oyster-reefs'; AR: 'Smithsonian MarineGEO'; S: 'Abstract + Methods (fetched)'; W: '3 — Partnership'; AL: 'Med'; U: 'Specific to eastern oyster but the design transfers to other bivalve r…'; L: 'Partial — reef metrics (area, height, density, size) and fauna collect…'; I: 'Maps to H&amp;B 1.2.1 — Mobile fauna. Candidate split from parent protocol…'; K: 'Standalone-candidate (per-indicator adequacy to be confirmed at genera…'; P: 'Seasonal (1–3 months)'; O: 'Low — ~$80 yr 1: $80 start-up (field ID kit $80 [est]) + no recurring …'.  |  [2026-10-16 monitoring-methods pass] AT (Monitoring Methods) set from the protocol's method summary (AK): Time-lapse / GoPro cameras, Bivalve condition index / growth.</t>
        </is>
      </c>
      <c r="AT198" s="21" t="inlineStr">
        <is>
          <t>Time-lapse / GoPro cameras, Bivalve condition index / growth</t>
        </is>
      </c>
    </row>
    <row r="199">
      <c r="A199" s="21" t="inlineStr">
        <is>
          <t>Janiak, D. &amp; Anderson, E. (MarineGEO)</t>
        </is>
      </c>
      <c r="B199" s="21" t="inlineStr">
        <is>
          <t>MarineGEO Oyster Habitat Monitoring Protocol (version 2)</t>
        </is>
      </c>
      <c r="C199" s="21" t="inlineStr">
        <is>
          <t>Tennenbaum Marine Observatories Network, MarineGEO</t>
        </is>
      </c>
      <c r="D199" s="21" t="n"/>
      <c r="E199" s="21" t="n"/>
      <c r="F199" s="21" t="n"/>
      <c r="G199" s="21" t="n">
        <v>2026</v>
      </c>
      <c r="H199" s="21" t="inlineStr">
        <is>
          <t>Smithsonian Institution</t>
        </is>
      </c>
      <c r="I199" s="21" t="inlineStr">
        <is>
          <t>Maps to H&amp;B 2.1.1 — Community composition. Annual survey of oyster habitat at 3 sites ≥1 km apart: 81-point quadrats (cover of substrate, oysters and all secondary species), excavated 0.25 × 0.25 m quadrats (oyster density and size, associated bivalves and gastropods, other sessile invertebrates), rugosity and cluster height, and optional bio-boxes for resident mobile fauna. Match: Yes — applied to farm vs nearby non-farm habitat.</t>
        </is>
      </c>
      <c r="J199" s="21" t="inlineStr">
        <is>
          <t>Protocol</t>
        </is>
      </c>
      <c r="K199" s="21" t="inlineStr">
        <is>
          <t>Yes (full read) — combined sessile cover, mollusc counts and bio-box fauna give a community profile of oyster habitat with standard replication for cross-site comparison. The source compares sites rather than farm vs reference, so the protocol places sampling areas in the farm and in nearby non-farm habitat.</t>
        </is>
      </c>
      <c r="L199" s="21" t="inlineStr">
        <is>
          <t>Yes — quadrat point counts, excavated-quadrat counts and bio-box sorting are field steps with a guide; the source's lab identification of preserved bio-box fauna is optional at the Framework's group level.</t>
        </is>
      </c>
      <c r="M199" s="21" t="inlineStr">
        <is>
          <t>Yes</t>
        </is>
      </c>
      <c r="N199" s="21" t="inlineStr">
        <is>
          <t>81-point PVC quadrat (1 × 1 m); 0.25 × 0.25 m PVC quadrat; 30 m transect tapes; calipers; buckets; 1 m stainless steel ball chain and meter stick (rugosity); bio-boxes with sorting tray (optional); camera; GPS; field sheets.</t>
        </is>
      </c>
      <c r="O199" s="21" t="inlineStr">
        <is>
          <t>Low — ~$110 yr 1: $110 start-up (field ID kit $80 [est]; quadrat $30 [est]) + no recurring cost</t>
        </is>
      </c>
      <c r="P199" s="21" t="inlineStr">
        <is>
          <t>Single deployment (hours to 1 day) — one low-tide (or best-visibility) day per site, repeated each year; bio-boxes set 1.5–2 months ahead</t>
        </is>
      </c>
      <c r="Q199" s="21" t="inlineStr">
        <is>
          <t>Percent cover from 81-point counts; oyster and associated mollusc density (individuals per m²) and size frequency; rugosity Rq = 1 − d/l and cluster height; bio-box fauna per m²; 15 quadrats, 3 excavations and 3 bio-boxes per site, 3 sites per region; data pooled by MarineGEO for cross-site comparison (no specific test).</t>
        </is>
      </c>
      <c r="R199" s="21" t="inlineStr">
        <is>
          <t>Yes — Open (DOI-published)</t>
        </is>
      </c>
      <c r="S199" s="21" t="inlineStr">
        <is>
          <t>Full PDF</t>
        </is>
      </c>
      <c r="T199" s="21" t="inlineStr">
        <is>
          <t>https://doi.org/10.25573/serc.14714328</t>
        </is>
      </c>
      <c r="U199" s="21" t="inlineStr">
        <is>
          <t>Written for natural and restored oyster habitat of any oyster species; the composition, excavation and bio-box methods transfer to farmed oyster stock.</t>
        </is>
      </c>
      <c r="V199" s="21" t="inlineStr">
        <is>
          <t>Provided by Claude (grey/white-lit protocol search)</t>
        </is>
      </c>
      <c r="W199" s="10" t="inlineStr">
        <is>
          <t>4 — Practitioner</t>
        </is>
      </c>
      <c r="X199" s="21" t="inlineStr">
        <is>
          <t>Mollusk</t>
        </is>
      </c>
      <c r="Y199" s="21" t="inlineStr">
        <is>
          <t>Habitat &amp; Biodiversity</t>
        </is>
      </c>
      <c r="Z199" s="21" t="inlineStr">
        <is>
          <t>H&amp;B 2.1.1 — Community composition</t>
        </is>
      </c>
      <c r="AA199" s="21" t="inlineStr">
        <is>
          <t>Cross-zone / global</t>
        </is>
      </c>
      <c r="AB199" s="21" t="inlineStr">
        <is>
          <t>Eastern oyster (Crassostrea virginica)</t>
        </is>
      </c>
      <c r="AC199" s="21" t="inlineStr">
        <is>
          <t>Not gear-specific</t>
        </is>
      </c>
      <c r="AD199" s="21" t="inlineStr">
        <is>
          <t>Not scale-specific</t>
        </is>
      </c>
      <c r="AE199" s="21" t="inlineStr">
        <is>
          <t>Not site-specific</t>
        </is>
      </c>
      <c r="AF199" s="21" t="inlineStr">
        <is>
          <t>Not specific</t>
        </is>
      </c>
      <c r="AG199" s="21" t="inlineStr">
        <is>
          <t>Visual survey</t>
        </is>
      </c>
      <c r="AH199" s="21" t="inlineStr">
        <is>
          <t>Not algae-specific</t>
        </is>
      </c>
      <c r="AI199" s="21" t="inlineStr">
        <is>
          <t>Not depth-specific</t>
        </is>
      </c>
      <c r="AJ199" s="21" t="inlineStr">
        <is>
          <t>Not exposure-specific</t>
        </is>
      </c>
      <c r="AK199" s="16" t="inlineStr">
        <is>
          <t>To compare the community in your oyster stock with nearby unfarmed habitat, each season sample [2] areas within the farm (among the stock and at its edge) and [2] reference areas of natural reef, shell or similar hard bottom nearby, away from the farm's influence. At [3] spots per area lay a 1 m² 81-point grid and record what lies under each point — live oyster, shell, sediment and every other species growing on or between them; then dig out a 25 × 25 cm square inside it, count and measure the snails and bivalves, list the other attached animals with a guide, and return everything. Compare species number, cover and counts between farm and reference areas over time; bio-boxes (as for mobile fauna) can add crabs and small fish to the picture.</t>
        </is>
      </c>
      <c r="AL199" s="17" t="inlineStr">
        <is>
          <t>High</t>
        </is>
      </c>
      <c r="AM199" s="18" t="inlineStr">
        <is>
          <t>smithsonianmarinegeo_2022-b_hb211</t>
        </is>
      </c>
      <c r="AN199" s="19" t="n"/>
      <c r="AO199" s="19" t="n"/>
      <c r="AP199" s="19" t="n"/>
      <c r="AQ199" s="16" t="inlineStr">
        <is>
          <t>Community-composition survey — Mollusk</t>
        </is>
      </c>
      <c r="AR199" s="16" t="inlineStr">
        <is>
          <t>Janiak, Dean; Anderson, Emily</t>
        </is>
      </c>
      <c r="AS199" s="16" t="inlineStr">
        <is>
          <t>Specific to eastern oyster (Crassostrea virginica) but design transfers to other bivalve reef/longline contexts. Pairs with the Baggett 2014 handbook (next row), the methodological parent.  |  Migration (one-indicator-per-row, 2026-09-04): split from smithsonianmarinegeo_2022-b -&gt; {smithsonianmarinegeo_2022-b_hb111, smithsonianmarinegeo_2022-b_hb121, smithsonianmarinegeo_2022-b_hb211}. This row = smithsonianmarinegeo_2022-b_hb211 (H&amp;B 2.1.1 — Community composition). Candidate: AK/N/Q blanked and I/K/W/O/P provisional; per-indicator method text, tier/cost/effort and match adjudication to be finalised at generation. Combined parent I/AK/N/Q retained in v37 (pre-split).  |  [2026-10-13 Rule 15 cost re-rate, batch 7] Framework basis: Mol H&amp;B 2.1.1: 2 farm strata + 2 nearby non-farm refs; seasonal (4 visits); 4 locations × 4 visits × 3 replicates = 48. Associated fauna picked and counted in the field at the farm and at reference habitat (quadrat-bounded collection there); lab fee waived (Peter, 2026-10-13: species counts and field-identifiable taxa carry no lab fee); reef-structure metrics are outside the indicator. Prior O: 'Low–Medium'.  |  [2026-10-13 method-summary pass] Full read (Peter's PDF, MarineGEO Oyster Habitat Monitoring Protocol v2, 2026). A, B, G, C, T, AR corrected to the protocol's citation (Janiak &amp; Anderson 2026, doi:10.25573/serc.14714328); B 'Oyster Reef Habitat' → 'Oyster Habitat'. U: no longer eastern-oyster specific (v2 covers any oyster species). I, K: candidate-split text replaced. W: 3 → 4 (Rule 14: field counts with a guide; lab-fee waiver applies; fill → lime). L → Yes. N, Q: blank → filled. S → Full PDF. P: controlled phrase + detail. AL Med → High. Match: Yes. O unchanged (field ID kit + quadrat). Prior: A: 'Smithsonian MarineGEO'; B: 'MarineGEO Oyster Reef Habitat Monitoring Protocol'; G: '2022'; C: 'Smithsonian Environmental Research Center (MarineGEO Protocols)'; T: 'https://marinegeo.si.edu/protocols/oyster-reefs'; AR: 'Smithsonian MarineGEO'; S: 'Abstract + Methods (fetched)'; W: '3 — Partnership'; AL: 'Med'; U: 'Specific to eastern oyster but the design transfers to other bivalve r…'; L: 'Partial — reef metrics (area, height, density, size) and fauna collect…'; I: 'Maps to H&amp;B 2.1.1 — Community composition. Candidate split from parent…'; K: 'Standalone-candidate (per-indicator adequacy to be confirmed at genera…'; P: 'Seasonal (1–3 months)'.  |  [2026-10-16 monitoring-methods pass] AT (Monitoring Methods) set from the protocol's method summary (AK): Epibiota on lines / structures.</t>
        </is>
      </c>
      <c r="AT199" s="21" t="inlineStr">
        <is>
          <t>Epibiota on lines / structures</t>
        </is>
      </c>
    </row>
    <row r="200">
      <c r="A200" t="inlineStr">
        <is>
          <t>Baggett, L. P., et al.</t>
        </is>
      </c>
      <c r="B200" t="inlineStr">
        <is>
          <t>Oyster Habitat Restoration Monitoring and Assessment Handbook</t>
        </is>
      </c>
      <c r="C200" t="inlineStr">
        <is>
          <t>The Nature Conservancy</t>
        </is>
      </c>
      <c r="F200" t="inlineStr">
        <is>
          <t>96 pp</t>
        </is>
      </c>
      <c r="G200" t="n">
        <v>2014</v>
      </c>
      <c r="H200" t="inlineStr">
        <is>
          <t>The Nature Conservancy, Arlington, VA</t>
        </is>
      </c>
      <c r="I200" t="inlineStr">
        <is>
          <t>Maps to H&amp;B 1.1.1 — Epibiota. Sessile invertebrates removed from the live and dead oyster shell in each oyster-density quadrat, identified to the lowest taxon possible, counted (percent cover for colonial and encrusting forms) and blotted-weighed by species; shell height of ≥20 of each non-oyster bivalve (Handbook §7.1.1a). Match: Exact — a restored-reef method; on a farm the quadrat becomes a standard unit of stock.</t>
        </is>
      </c>
      <c r="J200" t="inlineStr">
        <is>
          <t>Protocol</t>
        </is>
      </c>
      <c r="K200" t="inlineStr">
        <is>
          <t>Confirmed standalone (full read). Density (ind/m²) and wet weight (g/m²) by taxon, reported as mean ± SE, with sample size set from pilot variance (n = z²σ²/d², about five pilot samples, d = 30% of the mean) and a BACI comparison with control and reference sites — robust for H&amp;B 1.1.1 (Exact; reef-based, annual end-of-season census by default).</t>
        </is>
      </c>
      <c r="L200" t="inlineStr">
        <is>
          <t>Yes — quadrat or stock-unit sampling, with removal, field identification and counting of attached animals (guide, hand lens, optional balance), is farmer-executable; no lab step.</t>
        </is>
      </c>
      <c r="M200" t="inlineStr">
        <is>
          <t>Yes</t>
        </is>
      </c>
      <c r="N200" t="inlineStr">
        <is>
          <t>Quadrat (0.25 m² default; 1 m² below ~100 oysters/m², 0.0625 m² above ~500/m²) excavated to collect all shell, or one standard unit of stock (bag, basket); scraper or knife; sorting tray; regional invertebrate guide and hand lens; balance for blotted wet weight (optional); calipers or ruler for non-oyster bivalve shell height; grid-strung quadrat for percent cover.</t>
        </is>
      </c>
      <c r="O200" t="inlineStr">
        <is>
          <t>Low — ~$80 yr 1: $80 start-up (field ID kit $80 [est]) + no recurring cost</t>
        </is>
      </c>
      <c r="P200" t="inlineStr">
        <is>
          <t>Multi-year monitoring (&gt; 1 year) — baseline year before construction, then annual sampling from the end-of-season oyster-density quadrats for 1–2 years (short term), ideally 4–6 years (mid term)</t>
        </is>
      </c>
      <c r="Q200" t="inlineStr">
        <is>
          <t>Mean ± 1 SE per taxon (individuals/m², wet weight g/m², percent cover); sample size from pilot variance (n = z²σ²/d², target CV ≈ 0.5); BACI comparison of restored vs control/reference, with performance criteria framed as testable hypotheses (statistical test left to the project).</t>
        </is>
      </c>
      <c r="R200" t="inlineStr">
        <is>
          <t>Yes — Open (free PDF)</t>
        </is>
      </c>
      <c r="S200" t="inlineStr">
        <is>
          <t>Full PDF</t>
        </is>
      </c>
      <c r="T200" t="inlineStr">
        <is>
          <t>http://www.oyster-restoration.org/wp-content/uploads/2014/01/Oyster-Habitat-Restoration-Monitoring-and-Assessment-Handbook.pdf</t>
        </is>
      </c>
      <c r="U200" t="inlineStr">
        <is>
          <t>Restoration-oriented but the universal metrics and environmental variables transfer to bivalve farming; the goal-based coastal-protection metrics are the practitioner route to wave attenuation.</t>
        </is>
      </c>
      <c r="V200" t="inlineStr">
        <is>
          <t>Provided by Claude (grey/white-lit protocol search)</t>
        </is>
      </c>
      <c r="W200" s="10" t="inlineStr">
        <is>
          <t>4 — Practitioner</t>
        </is>
      </c>
      <c r="X200" t="inlineStr">
        <is>
          <t>Mollusk</t>
        </is>
      </c>
      <c r="Y200" t="inlineStr">
        <is>
          <t>Habitat &amp; Biodiversity</t>
        </is>
      </c>
      <c r="Z200" t="inlineStr">
        <is>
          <t>H&amp;B 1.1.1 — Epibiota</t>
        </is>
      </c>
      <c r="AA200" t="inlineStr">
        <is>
          <t>Cross-zone / global</t>
        </is>
      </c>
      <c r="AB200" t="inlineStr">
        <is>
          <t>Eastern oyster (Crassostrea virginica), Olympia oyster (Ostrea lurida)</t>
        </is>
      </c>
      <c r="AC200" t="inlineStr">
        <is>
          <t>Not gear-specific</t>
        </is>
      </c>
      <c r="AD200" t="inlineStr">
        <is>
          <t>Not scale-specific</t>
        </is>
      </c>
      <c r="AE200" t="inlineStr">
        <is>
          <t>Not site-specific</t>
        </is>
      </c>
      <c r="AF200" t="inlineStr">
        <is>
          <t>Not specific</t>
        </is>
      </c>
      <c r="AG200" t="inlineStr">
        <is>
          <t>Visual survey</t>
        </is>
      </c>
      <c r="AH200" t="inlineStr">
        <is>
          <t>Not algae-specific</t>
        </is>
      </c>
      <c r="AI200" t="inlineStr">
        <is>
          <t>Not depth-specific</t>
        </is>
      </c>
      <c r="AJ200" t="inlineStr">
        <is>
          <t>Not exposure-specific</t>
        </is>
      </c>
      <c r="AK200" s="16" t="inlineStr">
        <is>
          <t>To measure the animals growing on your oysters, take [3] random samples from the farmed stock within the farm and [3] at its edge, once per season — either a quadrat (0.25 m² suits most densities) cleared of every live and dead oyster inside it, or one standard unit of stock such as a bag or basket. Remove every attached invertebrate from the shells, identify each to the lowest level your guide allows and count it; count barnacles and anything else that can't be removed in place, and record sponges, bryozoans and other encrusting colonies as percent cover. If you have a balance, blot and weigh each species, and measure the shell height of at least 20 of any non-oyster bivalves such as mussels. Report each taxon as individuals (and grams) per m² of stock or gear, mean ± standard error, using about five pilot samples to work out how many samples keep the error within roughly 30% of the mean. Return the oysters after counting, and sample at the same point in the growing season each year, since fouling builds up over the season.</t>
        </is>
      </c>
      <c r="AL200" s="17" t="inlineStr">
        <is>
          <t>High</t>
        </is>
      </c>
      <c r="AM200" s="18" t="inlineStr">
        <is>
          <t>baggett_2014_hb111</t>
        </is>
      </c>
      <c r="AN200" s="19" t="n"/>
      <c r="AO200" s="19" t="n"/>
      <c r="AP200" s="19" t="n"/>
      <c r="AQ200" s="16" t="inlineStr">
        <is>
          <t>Epibiota / fouling survey — Mollusk</t>
        </is>
      </c>
      <c r="AR200" s="16" t="inlineStr">
        <is>
          <t>Baggett, L.P.; Powers, S.P.; Brumbaugh, R.D.; Coen, L.D.; DeAngelis, B.M.; Greene, J.K.; Hancock, B.T.; Morlock, S.M.</t>
        </is>
      </c>
      <c r="AS200" s="16" t="inlineStr">
        <is>
          <t>TNC-authored — direct lineage with this MEL framework. Restoration-oriented but the universal metrics and environmental variables transfer to bivalve farming H&amp;B/WQ. The coastal-protection goal-based metric set is the practitioner route to CC 3.1.1 (shoreline position/elevation + wave-gauge/pressure-logger field methods).  |  Migration (one-indicator-per-row, 2026-09-04): split from baggett_2014 -&gt; {baggett_2014_hb111, baggett_2014_hb211, baggett_2014_hb221, baggett_2014_wq121, baggett_2014_cc311}. This row = baggett_2014_hb111 (H&amp;B 1.1.1 — Epibiota). Candidate: AK/N/Q blanked and I/K/W/O/P provisional; per-indicator method text, tier/cost/effort and match adjudication to be finalised at generation. Combined parent I/AK/N/Q retained in v37 (pre-split).  |  [2026-10-13 Rule 15 cost re-rate, batch 8] Framework basis: Mol H&amp;B 1.1.1: amongst farmed biomass, within farm + edge; seasonal (4 visits); 2 locations × 4 visits × 3 replicates = 24. Associated fauna collected from the farmed biomass and counted in the field with a guide; lab fee waived (species counts / field-identifiable taxa); reef-structure and restoration metrics are outside the indicator; method from method note. Prior O: 'Low–Medium'.  |  [2026-10-13 method-summary pass] I, K: candidate-split text replaced after full read (prior: 'Maps to … Candidate split from parent protocol…' / 'Standalone-candidate… Parent adequacy note…'). L: 'Partial — universal reef metrics and DO/temp/salinity…' → Yes (row-specific). W: '3 — Partnership' → '4 — Practitioner' (Rule 14 applied both ways: field identification and counts, no lab step — the same basis as the batch-8 lab-fee waiver; cell fill was amber, now lime). N, Q: blank → filled. S: 'Abstract + Methods (fetched)' → 'Full PDF' (Project copy, 96 pp). P: controlled phrase + detail. AB: + Olympia oyster (the handbook covers C. virginica and O. lurida). AG: 'Visual survey, Water chemistry' → 'Visual survey'. O unchanged (field ID kit; the Framework metric accepts counts, so a balance is optional). AK written; AL Med → High.  |  [2026-10-16 monitoring-methods pass] AT (Monitoring Methods) set from the protocol's method summary (AK): Epibiota on lines / structures, Bivalve condition index / growth.</t>
        </is>
      </c>
      <c r="AT200" s="21" t="inlineStr">
        <is>
          <t>Epibiota on lines / structures, Bivalve condition index / growth</t>
        </is>
      </c>
    </row>
    <row r="201">
      <c r="A201" s="21" t="inlineStr">
        <is>
          <t>Baggett, L. P., et al.</t>
        </is>
      </c>
      <c r="B201" s="21" t="inlineStr">
        <is>
          <t>Oyster Habitat Restoration Monitoring and Assessment Handbook</t>
        </is>
      </c>
      <c r="C201" s="21" t="inlineStr">
        <is>
          <t>The Nature Conservancy</t>
        </is>
      </c>
      <c r="D201" s="21" t="n"/>
      <c r="E201" s="21" t="n"/>
      <c r="F201" s="21" t="inlineStr">
        <is>
          <t>96 pp</t>
        </is>
      </c>
      <c r="G201" s="21" t="n">
        <v>2014</v>
      </c>
      <c r="H201" s="21" t="inlineStr">
        <is>
          <t>The Nature Conservancy, Arlington, VA</t>
        </is>
      </c>
      <c r="I201" s="21" t="inlineStr">
        <is>
          <t>Maps to H&amp;B 2.1.1 — Community composition. Density of selected species or faunal groups (Handbook Ch. 7): quadrats for sessile epifauna, 15 cm cores sieved at 2 mm for infauna, substrate trays for small resident fish and invertebrates, lift nets / throw traps / drop samplers (≥1 m²) for transient crustaceans and juvenile fish, gill-net CPUE for larger fish and fixed-point scans for waterbirds — on the reef and on an unstructured control, plus a natural reference reef where one exists. Match: Exact — multi-gear community comparison against control and reference.</t>
        </is>
      </c>
      <c r="J201" s="21" t="inlineStr">
        <is>
          <t>Protocol</t>
        </is>
      </c>
      <c r="K201" s="21" t="inlineStr">
        <is>
          <t>Confirmed standalone (full read). Gear matched to each faunal group, random locations on the reef and on control habitat, BACI before/after, sampling in the season of peak abundance with repeats — robust for H&amp;B 2.1.1 (Exact). The unstructured control and the natural reference reef map onto the Framework's two reference locations.</t>
        </is>
      </c>
      <c r="L201" s="21" t="inlineStr">
        <is>
          <t>Yes — quadrats, cores sieved at 2 mm, lift nets or throw traps and field identification with regional guides are farmer-executable (lab fee waived: field-identifiable taxa, Peter 2026-10-13); gill nets need a permit and are optional.</t>
        </is>
      </c>
      <c r="M201" s="21" t="inlineStr">
        <is>
          <t>Yes</t>
        </is>
      </c>
      <c r="N201" s="21" t="inlineStr">
        <is>
          <t>Quadrat (0.25 m²); hand corer (15 cm diameter, to 15 cm depth); 2 mm sieve (500 µm optional, 2 mm fraction processed first); substrate baskets or trays (0.25–1 m², 10 cm deep, lined with 1 mm mesh, left ≥1 month); lift nets, throw traps, drop samplers or seines (≥1 m²) in water &lt; 1.5 m; gill nets (5 and 10 cm mesh, 2 h soak) for larger fish; binoculars or spotting scope and range finder for waterbirds; regional ID guides, balance, measuring board.</t>
        </is>
      </c>
      <c r="O201" s="21" t="inlineStr">
        <is>
          <t>Low — ~$740 yr 1: $740 start-up (field ID kit $80 [est]; quadrat $30 [est]; hand corer $250 [est]; 2 mm sieve $150 [est]; lift net ×3 $225 [est]) + no recurring cost</t>
        </is>
      </c>
      <c r="P201" s="21" t="inlineStr">
        <is>
          <t>Multi-year monitoring (&gt; 1 year) — baseline year, then the season of peak abundance of target species each year (repeated within that season) for 1–2 years post-construction, ideally 4–6 years</t>
        </is>
      </c>
      <c r="Q201" s="21" t="inlineStr">
        <is>
          <t>Density by species (ind/m²), wet weight (g/m²), length-frequency, CPUE (ind/h) for gill nets and birds/ha for waterbirds, as mean ± 1 SE; trend over time and comparison with pre-construction, control and natural reference values (statistical test left to the project).</t>
        </is>
      </c>
      <c r="R201" s="21" t="inlineStr">
        <is>
          <t>Yes — Open (free PDF)</t>
        </is>
      </c>
      <c r="S201" s="21" t="inlineStr">
        <is>
          <t>Full PDF</t>
        </is>
      </c>
      <c r="T201" s="21" t="inlineStr">
        <is>
          <t>http://www.oyster-restoration.org/wp-content/uploads/2014/01/Oyster-Habitat-Restoration-Monitoring-and-Assessment-Handbook.pdf</t>
        </is>
      </c>
      <c r="U201" s="21" t="inlineStr">
        <is>
          <t>Restoration-oriented but the universal metrics and environmental variables transfer to bivalve farming; the goal-based coastal-protection metrics are the practitioner route to wave attenuation.</t>
        </is>
      </c>
      <c r="V201" s="21" t="inlineStr">
        <is>
          <t>Provided by Claude (grey/white-lit protocol search)</t>
        </is>
      </c>
      <c r="W201" s="10" t="inlineStr">
        <is>
          <t>4 — Practitioner</t>
        </is>
      </c>
      <c r="X201" s="21" t="inlineStr">
        <is>
          <t>Mollusk</t>
        </is>
      </c>
      <c r="Y201" s="21" t="inlineStr">
        <is>
          <t>Habitat &amp; Biodiversity</t>
        </is>
      </c>
      <c r="Z201" s="21" t="inlineStr">
        <is>
          <t>H&amp;B 2.1.1 — Community composition</t>
        </is>
      </c>
      <c r="AA201" s="21" t="inlineStr">
        <is>
          <t>Cross-zone / global</t>
        </is>
      </c>
      <c r="AB201" s="21" t="inlineStr">
        <is>
          <t>Eastern oyster (Crassostrea virginica), Olympia oyster (Ostrea lurida)</t>
        </is>
      </c>
      <c r="AC201" s="21" t="inlineStr">
        <is>
          <t>Not gear-specific</t>
        </is>
      </c>
      <c r="AD201" s="21" t="inlineStr">
        <is>
          <t>Not scale-specific</t>
        </is>
      </c>
      <c r="AE201" s="21" t="inlineStr">
        <is>
          <t>Not site-specific</t>
        </is>
      </c>
      <c r="AF201" s="21" t="inlineStr">
        <is>
          <t>Not specific</t>
        </is>
      </c>
      <c r="AG201" s="21" t="inlineStr">
        <is>
          <t>Visual survey, Sediment sampling</t>
        </is>
      </c>
      <c r="AH201" s="21" t="inlineStr">
        <is>
          <t>Not algae-specific</t>
        </is>
      </c>
      <c r="AI201" s="21" t="inlineStr">
        <is>
          <t>Not depth-specific</t>
        </is>
      </c>
      <c r="AJ201" s="21" t="inlineStr">
        <is>
          <t>Not exposure-specific</t>
        </is>
      </c>
      <c r="AK201" s="16" t="inlineStr">
        <is>
          <t>To compare the animal community at your oyster farm with unfarmed ground nearby, sample within the farm, at its edge and at [2] reference areas — a bare mud or sand flat and, if there is one, a natural oyster reef — on the same days, once per season and ideally once before the farm goes in. At each location take [3] random samples with each gear: quadrats of shell or stock for attached animals; 15 cm cores pushed 15 cm into the sediment and washed through a 2 mm sieve for burrowing animals; and, in water shallower than about 1.5 m, lift nets, throw traps or drop samplers covering at least 1 m² for crabs, shrimp and small fish. Identify everything to the lowest level you can, count it (measure and weigh it if you can) and report each species per m², mean ± standard error, then compare farm with the references. Crabs and fish use the habitat differently by day and night and through the year, so sample each location at the same tide and time of day, in the season when the species you care about are most abundant.</t>
        </is>
      </c>
      <c r="AL201" s="17" t="inlineStr">
        <is>
          <t>High</t>
        </is>
      </c>
      <c r="AM201" s="18" t="inlineStr">
        <is>
          <t>baggett_2014_hb211</t>
        </is>
      </c>
      <c r="AN201" s="19" t="n"/>
      <c r="AO201" s="19" t="n"/>
      <c r="AP201" s="19" t="n"/>
      <c r="AQ201" s="16" t="inlineStr">
        <is>
          <t>Community-composition survey — Mollusk</t>
        </is>
      </c>
      <c r="AR201" s="16" t="inlineStr">
        <is>
          <t>Baggett, L.P.; Powers, S.P.; Brumbaugh, R.D.; Coen, L.D.; DeAngelis, B.M.; Greene, J.K.; Hancock, B.T.; Morlock, S.M.</t>
        </is>
      </c>
      <c r="AS201" s="16" t="inlineStr">
        <is>
          <t>TNC-authored — direct lineage with this MEL framework. Restoration-oriented but the universal metrics and environmental variables transfer to bivalve farming H&amp;B/WQ. The coastal-protection goal-based metric set is the practitioner route to CC 3.1.1 (shoreline position/elevation + wave-gauge/pressure-logger field methods).  |  Migration (one-indicator-per-row, 2026-09-04): split from baggett_2014 -&gt; {baggett_2014_hb111, baggett_2014_hb211, baggett_2014_hb221, baggett_2014_wq121, baggett_2014_cc311}. This row = baggett_2014_hb211 (H&amp;B 2.1.1 — Community composition). Candidate: AK/N/Q blanked and I/K/W/O/P provisional; per-indicator method text, tier/cost/effort and match adjudication to be finalised at generation. Combined parent I/AK/N/Q retained in v37 (pre-split).  |  [2026-10-13 Rule 15 cost re-rate, batch 8] Framework basis: Mol H&amp;B 2.1.1: 2 farm strata + 2 nearby non-farm refs; seasonal (4 visits); 4 locations × 4 visits × 3 replicates = 48. Associated fauna collected at farm and reference habitat (quadrat-bounded there) and counted in the field; lab fee waived (species counts / field-identifiable taxa); band holds unless a collection method needs gear over ~$890; method from method note. Prior O: 'Low–Medium'.  |  [2026-10-13 method-summary pass] I, K: candidate-split text replaced after full read (prior: 'Maps to … Candidate split from parent protocol…' / 'Standalone-candidate… Parent adequacy note…'). L: → Yes (row-specific). W: '3 — Partnership' → '4 — Practitioner' (Rule 14 both ways: field ID under the lab-fee waiver; fill amber → lime). N, Q: blank → filled. S: → 'Full PDF'. P: controlled phrase + detail. AB: + Olympia oyster. AG: 'Visual survey, Water chemistry' → 'Visual survey, Sediment sampling'. O: 'Low — ~$110 yr 1: $110 start-up (field ID kit $80 [est]; quadrat $30 [est]) + no recurring cost' → Low ~$740 after full read: the handbook's community method adds cores, a 2 mm sieve and lift nets. Rule 15 basis unchanged (Mol H&amp;B 2.1.1: 2 farm strata + 2 refs × 4 visits × 3 replicates = 48; lift nets ×3 reused across locations on successive tides). Shallow-site gear as the handbook specifies (lift nets etc. for water &lt; 1.5 m; deeper sites use divers or video); a boat grab would replace the corer at depth. New Cost_Reference item eq_sieve_2mm $150 [est]. Gill nets and bird scans optional, not costed. AK written; AL Med → High.  |  [2026-10-16 monitoring-methods pass] AT (Monitoring Methods) set from the protocol's method summary (AK): Benthic infauna community, Epibiota on lines / structures, Nets &amp; baited traps.</t>
        </is>
      </c>
      <c r="AT201" s="21" t="inlineStr">
        <is>
          <t>Benthic infauna community, Epibiota on lines / structures, Nets &amp; baited traps</t>
        </is>
      </c>
    </row>
    <row r="202">
      <c r="A202" s="21" t="inlineStr">
        <is>
          <t>Baggett, L. P., et al.</t>
        </is>
      </c>
      <c r="B202" s="21" t="inlineStr">
        <is>
          <t>Oyster Habitat Restoration Monitoring and Assessment Handbook</t>
        </is>
      </c>
      <c r="C202" s="21" t="inlineStr">
        <is>
          <t>The Nature Conservancy</t>
        </is>
      </c>
      <c r="D202" s="21" t="n"/>
      <c r="E202" s="21" t="n"/>
      <c r="F202" s="21" t="inlineStr">
        <is>
          <t>96 pp</t>
        </is>
      </c>
      <c r="G202" s="21" t="n">
        <v>2014</v>
      </c>
      <c r="H202" s="21" t="inlineStr">
        <is>
          <t>The Nature Conservancy, Arlington, VA</t>
        </is>
      </c>
      <c r="I202" s="21" t="inlineStr">
        <is>
          <t>Maps to H&amp;B 2.2.1 — Spawning / recruitment. Oyster recruits (≥10 mm C. virginica, ≥3 mm O. lurida) counted at the annual end-of-season density census (Handbook §3.3), with settlement tiles or shell trays of known area encouraged to track settlement within and between seasons (§3.3, §6.1.1). Match: Partial — oyster recruitment only; gonad histology and sex ratio (§5.4–5.5) measure stock condition, not recruitment at the farm.</t>
        </is>
      </c>
      <c r="J202" s="21" t="inlineStr">
        <is>
          <t>Protocol</t>
        </is>
      </c>
      <c r="K202" s="21" t="inlineStr">
        <is>
          <t>Confirmed standalone (full read). Clear settlement-vs-recruitment definitions, recruit density per m² (mean ± SE) at an annual census and a recommendation to cover at least two recruitment seasons — adequate for detecting oyster recruitment at a site (Partial; one taxon, settlement collectors encouraged rather than required).</t>
        </is>
      </c>
      <c r="L202" s="21" t="inlineStr">
        <is>
          <t>Yes — settlement collectors and recruit counts with a hand lens are farmer-executable; the handbook's gonad histology and sex-ratio microscopy are lab steps outside this indicator.</t>
        </is>
      </c>
      <c r="M202" s="21" t="inlineStr">
        <is>
          <t>Yes</t>
        </is>
      </c>
      <c r="N202" s="21" t="inlineStr">
        <is>
          <t>Settlement tiles or shell trays / bagged shell of known area (on lines within the farm); hand lens; quadrat (0.25 m²) for the annual recruit census; calipers or ruler (recruit size cut-off 10 mm C. virginica, 3 mm O. lurida).</t>
        </is>
      </c>
      <c r="O202" s="21" t="inlineStr">
        <is>
          <t>Low — ~$170 yr 1: $80 start-up (field ID kit $80 [est]) + $90/yr (settlement plate 9 × $10 [est])</t>
        </is>
      </c>
      <c r="P202" s="21" t="inlineStr">
        <is>
          <t>Multi-year monitoring (&gt; 1 year) — collectors through the settlement season (May–October in many US locations) and an annual end-of-season recruit census, over at least two recruitment seasons</t>
        </is>
      </c>
      <c r="Q202" s="21" t="inlineStr">
        <is>
          <t>Recruits per m² (mean ± 1 SE) at the annual census; settlement per m² of collector by retrieval date; year-to-year comparison against pre-construction and reference data (no specific test).</t>
        </is>
      </c>
      <c r="R202" s="21" t="inlineStr">
        <is>
          <t>Yes — Open (free PDF)</t>
        </is>
      </c>
      <c r="S202" s="21" t="inlineStr">
        <is>
          <t>Full PDF</t>
        </is>
      </c>
      <c r="T202" s="21" t="inlineStr">
        <is>
          <t>http://www.oyster-restoration.org/wp-content/uploads/2014/01/Oyster-Habitat-Restoration-Monitoring-and-Assessment-Handbook.pdf</t>
        </is>
      </c>
      <c r="U202" s="21" t="inlineStr">
        <is>
          <t>Restoration-oriented but the universal metrics and environmental variables transfer to bivalve farming; the goal-based coastal-protection metrics are the practitioner route to wave attenuation.</t>
        </is>
      </c>
      <c r="V202" s="21" t="inlineStr">
        <is>
          <t>Provided by Claude (grey/white-lit protocol search)</t>
        </is>
      </c>
      <c r="W202" s="10" t="inlineStr">
        <is>
          <t>4 — Practitioner</t>
        </is>
      </c>
      <c r="X202" s="21" t="inlineStr">
        <is>
          <t>Mollusk</t>
        </is>
      </c>
      <c r="Y202" s="21" t="inlineStr">
        <is>
          <t>Habitat &amp; Biodiversity</t>
        </is>
      </c>
      <c r="Z202" s="21" t="inlineStr">
        <is>
          <t>H&amp;B 2.2.1 — Spawning</t>
        </is>
      </c>
      <c r="AA202" s="21" t="inlineStr">
        <is>
          <t>Cross-zone / global</t>
        </is>
      </c>
      <c r="AB202" s="21" t="inlineStr">
        <is>
          <t>Eastern oyster (Crassostrea virginica), Olympia oyster (Ostrea lurida)</t>
        </is>
      </c>
      <c r="AC202" s="21" t="inlineStr">
        <is>
          <t>Not gear-specific</t>
        </is>
      </c>
      <c r="AD202" s="21" t="inlineStr">
        <is>
          <t>Not scale-specific</t>
        </is>
      </c>
      <c r="AE202" s="21" t="inlineStr">
        <is>
          <t>Not site-specific</t>
        </is>
      </c>
      <c r="AF202" s="21" t="inlineStr">
        <is>
          <t>Not specific</t>
        </is>
      </c>
      <c r="AG202" s="21" t="inlineStr">
        <is>
          <t>Visual survey</t>
        </is>
      </c>
      <c r="AH202" s="21" t="inlineStr">
        <is>
          <t>Not algae-specific</t>
        </is>
      </c>
      <c r="AI202" s="21" t="inlineStr">
        <is>
          <t>Not depth-specific</t>
        </is>
      </c>
      <c r="AJ202" s="21" t="inlineStr">
        <is>
          <t>Not exposure-specific</t>
        </is>
      </c>
      <c r="AK202" s="16" t="inlineStr">
        <is>
          <t>To find out whether oysters (and other shellfish) settle and survive on your farm, hang [3] settlement collectors of known area — PVC tiles or mesh bags of clean shell — within the farm at the start of the settlement season and replace them [monthly] until it ends (May–October in many temperate areas). Count the newly settled spat on each collector with a hand lens and express settlement per m² of collector surface. At the end of each growing season also count recruits — young oysters that have survived to at least 10 mm (Eastern oyster) or 3 mm (Olympia oyster) — in [3] quadrats on the gear or nearby substrate, as recruits per m² (mean ± standard error). Settlement varies a lot from year to year, so watch at least two settlement seasons before drawing conclusions, and record other species on the collectors if you want this to cover more than oysters.</t>
        </is>
      </c>
      <c r="AL202" s="17" t="inlineStr">
        <is>
          <t>High</t>
        </is>
      </c>
      <c r="AM202" s="18" t="inlineStr">
        <is>
          <t>baggett_2014_hb221</t>
        </is>
      </c>
      <c r="AN202" s="19" t="n"/>
      <c r="AO202" s="19" t="n"/>
      <c r="AP202" s="19" t="n"/>
      <c r="AQ202" s="16" t="inlineStr">
        <is>
          <t>Spawning / recruitment monitoring — Mollusk</t>
        </is>
      </c>
      <c r="AR202" s="16" t="inlineStr">
        <is>
          <t>Baggett, L.P.; Powers, S.P.; Brumbaugh, R.D.; Coen, L.D.; DeAngelis, B.M.; Greene, J.K.; Hancock, B.T.; Morlock, S.M.</t>
        </is>
      </c>
      <c r="AS202" s="16" t="inlineStr">
        <is>
          <t>TNC-authored — direct lineage with this MEL framework. Restoration-oriented but the universal metrics and environmental variables transfer to bivalve farming H&amp;B/WQ. The coastal-protection goal-based metric set is the practitioner route to CC 3.1.1 (shoreline position/elevation + wave-gauge/pressure-logger field methods).  |  Migration (one-indicator-per-row, 2026-09-04): split from baggett_2014 -&gt; {baggett_2014_hb111, baggett_2014_hb211, baggett_2014_hb221, baggett_2014_wq121, baggett_2014_cc311}. This row = baggett_2014_hb221 (H&amp;B 2.2.1 — Spawning). Candidate: AK/N/Q blanked and I/K/W/O/P provisional; per-indicator method text, tier/cost/effort and match adjudication to be finalised at generation. Combined parent I/AK/N/Q retained in v37 (pre-split).  |  [2026-10-13 Rule 15 cost re-rate, batch 8] Framework basis: Mol H&amp;B 2.2.1: within the farm; settlement season (3 monthly retrievals); 1 locations × 3 visits × 3 replicates = 9. Spat/recruit settlement plates hung from farm lines, counted in the field with a hand lens; lab fee waived (species counts / field-identifiable taxa); method from method note. Prior O: 'Low–Medium'.  |  [2026-10-13 method-summary pass] I, K: candidate-split text replaced after full read (prior: 'Maps to … Candidate split from parent protocol…' / 'Standalone-candidate… Parent adequacy note…'). L: → Yes (row-specific; gonad histology and sex ratio marked out of scope). W: '3 — Partnership' → '4 — Practitioner' (Rule 14 both ways: hand-lens counts, no lab step; fill amber → lime). N, Q: blank → filled. S: → 'Full PDF'. P: controlled phrase + detail. AB: + Olympia oyster. AG: → 'Visual survey'. O unchanged (settlement plates + field ID kit match the handbook's settlement tiles). AK written; AL Med → High.  |  [2026-10-16 monitoring-methods pass] AT (Monitoring Methods) set from the protocol's method summary (AK): Epibiota on lines / structures, Settlement plates / artificial substrata.</t>
        </is>
      </c>
      <c r="AT202" s="21" t="inlineStr">
        <is>
          <t>Epibiota on lines / structures, Settlement plates / artificial substrata</t>
        </is>
      </c>
    </row>
    <row r="203">
      <c r="A203" s="21" t="inlineStr">
        <is>
          <t>Baggett, L. P., et al.</t>
        </is>
      </c>
      <c r="B203" s="21" t="inlineStr">
        <is>
          <t>Oyster Habitat Restoration Monitoring and Assessment Handbook</t>
        </is>
      </c>
      <c r="C203" s="21" t="inlineStr">
        <is>
          <t>The Nature Conservancy</t>
        </is>
      </c>
      <c r="D203" s="21" t="n"/>
      <c r="E203" s="21" t="n"/>
      <c r="F203" s="21" t="inlineStr">
        <is>
          <t>96 pp</t>
        </is>
      </c>
      <c r="G203" s="21" t="n">
        <v>2014</v>
      </c>
      <c r="H203" s="21" t="inlineStr">
        <is>
          <t>The Nature Conservancy, Arlington, VA</t>
        </is>
      </c>
      <c r="I203" s="21" t="inlineStr">
        <is>
          <t>Maps to WQ 1.2.1 — Dissolved oxygen. DO (mg/L, ±0.1) near the substrate as close to the reef as possible, by moored logger at 15–60 min (preferred, especially in the warmest months) or a DO meter with both daytime and night-time readings, time of day and tide recorded; subtidal reefs only (Handbook §4.3). Match: Partial — recorded as a Universal Environmental Variable to interpret reef performance, with no farm-vs-reference comparison; the protocol adds the Framework's adjacent non-farm areas.</t>
        </is>
      </c>
      <c r="J203" s="21" t="inlineStr">
        <is>
          <t>Protocol</t>
        </is>
      </c>
      <c r="K203" s="21" t="inlineStr">
        <is>
          <t>Confirmed standalone (full read). Units, accuracy, logging interval and the day/night requirement are specified, and nearby agency monitoring stations may substitute — adequate for WQ 1.2.1 once the Framework's non-farm comparison is added (Partial; DO is a covariate in the source, with no comparison site or test).</t>
        </is>
      </c>
      <c r="L203" s="21" t="inlineStr">
        <is>
          <t>Yes — a calibrated handheld DO meter or moored logger; no lab step.</t>
        </is>
      </c>
      <c r="M203" s="21" t="inlineStr">
        <is>
          <t>Yes</t>
        </is>
      </c>
      <c r="N203" s="21" t="inlineStr">
        <is>
          <t>Handheld DO meter (±0.1 mg/L) with a cable probe, or an in situ DO logger (15–60 min interval); calibration supplies; or data from a nearby NOAA/USGS/EPA or academic monitoring station.</t>
        </is>
      </c>
      <c r="O203" s="21" t="inlineStr">
        <is>
          <t>Low — ~$670 yr 1: $620 start-up (handheld DO meter $620 [est]) + $50/yr (DO membranes + electrolyte $50 [est])</t>
        </is>
      </c>
      <c r="P203" s="21" t="inlineStr">
        <is>
          <t>Multi-year monitoring (&gt; 1 year) — continuous logging preferred; otherwise a reading at every site visit (day and night) and after storms, across the short- and mid-term monitoring years</t>
        </is>
      </c>
      <c r="Q203" s="21" t="inlineStr">
        <is>
          <t>Descriptive: DO in mg/L with time of day and tide stage; used to explain low settlement or mortality events (no statistical test specified).</t>
        </is>
      </c>
      <c r="R203" s="21" t="inlineStr">
        <is>
          <t>Yes — Open (free PDF)</t>
        </is>
      </c>
      <c r="S203" s="21" t="inlineStr">
        <is>
          <t>Full PDF</t>
        </is>
      </c>
      <c r="T203" s="21" t="inlineStr">
        <is>
          <t>http://www.oyster-restoration.org/wp-content/uploads/2014/01/Oyster-Habitat-Restoration-Monitoring-and-Assessment-Handbook.pdf</t>
        </is>
      </c>
      <c r="U203" s="21" t="inlineStr">
        <is>
          <t>Restoration-oriented but the universal metrics and environmental variables transfer to bivalve farming; the goal-based coastal-protection metrics are the practitioner route to wave attenuation.</t>
        </is>
      </c>
      <c r="V203" s="21" t="inlineStr">
        <is>
          <t>Provided by Claude (grey/white-lit protocol search)</t>
        </is>
      </c>
      <c r="W203" s="10" t="inlineStr">
        <is>
          <t>4 — Practitioner</t>
        </is>
      </c>
      <c r="X203" s="21" t="inlineStr">
        <is>
          <t>Mollusk</t>
        </is>
      </c>
      <c r="Y203" s="21" t="inlineStr">
        <is>
          <t>Water Quality</t>
        </is>
      </c>
      <c r="Z203" s="21" t="inlineStr">
        <is>
          <t>WQ 1.2.1 — Dissolved oxygen</t>
        </is>
      </c>
      <c r="AA203" s="21" t="inlineStr">
        <is>
          <t>Cross-zone / global</t>
        </is>
      </c>
      <c r="AB203" s="21" t="inlineStr">
        <is>
          <t>Eastern oyster (Crassostrea virginica), Olympia oyster (Ostrea lurida)</t>
        </is>
      </c>
      <c r="AC203" s="21" t="inlineStr">
        <is>
          <t>Not gear-specific</t>
        </is>
      </c>
      <c r="AD203" s="21" t="inlineStr">
        <is>
          <t>Not scale-specific</t>
        </is>
      </c>
      <c r="AE203" s="21" t="inlineStr">
        <is>
          <t>Not site-specific</t>
        </is>
      </c>
      <c r="AF203" s="21" t="inlineStr">
        <is>
          <t>Not specific</t>
        </is>
      </c>
      <c r="AG203" s="21" t="inlineStr">
        <is>
          <t>Water chemistry</t>
        </is>
      </c>
      <c r="AH203" s="21" t="inlineStr">
        <is>
          <t>Not algae-specific</t>
        </is>
      </c>
      <c r="AI203" s="21" t="inlineStr">
        <is>
          <t>Not depth-specific</t>
        </is>
      </c>
      <c r="AJ203" s="21" t="inlineStr">
        <is>
          <t>Not exposure-specific</t>
        </is>
      </c>
      <c r="AK203" s="16" t="inlineStr">
        <is>
          <t>To track dissolved oxygen at your oyster farm, take readings with a calibrated handheld DO meter (accurate to ±0.1 mg/L) close to the bottom or the lowest layer of stock, at [3] spots within the farm and at [2] nearby unfarmed areas of similar depth, once per season and at the same time of day each visit. Record the time, tide stage, water temperature and salinity with every reading, and report DO in mg/L. Oxygen is lowest at night and in the warmest months, so a single daytime reading will miss the worst conditions; where you can, add a night-time reading or moor a logger recording every 15–60 minutes through the summer. If a government or university monitoring station is close by, its record can stand in, provided you note its distance from the farm and anything in between that changes the water.</t>
        </is>
      </c>
      <c r="AL203" s="17" t="inlineStr">
        <is>
          <t>High</t>
        </is>
      </c>
      <c r="AM203" s="18" t="inlineStr">
        <is>
          <t>baggett_2014_wq121</t>
        </is>
      </c>
      <c r="AN203" s="19" t="n"/>
      <c r="AO203" s="19" t="n"/>
      <c r="AP203" s="19" t="n"/>
      <c r="AQ203" s="16" t="inlineStr">
        <is>
          <t>Dissolved-oxygen monitoring — Mollusk</t>
        </is>
      </c>
      <c r="AR203" s="16" t="inlineStr">
        <is>
          <t>Baggett, L.P.; Powers, S.P.; Brumbaugh, R.D.; Coen, L.D.; DeAngelis, B.M.; Greene, J.K.; Hancock, B.T.; Morlock, S.M.</t>
        </is>
      </c>
      <c r="AS203" s="16" t="inlineStr">
        <is>
          <t>TNC-authored — direct lineage with this MEL framework. Restoration-oriented but the universal metrics and environmental variables transfer to bivalve farming H&amp;B/WQ. The coastal-protection goal-based metric set is the practitioner route to CC 3.1.1 (shoreline position/elevation + wave-gauge/pressure-logger field methods).  |  Migration (one-indicator-per-row, 2026-09-04): split from baggett_2014 -&gt; {baggett_2014_hb111, baggett_2014_hb211, baggett_2014_hb221, baggett_2014_wq121, baggett_2014_cc311}. This row = baggett_2014_wq121 (WQ 1.2.1 — Dissolved oxygen). Candidate: AK/N/Q blanked and I/K/W/O/P provisional; per-indicator method text, tier/cost/effort and match adjudication to be finalised at generation. Combined parent I/AK/N/Q retained in v37 (pre-split).  |  [2026-10-13 Rule 15 cost re-rate, batch 8] Framework basis: Mol WQ 1.2.1: farm + 2 adjacent non-farm refs; seasonal + diurnal, fixed-time reading (4 visits); 3 locations × 4 visits × 3 replicates = 36 readings. Handheld DO probe as the handbook specifies, one reading time per visit (Peter's decision, 2026-10-13: hand meter for this row instead of the logger route); no per-reading cost. Prior O: 'Low–Medium'.  |  [2026-10-13 method-summary pass] I, K: candidate-split text replaced after full read (prior: 'Maps to … Candidate split from parent protocol…' / 'Standalone-candidate… Parent adequacy note…'). L: → Yes. W: '3 — Partnership' → '4 — Practitioner' (Rule 14 both ways: meter or logger, no lab step — as xu_2008_wq121 and ray_2015_wq121; fill amber → lime). N, Q: blank → filled. S: → 'Full PDF'. P: controlled phrase + detail. AB: + Olympia oyster. AG: → 'Water chemistry'. O unchanged (hand-meter route, Peter 2026-10-13). AK written; AL Med → High.  |  [2026-10-16 monitoring-methods pass] AT (Monitoring Methods) set from the protocol's method summary (AK): Temperature / salinity, Dissolved oxygen, Continuous moored sensors.</t>
        </is>
      </c>
      <c r="AT203" s="21" t="inlineStr">
        <is>
          <t>Temperature / salinity, Dissolved oxygen, Continuous moored sensors</t>
        </is>
      </c>
    </row>
    <row r="204">
      <c r="A204" s="21" t="inlineStr">
        <is>
          <t>Baggett, L. P., et al.</t>
        </is>
      </c>
      <c r="B204" s="21" t="inlineStr">
        <is>
          <t>Oyster Habitat Restoration Monitoring and Assessment Handbook</t>
        </is>
      </c>
      <c r="C204" s="21" t="inlineStr">
        <is>
          <t>The Nature Conservancy</t>
        </is>
      </c>
      <c r="D204" s="21" t="n"/>
      <c r="E204" s="21" t="n"/>
      <c r="F204" s="21" t="inlineStr">
        <is>
          <t>96 pp</t>
        </is>
      </c>
      <c r="G204" s="21" t="n">
        <v>2014</v>
      </c>
      <c r="H204" s="21" t="inlineStr">
        <is>
          <t>The Nature Conservancy, Arlington, VA</t>
        </is>
      </c>
      <c r="I204" s="21" t="inlineStr">
        <is>
          <t>Maps to CC 3.1.1 — Wave attenuation / coastal protection. Wave height seaward and landward of the reef (surveyor's rod, mean of 10 successive waves, or short-interval water-depth loggers) and tidal flow (flow meter, ADV or timed drifter), at regular intervals along the reef and at a control site, at least quarterly (Handbook §8.4.2), as an ancillary to shoreline position and profile surveys (§8.1–8.2). Match: Partial — gives wave-height reduction, not wave spectra or kD.</t>
        </is>
      </c>
      <c r="J204" s="21" t="inlineStr">
        <is>
          <t>Protocol</t>
        </is>
      </c>
      <c r="K204" s="21" t="inlineStr">
        <is>
          <t>Confirmed standalone (full read). Paired seaward/landward measurements at the project and at a control site with similar conditions, before and after construction, give a direct measure of wave reduction; the handbook notes this does not on its own translate into shoreline protection — adequate for CC 3.1.1 (Partial; wave height rather than spectra). Kept: the handbook does measure waves (checked per handoff v2).</t>
        </is>
      </c>
      <c r="L204" s="21" t="inlineStr">
        <is>
          <t>Yes — surveyor's-rod readings or moored pressure loggers processed with the manufacturer's software are farmer-executable; kD is a spreadsheet calculation.</t>
        </is>
      </c>
      <c r="M204" s="21" t="inlineStr">
        <is>
          <t>Yes</t>
        </is>
      </c>
      <c r="N204" s="21" t="inlineStr">
        <is>
          <t>Two wave-resolving pressure (water-depth) loggers on moorings, seaward and landward of the gear; or a graduated surveyor's rod for manual readings; electromagnetic flow meter / acoustic Doppler velocimeter, or a drifter timed over a known distance, for tidal flow; dGPS for station positions.</t>
        </is>
      </c>
      <c r="O204" s="21" t="inlineStr">
        <is>
          <t>Medium — ~$4.2K yr 1: $4.2K start-up (wave gauge ×2 $4K [est]; mooring ×2 $200 [est]) + no recurring cost</t>
        </is>
      </c>
      <c r="P204" s="21" t="inlineStr">
        <is>
          <t>Multi-year monitoring (&gt; 1 year) — wave and flow measurements at every site visit, at least quarterly, before and after construction</t>
        </is>
      </c>
      <c r="Q204" s="21" t="inlineStr">
        <is>
          <t>Mean wave height seaward minus mean landward (m) and mean flow difference (m/s) per survey; compared with the control site and pre-construction data (no specific test). kD = ln(H landward / H seaward) / distance is added by the protocol to meet the Framework metric.</t>
        </is>
      </c>
      <c r="R204" s="21" t="inlineStr">
        <is>
          <t>Yes — Open (free PDF)</t>
        </is>
      </c>
      <c r="S204" s="21" t="inlineStr">
        <is>
          <t>Full PDF</t>
        </is>
      </c>
      <c r="T204" s="21" t="inlineStr">
        <is>
          <t>http://www.oyster-restoration.org/wp-content/uploads/2014/01/Oyster-Habitat-Restoration-Monitoring-and-Assessment-Handbook.pdf</t>
        </is>
      </c>
      <c r="U204" s="21" t="inlineStr">
        <is>
          <t>Restoration-oriented but the universal metrics and environmental variables transfer to bivalve farming; the goal-based coastal-protection metrics are the practitioner route to wave attenuation.</t>
        </is>
      </c>
      <c r="V204" s="21" t="inlineStr">
        <is>
          <t>Provided by Claude (grey/white-lit protocol search)</t>
        </is>
      </c>
      <c r="W204" s="10" t="inlineStr">
        <is>
          <t>4 — Practitioner</t>
        </is>
      </c>
      <c r="X204" s="21" t="inlineStr">
        <is>
          <t>Mollusk</t>
        </is>
      </c>
      <c r="Y204" s="21" t="inlineStr">
        <is>
          <t>Climate Change</t>
        </is>
      </c>
      <c r="Z204" s="21" t="inlineStr">
        <is>
          <t>CC 3.1.1 — Wave attenuation / coastal protection</t>
        </is>
      </c>
      <c r="AA204" s="21" t="inlineStr">
        <is>
          <t>Cross-zone / global</t>
        </is>
      </c>
      <c r="AB204" s="21" t="inlineStr">
        <is>
          <t>Eastern oyster (Crassostrea virginica), Olympia oyster (Ostrea lurida)</t>
        </is>
      </c>
      <c r="AC204" s="21" t="inlineStr">
        <is>
          <t>Not gear-specific</t>
        </is>
      </c>
      <c r="AD204" s="21" t="inlineStr">
        <is>
          <t>Not scale-specific</t>
        </is>
      </c>
      <c r="AE204" s="21" t="inlineStr">
        <is>
          <t>Not site-specific</t>
        </is>
      </c>
      <c r="AF204" s="21" t="inlineStr">
        <is>
          <t>Not specific</t>
        </is>
      </c>
      <c r="AG204" s="21" t="inlineStr">
        <is>
          <t>Mixed methods</t>
        </is>
      </c>
      <c r="AH204" s="21" t="inlineStr">
        <is>
          <t>Not algae-specific</t>
        </is>
      </c>
      <c r="AI204" s="21" t="inlineStr">
        <is>
          <t>Not depth-specific</t>
        </is>
      </c>
      <c r="AJ204" s="21" t="inlineStr">
        <is>
          <t>Not exposure-specific</t>
        </is>
      </c>
      <c r="AK204" s="16" t="inlineStr">
        <is>
          <t>To measure how much your farm reduces waves, record wave height on the seaward and inshore sides of the gear at the same time — ideally with two wave-resolving pressure loggers moored on either side for [several days] at a time, or for a quick check by standing beside the gear with a graduated surveyor's rod and reading crest and trough heights for 10 successive waves on each side. Express the effect as mean wave height seaward minus inshore, and as a wave decay coefficient (kD) from the ratio of the two heights over the distance between the stations. Repeat at every farm visit, at least quarterly, and if you can before the gear goes in and at a nearby unfarmed stretch of similar depth and exposure. Measure the tidal current on each side too (a flow meter, or by timing a drifter over a known distance), since currents and tide stage change wave heights. Less wave energy does not on its own prove shoreline protection; to show that, pair it with shoreline position and profile surveys on the adjacent shore.</t>
        </is>
      </c>
      <c r="AL204" s="17" t="inlineStr">
        <is>
          <t>High</t>
        </is>
      </c>
      <c r="AM204" s="18" t="inlineStr">
        <is>
          <t>baggett_2014_cc311</t>
        </is>
      </c>
      <c r="AN204" s="19" t="n"/>
      <c r="AO204" s="19" t="n"/>
      <c r="AP204" s="19" t="n"/>
      <c r="AQ204" s="16" t="inlineStr">
        <is>
          <t>Wave-attenuation / coastal-protection monitoring — Mollusk</t>
        </is>
      </c>
      <c r="AR204" s="16" t="inlineStr">
        <is>
          <t>Baggett, L.P.; Powers, S.P.; Brumbaugh, R.D.; Coen, L.D.; DeAngelis, B.M.; Greene, J.K.; Hancock, B.T.; Morlock, S.M.</t>
        </is>
      </c>
      <c r="AS204" s="16" t="inlineStr">
        <is>
          <t>TNC-authored — direct lineage with this MEL framework. Restoration-oriented but the universal metrics and environmental variables transfer to bivalve farming H&amp;B/WQ. The coastal-protection goal-based metric set is the practitioner route to CC 3.1.1 (shoreline position/elevation + wave-gauge/pressure-logger field methods).  |  Migration (one-indicator-per-row, 2026-09-04): split from baggett_2014 -&gt; {baggett_2014_hb111, baggett_2014_hb211, baggett_2014_hb221, baggett_2014_wq121, baggett_2014_cc311}. This row = baggett_2014_cc311 (CC 3.1.1 — Wave attenuation / coastal protection). Candidate: AK/N/Q blanked and I/K/W/O/P provisional; per-indicator method text, tier/cost/effort and match adjudication to be finalised at generation. Combined parent I/AK/N/Q retained in v37 (pre-split).  |  [2026-10-13 Rule 15 cost re-rate, batch 8] Framework basis: Mol CC 3.1.1: within or at the edge of the farm; real-time/continuous (one logger per location); wave decay needs a paired seaward + landward gauge = 2 loggers deployed together. Wave-resolving pressure loggers per the handbook's wave-gauge/pressure-logger method; shoreline position/elevation surveys are outside the kD metric; gauge price is an estimate (quote needed) — Medium holds up to about $4.9K a gauge. Prior O: 'Low–Medium'.  |  [2026-10-13 method-summary pass] Handoff check: the handbook does measure waves (§8.4.2, surveyor's rod or depth loggers, seaward vs landward, quarterly) → row kept. I, K: candidate-split text replaced after full read (prior: 'Maps to … Candidate split from parent protocol…' / 'Standalone-candidate… Parent adequacy note…'). L: → Yes. W: '3 — Partnership' → '4 — Practitioner' (Rule 14 both ways: no lab step; fill amber → lime). N, Q: blank → filled. S: → 'Full PDF'. P: controlled phrase + detail. AB: + Olympia oyster. AG: 'Visual survey, Water chemistry' → 'Mixed methods'. O unchanged (paired logger route meets the Framework's continuous frequency; the rod is a cheaper spot check but not continuous; the handbook's control site is above the Framework minimum). kD formula added by the protocol, not the source. AK written; AL Med → High.  |  [2026-10-16 monitoring-methods pass] AT (Monitoring Methods) set from the protocol's method summary (AK): Water clarity / turbidity (Secchi), Wave-tide recorder.</t>
        </is>
      </c>
      <c r="AT204" s="21" t="inlineStr">
        <is>
          <t>Water clarity / turbidity (Secchi), Wave-tide recorder</t>
        </is>
      </c>
    </row>
    <row r="205">
      <c r="A205" t="inlineStr">
        <is>
          <t>zu Ermgassen, P.S.E., et al. (eds)</t>
        </is>
      </c>
      <c r="B205" t="inlineStr">
        <is>
          <t>European Native Oyster Habitat Restoration Monitoring Handbook</t>
        </is>
      </c>
      <c r="C205" t="inlineStr">
        <is>
          <t>Native Oyster Restoration Alliance (NORA)</t>
        </is>
      </c>
      <c r="G205" t="n">
        <v>2021</v>
      </c>
      <c r="H205" t="inlineStr">
        <is>
          <t>The Zoological Society of London</t>
        </is>
      </c>
      <c r="I205" t="inlineStr">
        <is>
          <t>Maps to H&amp;B 1.1.1 — Epibiota. Epifaunal sessile invertebrates and macrophytes on native oyster habitat (Handbook Metric 20): colonial species as percent cover, solitary and conspicuous species counted per area, by diver quadrats or transects; alternatives are oyster-filled habitat trays sorted and identified on site (Metric 21), drop-down video quadrats annotated in BIIGLE, and eDNA. Once before restoration and annually thereafter, restored vs control sites. Match: Yes — the farmed stock stands in for the restored bed.</t>
        </is>
      </c>
      <c r="J205" t="inlineStr">
        <is>
          <t>Protocol</t>
        </is>
      </c>
      <c r="K205" t="inlineStr">
        <is>
          <t>Yes (full read) — defined units (species per m² with a species list; percent cover for colonial forms, counts for solitary ones) and a restored-vs-control design measure abundance and diversity of epibiota on oysters. Written for restored seabed beds and annual surveys, so the protocol applies it to the farmed stock each season.</t>
        </is>
      </c>
      <c r="L205" t="inlineStr">
        <is>
          <t>Yes — epibiota on sampled oysters scored as cover or counts and identified on site with a regional guide; the handbook's DDV image annotation and eDNA routes are optional.</t>
        </is>
      </c>
      <c r="M205" t="inlineStr">
        <is>
          <t>Yes</t>
        </is>
      </c>
      <c r="N205" t="inlineStr">
        <is>
          <t>Quadrats (e.g. 50 × 50 cm) and transect tape for diver surveys (Box 4.1); habitat trays with drainage holes filled with native oysters or shell; drop-down video with calibrated lasers and BIIGLE annotation software; eDNA sampling kit (optional); regional ID guide.</t>
        </is>
      </c>
      <c r="O205" t="inlineStr">
        <is>
          <t>Low — ~$80 yr 1: $80 start-up (field ID kit $80 [est]) + no recurring cost</t>
        </is>
      </c>
      <c r="P205" t="inlineStr">
        <is>
          <t>Multi-year monitoring (&gt; 1 year) — once before restoration and annually thereafter, when key species are most abundant</t>
        </is>
      </c>
      <c r="Q205" t="inlineStr">
        <is>
          <t>Number of species per m² with a species list; abundance as percent cover (colonial species and macrophytes; may exceed 100%) or individuals per area (solitary species); performance judged as a trend of higher biodiversity and abundance on restored sites relative to pre-construction and control sites (no specific test).</t>
        </is>
      </c>
      <c r="R205" t="inlineStr">
        <is>
          <t>Yes — Open (handbook PDF, ISBN 978-0-900881-89-3)</t>
        </is>
      </c>
      <c r="S205" t="inlineStr">
        <is>
          <t>Full PDF</t>
        </is>
      </c>
      <c r="T205" t="inlineStr">
        <is>
          <t>https://archimer.ifremer.fr/doc/00745/85667/90807.pdf</t>
        </is>
      </c>
      <c r="U205" t="inlineStr">
        <is>
          <t>Use it for European flat-oyster (Ostrea edulis) settings where the TNC handbook methods need adapting.</t>
        </is>
      </c>
      <c r="V205" t="inlineStr">
        <is>
          <t>Provided by Claude (grey/white-lit protocol search)</t>
        </is>
      </c>
      <c r="W205" s="10" t="inlineStr">
        <is>
          <t>4 — Practitioner</t>
        </is>
      </c>
      <c r="X205" t="inlineStr">
        <is>
          <t>Mollusk</t>
        </is>
      </c>
      <c r="Y205" t="inlineStr">
        <is>
          <t>Habitat &amp; Biodiversity</t>
        </is>
      </c>
      <c r="Z205" t="inlineStr">
        <is>
          <t>H&amp;B 1.1.1 — Epibiota</t>
        </is>
      </c>
      <c r="AA205" t="inlineStr">
        <is>
          <t>Temperate Atlantic</t>
        </is>
      </c>
      <c r="AB205" t="inlineStr">
        <is>
          <t>European flat oyster (Ostrea edulis)</t>
        </is>
      </c>
      <c r="AC205" t="inlineStr">
        <is>
          <t>Not gear-specific</t>
        </is>
      </c>
      <c r="AD205" t="inlineStr">
        <is>
          <t>Not scale-specific</t>
        </is>
      </c>
      <c r="AE205" t="inlineStr">
        <is>
          <t>Not site-specific</t>
        </is>
      </c>
      <c r="AF205" t="inlineStr">
        <is>
          <t>Not specific</t>
        </is>
      </c>
      <c r="AG205" t="inlineStr">
        <is>
          <t>Visual survey</t>
        </is>
      </c>
      <c r="AH205" t="inlineStr">
        <is>
          <t>Not algae-specific</t>
        </is>
      </c>
      <c r="AI205" t="inlineStr">
        <is>
          <t>Not depth-specific</t>
        </is>
      </c>
      <c r="AJ205" t="inlineStr">
        <is>
          <t>Not exposure-specific</t>
        </is>
      </c>
      <c r="AK205" s="16" t="inlineStr">
        <is>
          <t>To measure the animals and seaweeds growing on your oysters, each season take [10] oysters (or a bag or tray of known area) from [3] spots within the farm and [3] at its edge. Lay the sample on a tray, score colonial growth — sponges, sea squirts, bryozoans, seaweeds — as percent cover of shell surface, and count solitary animals such as barnacles, tube-worms, mussels and slipper limpets per oyster, identifying on the spot with a regional guide before returning the stock. Note invasive species (Pacific oyster, slipper limpet, carpet sea squirt) and clean, disinfect and dry gear between sites. Compare the number of species and their cover or counts between farm and edge across seasons; the handbook surveys restored seabed beds once a year by diver quadrats or oyster-filled trays, and here the farmed stock stands in for the bed.</t>
        </is>
      </c>
      <c r="AL205" s="17" t="inlineStr">
        <is>
          <t>High</t>
        </is>
      </c>
      <c r="AM205" s="18" t="inlineStr">
        <is>
          <t>ukireland_2021_hb111</t>
        </is>
      </c>
      <c r="AN205" s="19" t="n"/>
      <c r="AO205" s="19" t="n"/>
      <c r="AP205" s="19" t="n"/>
      <c r="AQ205" s="16" t="inlineStr">
        <is>
          <t>Epibiota / fouling survey — Mollusk</t>
        </is>
      </c>
      <c r="AR205" s="16" t="inlineStr">
        <is>
          <t>zu Ermgassen, Philine S.E.; Bos, Oscar; Debney, Alison; Gamble, Celine; Glover, Azra; Pogoda, Bernadette; Pouvreau, Stéphane; Sanderson, William; Smyth, David; Preston, Joanne (eds)</t>
        </is>
      </c>
      <c r="AS205" s="16" t="inlineStr">
        <is>
          <t>Use for European flat-oyster (Ostrea edulis) contexts where Baggett 2014 methods need adaptation. Complementary to the MarineGEO Oyster-Reef protocol and Baggett handbook.  |  Migration (one-indicator-per-row, 2026-09-04): split from ukireland_2021 -&gt; {ukireland_2021_hb111, ukireland_2021_hb211, ukireland_2021_hb221, ukireland_2021_cc311}. This row = ukireland_2021_hb111 (H&amp;B 1.1.1 — Epibiota). Candidate: AK/N/Q blanked and I/K/W/O/P provisional; per-indicator method text, tier/cost/effort and match adjudication to be finalised at generation. Combined parent I/AK/N/Q retained in v37 (pre-split).  |  [2026-10-13 Rule 15 cost re-rate, batch 8] Framework basis: Mol H&amp;B 1.1.1: amongst farmed biomass, within farm + edge; seasonal (4 visits); 2 locations × 4 visits × 3 replicates = 24. Associated fauna collected from the farmed oysters and counted in the field with a guide; lab fee waived (species counts / field-identifiable taxa); method from method note. ukireland_2021_cc311 deleted on review (2026-10-13, Peter's decision): no wave-attenuation method recorded for the guideline. Prior O: 'Low–Medium'.  |  [2026-10-13 method-summary pass] Partial read (Archimer PDF, Ch. 1–3: design guidance, universal and supplementary oyster metrics). The associated-biodiversity methods sit in Ch. 4 (goal-based metrics, §4.2), which the fetch did not reach; AK, N, Q, W and match left for the full PDF. A, B, H, R, T, AR corrected to the published handbook (zu Ermgassen et al. eds 2021, ZSL, ISBN 978-0-900881-89-3; PDF on Ifremer Archimer). Prior: A: 'Native Oyster Network (UK &amp; Ireland)'; B: 'European Native Oyster Habitat Restoration Monitoring Guidelines'; H: 'NORA / ZSL Native Oyster Network'; R: 'Yes — Open (online guidelines)'; T: 'https://nativeoysternetwork.org/2021/05/04/native-oyster-monitoring-guidelines/'; AR: 'Native Oyster Network (UK &amp; Ireland); Native Oyster Restoration Alliance (NORA)'.  |  [2026-10-13 method-summary pass] Full read (handbook PDF from Project files; Ch. 4 Metric 20 and Box 4.1, with Metric 21 habitat trays). I, K: candidate-split text replaced. W: 3 → 4 (Rule 14: cover and counts identified on site with a guide, no lab step; fill → lime). L → Yes. N, Q: blank → filled. S → Full PDF. P: controlled phrase + detail. O unchanged (field ID kit; samples taken from the stock need no quadrat). AK written; AL Med → High. Prior: I: 'Maps to H&amp;B 1.1.1 — Epibiota. Candidate split from parent protocol 'uk…'; K: 'Standalone-candidate (per-indicator adequacy to be confirmed at genera…'; L: 'Partial — universal/structural metrics farmer-doable; biodiversity and…'; P: 'Multi-year monitoring (&gt; 1 year)'; S: 'Abstract + Methods (fetched)'; W: '3 — Partnership'; AL: 'Med'.  |  [2026-10-16 monitoring-methods pass] AT (Monitoring Methods) set from the protocol's method summary (AK): Epibiota on lines / structures.</t>
        </is>
      </c>
      <c r="AT205" s="21" t="inlineStr">
        <is>
          <t>Epibiota on lines / structures</t>
        </is>
      </c>
    </row>
    <row r="206">
      <c r="A206" s="21" t="inlineStr">
        <is>
          <t>zu Ermgassen, P.S.E., et al. (eds)</t>
        </is>
      </c>
      <c r="B206" s="21" t="inlineStr">
        <is>
          <t>European Native Oyster Habitat Restoration Monitoring Handbook</t>
        </is>
      </c>
      <c r="C206" s="21" t="inlineStr">
        <is>
          <t>Native Oyster Restoration Alliance (NORA)</t>
        </is>
      </c>
      <c r="D206" s="21" t="n"/>
      <c r="E206" s="21" t="n"/>
      <c r="F206" s="21" t="n"/>
      <c r="G206" s="21" t="n">
        <v>2021</v>
      </c>
      <c r="H206" s="21" t="inlineStr">
        <is>
          <t>The Zoological Society of London</t>
        </is>
      </c>
      <c r="I206" s="21" t="inlineStr">
        <is>
          <t>Maps to H&amp;B 2.1.1 — Community composition. Fish and invertebrate biodiversity on restored native oyster habitat vs control sites (Handbook Metrics 19–22): infauna by sediment core or 0.1 m² grab sieved at 1 mm (lab ID); sessile epifauna by diver quadrats, DDV or habitat trays; small resident fish and mobile invertebrates by underwater video, visual census or oyster-filled habitat trays identified on site; transient fish by unbaited remote video or fyke/lift nets; eDNA as an alternative throughout. Once before restoration and annually thereafter. Match: Yes.</t>
        </is>
      </c>
      <c r="J206" s="21" t="inlineStr">
        <is>
          <t>Protocol</t>
        </is>
      </c>
      <c r="K206" s="21" t="inlineStr">
        <is>
          <t>Yes (full read) — a menu of compartment-specific methods with defined units and a restored-vs-control (ideally BACI) design gives a community biodiversity profile. The handbook notes no single method samples all groups and that counting species or groups is acceptable where expertise is limited, which supports the field version used here (infauna left out).</t>
        </is>
      </c>
      <c r="L206" s="21" t="inlineStr">
        <is>
          <t>Yes — oyster and quadrat samples sorted and identified on site with a regional guide; the handbook's infaunal cores, video scoring and eDNA need lab or analyst time and are left out of the field version.</t>
        </is>
      </c>
      <c r="M206" s="21" t="inlineStr">
        <is>
          <t>Yes</t>
        </is>
      </c>
      <c r="N206" s="21" t="inlineStr">
        <is>
          <t>Sediment corer or 0.1 m² Van Veen grab, 1 mm sieve, buffered 4% formalin (infauna); quadrats and transect line for underwater visual census (Box 4.1); habitat trays filled with native oysters or shell; drop-down or remote underwater video on a weighted frame; fyke or lift nets (intertidal); eDNA sampling kit; regional ID guide.</t>
        </is>
      </c>
      <c r="O206" s="21" t="inlineStr">
        <is>
          <t>Low — ~$110 yr 1: $110 start-up (field ID kit $80 [est]; quadrat $30 [est]) + no recurring cost</t>
        </is>
      </c>
      <c r="P206" s="21" t="inlineStr">
        <is>
          <t>Multi-year monitoring (&gt; 1 year) — once before restoration and annually thereafter, when key species are most abundant</t>
        </is>
      </c>
      <c r="Q206" s="21" t="inlineStr">
        <is>
          <t>Per compartment: species per sediment volume and biomass (g FW/m²) for infauna; species per m², percent cover or counts for epifauna; individuals per m² and length-frequency for resident fauna; CPUE (individuals/hour) for nets; first arrival and maximum count per species in 10-minute bins for remote video. Performance: a trend toward statistically higher biodiversity and abundance on restored sites than pre-construction and control sites (no specific test).</t>
        </is>
      </c>
      <c r="R206" s="21" t="inlineStr">
        <is>
          <t>Yes — Open (handbook PDF, ISBN 978-0-900881-89-3)</t>
        </is>
      </c>
      <c r="S206" s="21" t="inlineStr">
        <is>
          <t>Full PDF</t>
        </is>
      </c>
      <c r="T206" s="21" t="inlineStr">
        <is>
          <t>https://archimer.ifremer.fr/doc/00745/85667/90807.pdf</t>
        </is>
      </c>
      <c r="U206" s="21" t="inlineStr">
        <is>
          <t>Use it for European flat-oyster (Ostrea edulis) settings where the TNC handbook methods need adapting.</t>
        </is>
      </c>
      <c r="V206" s="21" t="inlineStr">
        <is>
          <t>Provided by Claude (grey/white-lit protocol search)</t>
        </is>
      </c>
      <c r="W206" s="10" t="inlineStr">
        <is>
          <t>4 — Practitioner</t>
        </is>
      </c>
      <c r="X206" s="21" t="inlineStr">
        <is>
          <t>Mollusk</t>
        </is>
      </c>
      <c r="Y206" s="21" t="inlineStr">
        <is>
          <t>Habitat &amp; Biodiversity</t>
        </is>
      </c>
      <c r="Z206" s="21" t="inlineStr">
        <is>
          <t>H&amp;B 2.1.1 — Community composition</t>
        </is>
      </c>
      <c r="AA206" s="21" t="inlineStr">
        <is>
          <t>Temperate Atlantic</t>
        </is>
      </c>
      <c r="AB206" s="21" t="inlineStr">
        <is>
          <t>European flat oyster (Ostrea edulis)</t>
        </is>
      </c>
      <c r="AC206" s="21" t="inlineStr">
        <is>
          <t>Not gear-specific</t>
        </is>
      </c>
      <c r="AD206" s="21" t="inlineStr">
        <is>
          <t>Not scale-specific</t>
        </is>
      </c>
      <c r="AE206" s="21" t="inlineStr">
        <is>
          <t>Not site-specific</t>
        </is>
      </c>
      <c r="AF206" s="21" t="inlineStr">
        <is>
          <t>Not specific</t>
        </is>
      </c>
      <c r="AG206" s="21" t="inlineStr">
        <is>
          <t>Visual survey</t>
        </is>
      </c>
      <c r="AH206" s="21" t="inlineStr">
        <is>
          <t>Not algae-specific</t>
        </is>
      </c>
      <c r="AI206" s="21" t="inlineStr">
        <is>
          <t>Not depth-specific</t>
        </is>
      </c>
      <c r="AJ206" s="21" t="inlineStr">
        <is>
          <t>Not exposure-specific</t>
        </is>
      </c>
      <c r="AK206" s="16" t="inlineStr">
        <is>
          <t>To compare the community your oyster farm supports with nearby unfarmed habitat, each season sample [2] areas within the farm (among the stock and at its edge) and [2] reference areas of similar seabed nearby, away from the farm's influence. In the farm take [3] samples of oysters or gear of known size; at each reference area collect everything inside [3] 50 × 50 cm quadrats. Sort each sample on a tray, identify sessile and mobile animals and seaweeds on the spot to the lowest level you can with a regional guide, count solitary animals and score colonial ones as percent cover, then return everything. Compare the number of species, abundances and species mix between farm and reference areas over the years; the handbook adds sediment cores for burrowing animals (lab sorting) and remote video for passing fish, which this field version leaves out.</t>
        </is>
      </c>
      <c r="AL206" s="17" t="inlineStr">
        <is>
          <t>High</t>
        </is>
      </c>
      <c r="AM206" s="18" t="inlineStr">
        <is>
          <t>ukireland_2021_hb211</t>
        </is>
      </c>
      <c r="AN206" s="19" t="n"/>
      <c r="AO206" s="19" t="n"/>
      <c r="AP206" s="19" t="n"/>
      <c r="AQ206" s="16" t="inlineStr">
        <is>
          <t>Community-composition survey — Mollusk</t>
        </is>
      </c>
      <c r="AR206" s="16" t="inlineStr">
        <is>
          <t>zu Ermgassen, Philine S.E.; Bos, Oscar; Debney, Alison; Gamble, Celine; Glover, Azra; Pogoda, Bernadette; Pouvreau, Stéphane; Sanderson, William; Smyth, David; Preston, Joanne (eds)</t>
        </is>
      </c>
      <c r="AS206" s="16" t="inlineStr">
        <is>
          <t>Use for European flat-oyster (Ostrea edulis) contexts where Baggett 2014 methods need adaptation. Complementary to the MarineGEO Oyster-Reef protocol and Baggett handbook.  |  Migration (one-indicator-per-row, 2026-09-04): split from ukireland_2021 -&gt; {ukireland_2021_hb111, ukireland_2021_hb211, ukireland_2021_hb221, ukireland_2021_cc311}. This row = ukireland_2021_hb211 (H&amp;B 2.1.1 — Community composition). Candidate: AK/N/Q blanked and I/K/W/O/P provisional; per-indicator method text, tier/cost/effort and match adjudication to be finalised at generation. Combined parent I/AK/N/Q retained in v37 (pre-split).  |  [2026-10-13 Rule 15 cost re-rate, batch 8] Framework basis: Mol H&amp;B 2.1.1: 2 farm strata + 2 nearby non-farm refs; seasonal (4 visits); 4 locations × 4 visits × 3 replicates = 48. Associated fauna collected at farm and reference habitat (quadrat-bounded there) and counted in the field; lab fee waived (species counts / field-identifiable taxa); method from method note. ukireland_2021_cc311 deleted on review (2026-10-13, Peter's decision): no wave-attenuation method recorded for the guideline. Prior O: 'Low–Medium'.  |  [2026-10-13 method-summary pass] Partial read (Archimer PDF, Ch. 1–3: design guidance, universal and supplementary oyster metrics). The associated-biodiversity methods sit in Ch. 4 (goal-based metrics, §4.2), which the fetch did not reach; AK, N, Q, W and match left for the full PDF. A, B, H, R, T, AR corrected to the published handbook (zu Ermgassen et al. eds 2021, ZSL, ISBN 978-0-900881-89-3; PDF on Ifremer Archimer). Prior: A: 'Native Oyster Network (UK &amp; Ireland)'; B: 'European Native Oyster Habitat Restoration Monitoring Guidelines'; H: 'NORA / ZSL Native Oyster Network'; R: 'Yes — Open (online guidelines)'; T: 'https://nativeoysternetwork.org/2021/05/04/native-oyster-monitoring-guidelines/'; AR: 'Native Oyster Network (UK &amp; Ireland); Native Oyster Restoration Alliance (NORA)'.  |  [2026-10-13 method-summary pass] Full read (handbook PDF from Project files; Ch. 4 Metrics 19–22, Box 4.1). I, K: candidate-split text replaced. W: 3 → 4 (Rule 14: field version sorted and identified on site with a guide; fill → lime). L → Yes. N, Q: blank → filled. S → Full PDF. P: controlled phrase + detail. O unchanged (field ID kit + quadrat match the field version; infauna and video left out). AK written; AL Med → High. Prior: I: 'Maps to H&amp;B 2.1.1 — Community composition. Candidate split from parent…'; K: 'Standalone-candidate (per-indicator adequacy to be confirmed at genera…'; L: 'Partial — universal/structural metrics farmer-doable; biodiversity and…'; P: 'Multi-year monitoring (&gt; 1 year)'; S: 'Abstract + Methods (fetched)'; W: '3 — Partnership'; AL: 'Med'.  |  [2026-10-16 monitoring-methods pass] AT (Monitoring Methods) set from the protocol's method summary (AK): Epibiota on lines / structures, Bivalve condition index / growth.</t>
        </is>
      </c>
      <c r="AT206" s="21" t="inlineStr">
        <is>
          <t>Epibiota on lines / structures, Bivalve condition index / growth</t>
        </is>
      </c>
    </row>
    <row r="207">
      <c r="A207" s="21" t="inlineStr">
        <is>
          <t>zu Ermgassen, P.S.E., et al. (eds)</t>
        </is>
      </c>
      <c r="B207" s="21" t="inlineStr">
        <is>
          <t>European Native Oyster Habitat Restoration Monitoring Handbook</t>
        </is>
      </c>
      <c r="C207" s="21" t="inlineStr">
        <is>
          <t>Native Oyster Restoration Alliance (NORA)</t>
        </is>
      </c>
      <c r="D207" s="21" t="n"/>
      <c r="E207" s="21" t="n"/>
      <c r="F207" s="21" t="n"/>
      <c r="G207" s="21" t="n">
        <v>2021</v>
      </c>
      <c r="H207" s="21" t="inlineStr">
        <is>
          <t>The Zoological Society of London</t>
        </is>
      </c>
      <c r="I207" s="21" t="inlineStr">
        <is>
          <t>Maps to H&amp;B 2.2.1 — Spawning / recruitment. Recruitment index (Handbook Metric 14): annual recruitment as living &lt;1-year-old Ostrea edulis recruits per m², counted by eye or binocular microscope on excavated quadrats or deployed cultch in autumn or spring; and seasonal recruitment on standardised lime-coated benthic collectors (2 × 6 plates, 15-day exposures repeated June–September), reported as settlers per cm² per 15 days against a five-band scale (Box 3.5). Larval abundance (Metric 13: plankton pump or net, lab counts) is supplementary. Match: Partial — native oyster recruitment only, not other associated fauna or algae.</t>
        </is>
      </c>
      <c r="J207" s="21" t="inlineStr">
        <is>
          <t>Protocol</t>
        </is>
      </c>
      <c r="K207" s="21" t="inlineStr">
        <is>
          <t>Yes (full read of the metric chapters) — recruit density per m² (mean ± SE) on the habitat and a standardised collector index with a published interpretation scale make it adequate for detecting oyster recruitment at a site. Partial: one taxon, and written for restored seabed beds, so the protocol hangs the collectors from farm lines.</t>
        </is>
      </c>
      <c r="L207" s="21" t="inlineStr">
        <is>
          <t>Yes — collectors hung from farm lines and spat counted with a hand lens and an ID guide; the handbook's 15-day index counts sub-millimetre post-larvae under a binocular microscope, which the protocol avoids with longer exposures.</t>
        </is>
      </c>
      <c r="M207" s="21" t="inlineStr">
        <is>
          <t>Yes</t>
        </is>
      </c>
      <c r="N207" s="21" t="inlineStr">
        <is>
          <t>Standardised benthic collectors: 6 ridged plates of known area per collector (shellfish collector cups or aragonite tiles), coated with ~2 mm lime (1 kg lime + 800 mL seawater, dried 15 days at 20–25 °C), set a few cm off the bottom, 2 collectors per deployment; binocular or 3D microscope for counts; excavated 1 m² quadrats or deployed cultch for the annual census; calipers.</t>
        </is>
      </c>
      <c r="O207" s="21" t="inlineStr">
        <is>
          <t>Low — ~$170 yr 1: $80 start-up (field ID kit $80 [est]) + $90/yr (settlement plate 9 × $10 [est])</t>
        </is>
      </c>
      <c r="P207" s="21" t="inlineStr">
        <is>
          <t>Multi-season (3–9 months) — collectors through the settlement season (June–September in Europe), 15-day exposures repeated across it; annual recruit census each spring</t>
        </is>
      </c>
      <c r="Q207" s="21" t="inlineStr">
        <is>
          <t>Settlers per cm² per 15-day exposure (mean ± SE, at least 3 plates from each of 2 collectors), read against the Pouvreau et al. (2021b) five-band scale (&lt;0.1 to &gt;100 ind/cm²); annual recruits per m² (mean ± SE); performance judged on increasing or reliably high recruitment across years (no specific test).</t>
        </is>
      </c>
      <c r="R207" s="21" t="inlineStr">
        <is>
          <t>Yes — Open (handbook PDF, ISBN 978-0-900881-89-3)</t>
        </is>
      </c>
      <c r="S207" s="21" t="inlineStr">
        <is>
          <t>Full PDF</t>
        </is>
      </c>
      <c r="T207" s="21" t="inlineStr">
        <is>
          <t>https://archimer.ifremer.fr/doc/00745/85667/90807.pdf</t>
        </is>
      </c>
      <c r="U207" s="21" t="inlineStr">
        <is>
          <t>Use it for European flat-oyster (Ostrea edulis) settings where the TNC handbook methods need adapting.</t>
        </is>
      </c>
      <c r="V207" s="21" t="inlineStr">
        <is>
          <t>Provided by Claude (grey/white-lit protocol search)</t>
        </is>
      </c>
      <c r="W207" s="10" t="inlineStr">
        <is>
          <t>4 — Practitioner</t>
        </is>
      </c>
      <c r="X207" s="21" t="inlineStr">
        <is>
          <t>Mollusk</t>
        </is>
      </c>
      <c r="Y207" s="21" t="inlineStr">
        <is>
          <t>Habitat &amp; Biodiversity</t>
        </is>
      </c>
      <c r="Z207" s="21" t="inlineStr">
        <is>
          <t>H&amp;B 2.2.1 — Spawning</t>
        </is>
      </c>
      <c r="AA207" s="21" t="inlineStr">
        <is>
          <t>Temperate Atlantic</t>
        </is>
      </c>
      <c r="AB207" s="21" t="inlineStr">
        <is>
          <t>European flat oyster (Ostrea edulis)</t>
        </is>
      </c>
      <c r="AC207" s="21" t="inlineStr">
        <is>
          <t>Not gear-specific</t>
        </is>
      </c>
      <c r="AD207" s="21" t="inlineStr">
        <is>
          <t>Not scale-specific</t>
        </is>
      </c>
      <c r="AE207" s="21" t="inlineStr">
        <is>
          <t>Not site-specific</t>
        </is>
      </c>
      <c r="AF207" s="21" t="inlineStr">
        <is>
          <t>Not specific</t>
        </is>
      </c>
      <c r="AG207" s="21" t="inlineStr">
        <is>
          <t>Visual survey</t>
        </is>
      </c>
      <c r="AH207" s="21" t="inlineStr">
        <is>
          <t>Not algae-specific</t>
        </is>
      </c>
      <c r="AI207" s="21" t="inlineStr">
        <is>
          <t>Not depth-specific</t>
        </is>
      </c>
      <c r="AJ207" s="21" t="inlineStr">
        <is>
          <t>Not exposure-specific</t>
        </is>
      </c>
      <c r="AK207" s="16" t="inlineStr">
        <is>
          <t>To check whether native oysters settle at your farm, hang [3] spat collectors within the farm at the start of the settlement season (June–September in much of Europe). Each collector is a ridged plate of known area — a shellfish collector cup or aragonite tile — coated with a thin layer of lime so the surface is the same every time, and hung clear of the seabed. Swap the collectors [monthly] for [3] months and count the spat on the top and bottom of each plate with a hand lens, telling native oyster spat (white streak running down from the hinge) from saddle oysters and Pacific oysters with an ID guide; express settlement per cm² of plate (mean ± standard error) and compare across years. The handbook's standard index uses 15-day exposures counted under a microscope, so monthly hand-lens counts can't be read against its recruitment scale; record other settlers by group if you want this to cover more than oysters.</t>
        </is>
      </c>
      <c r="AL207" s="17" t="inlineStr">
        <is>
          <t>High</t>
        </is>
      </c>
      <c r="AM207" s="18" t="inlineStr">
        <is>
          <t>ukireland_2021_hb221</t>
        </is>
      </c>
      <c r="AN207" s="19" t="n"/>
      <c r="AO207" s="19" t="n"/>
      <c r="AP207" s="19" t="n"/>
      <c r="AQ207" s="16" t="inlineStr">
        <is>
          <t>Spawning / recruitment monitoring — Mollusk</t>
        </is>
      </c>
      <c r="AR207" s="16" t="inlineStr">
        <is>
          <t>zu Ermgassen, Philine S.E.; Bos, Oscar; Debney, Alison; Gamble, Celine; Glover, Azra; Pogoda, Bernadette; Pouvreau, Stéphane; Sanderson, William; Smyth, David; Preston, Joanne (eds)</t>
        </is>
      </c>
      <c r="AS207" s="16" t="inlineStr">
        <is>
          <t>Use for European flat-oyster (Ostrea edulis) contexts where Baggett 2014 methods need adaptation. Complementary to the MarineGEO Oyster-Reef protocol and Baggett handbook.  |  Migration (one-indicator-per-row, 2026-09-04): split from ukireland_2021 -&gt; {ukireland_2021_hb111, ukireland_2021_hb211, ukireland_2021_hb221, ukireland_2021_cc311}. This row = ukireland_2021_hb221 (H&amp;B 2.2.1 — Spawning). Candidate: AK/N/Q blanked and I/K/W/O/P provisional; per-indicator method text, tier/cost/effort and match adjudication to be finalised at generation. Combined parent I/AK/N/Q retained in v37 (pre-split).  |  [2026-10-13 Rule 15 cost re-rate, batch 8] Framework basis: Mol H&amp;B 2.2.1: within the farm; settlement season (3 monthly retrievals); 1 locations × 3 visits × 3 replicates = 9. Spat settlement plates hung from farm lines, counted in the field with a hand lens; lab fee waived (species counts / field-identifiable taxa); method from method note. ukireland_2021_cc311 deleted on review (2026-10-13, Peter's decision): no wave-attenuation method recorded for the guideline. Prior O: 'Low–Medium'.  |  [2026-10-13 method-summary pass] Full read of the metric chapters (Archimer PDF, Ch. 1–3; Metric 14 recruitment index and Box 3.5 collector method, Metric 13 larval abundance). I, K: candidate-split text replaced. W: 3 → 4 (Rule 14: collectors on farm lines, hand-lens counts with an ID guide, no lab step; fill → lime). L → Yes. N, Q: blank → filled. S → Full PDF. P: controlled phrase + detail. Match: Partial — taxon scope (O. edulis recruitment only), same call as baggett_2014_hb221; raised for Peter. Protocol departs from the source: monthly exposures counted with a hand lens instead of 15-day exposures under a microscope (flagged in AK). O unchanged: 9 settlement plates + field ID kit match; lime for coating is a few dollars. AK written; AL Med → High. Prior: I: 'Maps to H&amp;B 2.2.1 — Spawning. Candidate split from parent pr…'; K: 'Standalone-candidate (per-indicator adequacy to be confirmed…'; L: 'Partial — universal/structural metrics farmer-doable; biodiversity and some supplementary metrics need partner lab.'; P: 'Multi-year monitoring (&gt; 1 year)'; S: 'Abstract + Methods (fetched)'; W: '3 — Partnership'; AL: 'Med'. A, B, H, R, T, AR corrected to the published handbook (zu Ermgassen et al. eds 2021, ZSL, ISBN 978-0-900881-89-3; PDF on Ifremer Archimer). Prior: A: 'Native Oyster Network (UK &amp; Ireland)'; B: 'European Native Oyster Habitat Restoration Monitoring Guidelines'; H: 'NORA / ZSL Native Oyster Network'; R: 'Yes — Open (online guidelines)'; T: 'https://nativeoysternetwork.org/2021/05/04/native-oyster-monitoring-guidelines/'; AR: 'Native Oyster Network (UK &amp; Ireland); Native Oyster Restoration Alliance (NORA)'.  |  [2026-10-13 method-summary pass] Peter's call (2026-10-13): Partial kept (taxon scope, O. edulis recruitment only).  |  [2026-10-16 monitoring-methods pass] AT (Monitoring Methods) set from the protocol's method summary (AK): Carbonate system (pH / OA), Settlement plates / artificial substrata.</t>
        </is>
      </c>
      <c r="AT207" s="21" t="inlineStr">
        <is>
          <t>Carbonate system (pH / OA), Settlement plates / artificial substrata</t>
        </is>
      </c>
    </row>
    <row r="208">
      <c r="A208" t="inlineStr">
        <is>
          <t>Smithsonian MarineGEO</t>
        </is>
      </c>
      <c r="B208" t="inlineStr">
        <is>
          <t>MarineGEO Diver Visual Survey Protocol</t>
        </is>
      </c>
      <c r="C208" t="inlineStr">
        <is>
          <t>Smithsonian Environmental Research Center (MarineGEO Protocols)</t>
        </is>
      </c>
      <c r="G208" t="n">
        <v>2021</v>
      </c>
      <c r="H208" t="inlineStr">
        <is>
          <t>Smithsonian Institution</t>
        </is>
      </c>
      <c r="I208" t="inlineStr">
        <is>
          <t>Standardized diver/snorkel belt-transect visual census of mobile fauna (fish, mobile invertebrates). Directly applicable to counting mobile fauna associated with a farm site.</t>
        </is>
      </c>
      <c r="J208" t="inlineStr">
        <is>
          <t>Protocol</t>
        </is>
      </c>
      <c r="K208" t="inlineStr">
        <is>
          <t>Yes — fixed transect design with counts/size estimates and data sheet; on-the-spot ID. Reproducible across sites.</t>
        </is>
      </c>
      <c r="L208" t="inlineStr">
        <is>
          <t>Yes — belt/visual transects with field ID guides are farmer/diver-executable with no obligatory lab step (the canonical practitioner-tier method).</t>
        </is>
      </c>
      <c r="M208" t="inlineStr">
        <is>
          <t>Yes</t>
        </is>
      </c>
      <c r="N208" t="inlineStr">
        <is>
          <t>Transect tape, slate, dive/snorkel gear, ID guide</t>
        </is>
      </c>
      <c r="O208" t="inlineStr">
        <is>
          <t>Low — ~$260 yr 1: $260 start-up (snorkel set $150 [est]; transect tape $40 [est]; slate + datasheets $40 [est]; fish ID guide $30 [est]) + no recurring cost</t>
        </is>
      </c>
      <c r="P208" t="inlineStr">
        <is>
          <t>Seasonal (1–3 months)</t>
        </is>
      </c>
      <c r="Q208" t="inlineStr">
        <is>
          <t>Abundance/size counts per transect; diversity indices</t>
        </is>
      </c>
      <c r="R208" t="inlineStr">
        <is>
          <t>Yes — Open (DOI-published)</t>
        </is>
      </c>
      <c r="S208" t="inlineStr">
        <is>
          <t>Abstract + Methods (fetched)</t>
        </is>
      </c>
      <c r="T208" t="inlineStr">
        <is>
          <t>https://doi.org/10.25573/serc.14717796</t>
        </is>
      </c>
      <c r="U208" t="inlineStr">
        <is>
          <t>Needs dive/snorkel competency and reasonable clarity; Reef Life Survey is an equivalent with a trained-diver network.</t>
        </is>
      </c>
      <c r="V208" t="inlineStr">
        <is>
          <t>Provided by Claude (grey/white-lit protocol search)</t>
        </is>
      </c>
      <c r="W208" s="10" t="inlineStr">
        <is>
          <t>4 — Practitioner</t>
        </is>
      </c>
      <c r="X208" t="inlineStr">
        <is>
          <t>Seaweed, Mollusk, Finfish</t>
        </is>
      </c>
      <c r="Y208" t="inlineStr">
        <is>
          <t>Habitat &amp; Biodiversity</t>
        </is>
      </c>
      <c r="Z208" t="inlineStr">
        <is>
          <t>H&amp;B 1.2.1 — Mobile fauna</t>
        </is>
      </c>
      <c r="AA208" t="inlineStr">
        <is>
          <t>Cross-zone / global</t>
        </is>
      </c>
      <c r="AB208" t="inlineStr">
        <is>
          <t>Not species-specific</t>
        </is>
      </c>
      <c r="AC208" t="inlineStr">
        <is>
          <t>Not gear-specific</t>
        </is>
      </c>
      <c r="AD208" t="inlineStr">
        <is>
          <t>Not scale-specific</t>
        </is>
      </c>
      <c r="AE208" t="inlineStr">
        <is>
          <t>Clear (visual methods feasible)</t>
        </is>
      </c>
      <c r="AF208" t="inlineStr">
        <is>
          <t>Not specific</t>
        </is>
      </c>
      <c r="AG208" t="inlineStr">
        <is>
          <t>Visual survey</t>
        </is>
      </c>
      <c r="AH208" t="inlineStr">
        <is>
          <t>Not algae-specific</t>
        </is>
      </c>
      <c r="AI208" t="inlineStr">
        <is>
          <t>Shallow nearshore (2–10 m)</t>
        </is>
      </c>
      <c r="AJ208" t="inlineStr">
        <is>
          <t>Not exposure-specific</t>
        </is>
      </c>
      <c r="AK208" s="16" t="inlineStr">
        <is>
          <t>To count mobile fauna (fish and mobile invertebrates) around a farm, run a standardized diver or snorkel belt-transect visual census: swim a fixed-length, fixed-width transect and record species and size estimates on a slate as you go. Repeat transects at the farm and a reference site and summarise as abundance and size per transect plus diversity indices. It needs dive/snorkel competency and reasonable water clarity; Reef Life Survey offers an equivalent standardized method and trained-diver network where more rigour or a citizen-science cohort is wanted.</t>
        </is>
      </c>
      <c r="AL208" s="17" t="inlineStr">
        <is>
          <t>Med</t>
        </is>
      </c>
      <c r="AM208" s="18" t="inlineStr">
        <is>
          <t>smithsonianmarinegeo_2021</t>
        </is>
      </c>
      <c r="AN208" s="19" t="n"/>
      <c r="AO208" s="19" t="n"/>
      <c r="AP208" s="19" t="n"/>
      <c r="AQ208" s="16" t="inlineStr">
        <is>
          <t>Diver Belt-Transect Visual Census of Mobile Fauna</t>
        </is>
      </c>
      <c r="AR208" s="16" t="inlineStr">
        <is>
          <t>Smithsonian MarineGEO</t>
        </is>
      </c>
      <c r="AS208" s="16" t="inlineStr">
        <is>
          <t>Reef Life Survey (RLS) provides an equivalent globally standardized diver visual-census methods manual and trained-diver network — an alternative where added rigour or a citizen-science cohort is wanted. Requires dive competency and reasonable water clarity.  |  [2026-10-09 Rule 15 cost re-rate, batch 1] Framework basis: Mol H&amp;B 1.2.1: within farm + edge; seasonal (4 visits); 2 locations × 4 visits × 3 replicates = 24. UVC gear only; finfish H&amp;B 1.2.1 is a different indicator, so the mollusc row applies. Prior O: 'Low'.  |  [2026-10-16 monitoring-methods pass] AT (Monitoring Methods) set from the protocol's method summary (AK): Water clarity / turbidity (Secchi), Visual census / belt transects, Epifauna on crop / rope.</t>
        </is>
      </c>
      <c r="AT208" s="21" t="inlineStr">
        <is>
          <t>Water clarity / turbidity (Secchi), Visual census / belt transects, Epifauna on crop / rope</t>
        </is>
      </c>
    </row>
    <row r="209">
      <c r="A209" t="inlineStr">
        <is>
          <t>Smithsonian MarineGEO</t>
        </is>
      </c>
      <c r="B209" t="inlineStr">
        <is>
          <t>MarineGEO Beach Seine Protocol</t>
        </is>
      </c>
      <c r="C209" t="inlineStr">
        <is>
          <t>Smithsonian Environmental Research Center (MarineGEO Protocols)</t>
        </is>
      </c>
      <c r="G209" t="n">
        <v>2021</v>
      </c>
      <c r="H209" t="inlineStr">
        <is>
          <t>Smithsonian Institution</t>
        </is>
      </c>
      <c r="I209" t="inlineStr">
        <is>
          <t>Standardized beach-seine sampling of nekton (fish, mobile crustacea) in shallow soft-sediment habitats; transfers to nearshore farm-margin mobile-fauna sampling.</t>
        </is>
      </c>
      <c r="J209" t="inlineStr">
        <is>
          <t>Protocol</t>
        </is>
      </c>
      <c r="K209" t="inlineStr">
        <is>
          <t>Yes — standardized net, haul design and processing with data sheet; reproducible.</t>
        </is>
      </c>
      <c r="L209" t="inlineStr">
        <is>
          <t>Yes — seine hauls with field ID/measure are farmer-executable; no obligatory lab step.</t>
        </is>
      </c>
      <c r="M209" t="inlineStr">
        <is>
          <t>Yes</t>
        </is>
      </c>
      <c r="N209" t="inlineStr">
        <is>
          <t>Beach seine net, measuring board, buckets, ID guide</t>
        </is>
      </c>
      <c r="O209" t="inlineStr">
        <is>
          <t>Low — ~$410 yr 1: $410 start-up (beach seine $300 [est]; measuring board $50 [est]; buckets $30 [est]; fish ID guide $30 [est]) + no recurring cost</t>
        </is>
      </c>
      <c r="P209" t="inlineStr">
        <is>
          <t>Seasonal (1–3 months)</t>
        </is>
      </c>
      <c r="Q209" t="inlineStr">
        <is>
          <t>Catch-per-haul abundance/size; diversity</t>
        </is>
      </c>
      <c r="R209" t="inlineStr">
        <is>
          <t>Yes — Open (DOI-published)</t>
        </is>
      </c>
      <c r="S209" t="inlineStr">
        <is>
          <t>Abstract + Methods (fetched)</t>
        </is>
      </c>
      <c r="T209" t="inlineStr">
        <is>
          <t>https://doi.org/10.25573/serc.14925105</t>
        </is>
      </c>
      <c r="U209" t="inlineStr">
        <is>
          <t>Best for shallow, wadeable, soft-bottom margins.</t>
        </is>
      </c>
      <c r="V209" t="inlineStr">
        <is>
          <t>Provided by Claude (grey/white-lit protocol search)</t>
        </is>
      </c>
      <c r="W209" s="10" t="inlineStr">
        <is>
          <t>4 — Practitioner</t>
        </is>
      </c>
      <c r="X209" t="inlineStr">
        <is>
          <t>Seaweed, Mollusk, Finfish</t>
        </is>
      </c>
      <c r="Y209" t="inlineStr">
        <is>
          <t>Habitat &amp; Biodiversity</t>
        </is>
      </c>
      <c r="Z209" t="inlineStr">
        <is>
          <t>H&amp;B 1.2.1 — Mobile fauna</t>
        </is>
      </c>
      <c r="AA209" t="inlineStr">
        <is>
          <t>Cross-zone / global</t>
        </is>
      </c>
      <c r="AB209" t="inlineStr">
        <is>
          <t>Not species-specific</t>
        </is>
      </c>
      <c r="AC209" t="inlineStr">
        <is>
          <t>Not gear-specific</t>
        </is>
      </c>
      <c r="AD209" t="inlineStr">
        <is>
          <t>Not scale-specific</t>
        </is>
      </c>
      <c r="AE209" t="inlineStr">
        <is>
          <t>Variable / seasonal</t>
        </is>
      </c>
      <c r="AF209" t="inlineStr">
        <is>
          <t>Not specific</t>
        </is>
      </c>
      <c r="AG209" t="inlineStr">
        <is>
          <t>Visual survey</t>
        </is>
      </c>
      <c r="AH209" t="inlineStr">
        <is>
          <t>Not algae-specific</t>
        </is>
      </c>
      <c r="AI209" t="inlineStr">
        <is>
          <t>Intertidal / very shallow (&lt; 2 m)</t>
        </is>
      </c>
      <c r="AJ209" t="inlineStr">
        <is>
          <t>Sheltered</t>
        </is>
      </c>
      <c r="AK209" s="16" t="inlineStr">
        <is>
          <t>To sample nekton (fish and mobile crustaceans) along shallow, wadeable farm margins, use a standardized beach-seine haul: deploy the net over a set area, retrieve it, then identify, count and measure the catch on a board before release. Express results as catch-per-haul abundance and size, with diversity indices, comparing farm-margin to reference hauls. Best for shallow soft-bottom margins; it complements diver and baited-camera methods for the mobile-fauna indicator.</t>
        </is>
      </c>
      <c r="AL209" s="17" t="inlineStr">
        <is>
          <t>Med</t>
        </is>
      </c>
      <c r="AM209" s="18" t="inlineStr">
        <is>
          <t>smithsonianmarinegeo_2021-b</t>
        </is>
      </c>
      <c r="AN209" s="19" t="n"/>
      <c r="AO209" s="19" t="n"/>
      <c r="AP209" s="19" t="n"/>
      <c r="AQ209" s="16" t="inlineStr">
        <is>
          <t>Beach-Seine Sampling of Nearshore Nekton</t>
        </is>
      </c>
      <c r="AR209" s="16" t="inlineStr">
        <is>
          <t>Smithsonian MarineGEO</t>
        </is>
      </c>
      <c r="AS209" s="16" t="inlineStr">
        <is>
          <t>Best for shallow, wadeable, soft-bottom margins; complements diver/BRUV methods for the mobile-fauna indicator.  |  [2026-10-09 Rule 15 cost re-rate, batch 1] Framework basis: Mol H&amp;B 1.2.1: within farm + edge; seasonal (4 visits); 2 locations × 4 visits × 3 replicates = 24. Beach seine hauls. Prior O: 'Low'.  |  [2026-10-16 monitoring-methods pass] AT (Monitoring Methods) set from the protocol's method summary (AK): Nets &amp; baited traps.</t>
        </is>
      </c>
      <c r="AT209" s="21" t="inlineStr">
        <is>
          <t>Nets &amp; baited traps</t>
        </is>
      </c>
    </row>
    <row r="210">
      <c r="A210" s="21" t="inlineStr">
        <is>
          <t>Harper, L.</t>
        </is>
      </c>
      <c r="B210" s="21" t="inlineStr">
        <is>
          <t>MarineGEO Benthic Photoquadrats Protocol</t>
        </is>
      </c>
      <c r="C210" s="21" t="inlineStr">
        <is>
          <t>Smithsonian Environmental Research Center (MarineGEO Protocols)</t>
        </is>
      </c>
      <c r="D210" s="21" t="n"/>
      <c r="E210" s="21" t="n"/>
      <c r="F210" s="21" t="n"/>
      <c r="G210" s="21" t="n">
        <v>2021</v>
      </c>
      <c r="H210" s="21" t="inlineStr">
        <is>
          <t>Smithsonian Institution (Tennenbaum Marine Observatories Network, MarineGEO)</t>
        </is>
      </c>
      <c r="I210" s="21" t="inlineStr">
        <is>
          <t>Maps to H&amp;B 2.1.1 — Community composition. Diver photoquadrats: 26 photos (≥0.3 × 0.3 m, ≥6 MP) every 2 m along a 50 m transect from a camera on a PVC framer with a 25 cm scale bar, uploaded to CoralNet and scored at 10 random points per photo with CATAMI labels for percent cover of sessile animals, seaweeds and substrate; at least three sites per habitat. Match: Yes — sessile benthic community; mobile fauna come from the companion Diver Visual Census.</t>
        </is>
      </c>
      <c r="J210" s="21" t="inlineStr">
        <is>
          <t>Protocol</t>
        </is>
      </c>
      <c r="K210" s="21" t="inlineStr">
        <is>
          <t>Confirmed standalone (full read). A standardised, re-auditable cover method (adapted from Reef Life Survey) run on the diver-census transects — robust for H&amp;B 2.1.1 when sites inside and outside the farm are compared (the protocol sets replication per habitat, not a farm vs reference design).</t>
        </is>
      </c>
      <c r="L210" s="21" t="inlineStr">
        <is>
          <t>Yes — photographing quadrats with a framed camera and scoring points in free online software (CoralNet) need no lab; diving or snorkelling is the main requirement.</t>
        </is>
      </c>
      <c r="M210" s="21" t="inlineStr">
        <is>
          <t>Yes</t>
        </is>
      </c>
      <c r="N210" s="21" t="inlineStr">
        <is>
          <t>Underwater camera (≥6 MP) on a PVC or metal framer cut to frame 30 cm of tape, with a 25 cm scale bar; 50 m fibreglass transect tape; optional strobe; GPS; computer with a CoralNet account; MarineGEO data template.</t>
        </is>
      </c>
      <c r="O210" s="21" t="inlineStr">
        <is>
          <t>Low — ~$610 yr 1: $610 start-up (action camera + dive housing $430 [list]; BRUV frame $100 [est]; rope + float $50 [est]; quadrat $30 [est]) + no recurring cost</t>
        </is>
      </c>
      <c r="P210" s="21" t="inlineStr">
        <is>
          <t>Single deployment (hours to 1 day) — ~15 min fieldwork and ~3.5 h image processing per location</t>
        </is>
      </c>
      <c r="Q210" s="21" t="inlineStr">
        <is>
          <t>Percent cover per label from 10 random points per photo (CoralNet, optionally machine-assisted); no analysis prescribed.</t>
        </is>
      </c>
      <c r="R210" s="21" t="inlineStr">
        <is>
          <t>Yes — Open (DOI-published)</t>
        </is>
      </c>
      <c r="S210" s="21" t="inlineStr">
        <is>
          <t>Full PDF</t>
        </is>
      </c>
      <c r="T210" s="21" t="inlineStr">
        <is>
          <t>https://doi.org/10.25573/serc.14717823</t>
        </is>
      </c>
      <c r="U210" s="21" t="inlineStr">
        <is>
          <t>Measures epibenthic cover (sessile animals, seaweeds, substrate), not soft-sediment infauna; best on hard or structured bottoms and needs water clear enough to photograph.</t>
        </is>
      </c>
      <c r="V210" s="21" t="inlineStr">
        <is>
          <t>Provided by Claude (grey/white-lit protocol search)</t>
        </is>
      </c>
      <c r="W210" s="10" t="inlineStr">
        <is>
          <t>4 — Practitioner</t>
        </is>
      </c>
      <c r="X210" s="21" t="inlineStr">
        <is>
          <t>Seaweed, Mollusk</t>
        </is>
      </c>
      <c r="Y210" s="21" t="inlineStr">
        <is>
          <t>Habitat &amp; Biodiversity</t>
        </is>
      </c>
      <c r="Z210" s="21" t="inlineStr">
        <is>
          <t>H&amp;B 2.1.1 — Community composition</t>
        </is>
      </c>
      <c r="AA210" s="21" t="inlineStr">
        <is>
          <t>Cross-zone / global</t>
        </is>
      </c>
      <c r="AB210" s="21" t="inlineStr">
        <is>
          <t>Not species-specific</t>
        </is>
      </c>
      <c r="AC210" s="21" t="inlineStr">
        <is>
          <t>Not gear-specific</t>
        </is>
      </c>
      <c r="AD210" s="21" t="inlineStr">
        <is>
          <t>Not scale-specific</t>
        </is>
      </c>
      <c r="AE210" s="21" t="inlineStr">
        <is>
          <t>Clear (visual methods feasible)</t>
        </is>
      </c>
      <c r="AF210" s="21" t="inlineStr">
        <is>
          <t>Not specific</t>
        </is>
      </c>
      <c r="AG210" s="21" t="inlineStr">
        <is>
          <t>Visual survey</t>
        </is>
      </c>
      <c r="AH210" s="21" t="inlineStr">
        <is>
          <t>Not algae-specific</t>
        </is>
      </c>
      <c r="AI210" s="21" t="inlineStr">
        <is>
          <t>Shallow nearshore (2–10 m)</t>
        </is>
      </c>
      <c r="AJ210" s="21" t="inlineStr">
        <is>
          <t>Not exposure-specific</t>
        </is>
      </c>
      <c r="AK210" s="16" t="inlineStr">
        <is>
          <t>To compare the seabed community on your farm with nearby unfarmed seabed, lay a 50 m tape at [3] sites under or beside the farm and at [3] similar unfarmed sites. With a camera fixed to a framer (a pole cut so the photo spans 30 cm of tape, with a 25 cm scale bar at its foot), take a photo straight down every 2 m from 0 to 50 m (26 photos), photographing your depth gauge or slate at the start and end. Upload the photos to CoralNet, tag them with date, site and metre mark, and label what lies under 10 random points per photo (algae, sessile animals, shell, sand) to get percent cover. Repeat once per season and compare cover and the mix of groups between farm and unfarmed sites. In murky water take more, closer photos (e.g. 40 at 15 × 15 cm); the method sees surface cover only, not animals buried in the sediment.</t>
        </is>
      </c>
      <c r="AL210" s="17" t="inlineStr">
        <is>
          <t>High</t>
        </is>
      </c>
      <c r="AM210" s="18" t="inlineStr">
        <is>
          <t>smithsonianmarinegeo_2021-c_hb211</t>
        </is>
      </c>
      <c r="AN210" s="19" t="n"/>
      <c r="AO210" s="19" t="n"/>
      <c r="AP210" s="19" t="n"/>
      <c r="AQ210" s="16" t="inlineStr">
        <is>
          <t>Community-composition survey — Seaweed, Mollusk</t>
        </is>
      </c>
      <c r="AR210" s="16" t="inlineStr">
        <is>
          <t>Harper, Leah</t>
        </is>
      </c>
      <c r="AS210" s="16" t="inlineStr">
        <is>
          <t>Image archives are re-analysable and auditable. Captures epibenthic cover (not soft-sediment infauna). Pairs with the Sediment Organic Matter protocol for soft-sediment characterisation.  |  Migration (one-indicator-per-row, 2026-09-04): split from smithsonianmarinegeo_2021-c -&gt; {smithsonianmarinegeo_2021-c_hb131, smithsonianmarinegeo_2021-c_hb211}. This row = smithsonianmarinegeo_2021-c_hb211 (H&amp;B 2.1.1 — Community composition). Candidate: AK/N/Q blanked and I/K/W/O/P provisional; per-indicator method text, tier/cost/effort and match adjudication to be finalised at generation. Combined parent I/AK/N/Q retained in v37 (pre-split).  |  [2026-10-13 Rule 15 cost re-rate, batch 8] Framework basis: Mol H&amp;B 2.1.1 (Seaweed + Mollusk; the mollusc row is the most demanding): 2 farm strata + 2 nearby non-farm refs; seasonal (4 visits); 4 locations × 4 visits × 3 replicates = 48. Photoquadrats from a camera on a drop frame, one kit carried between sites; point counts in free software (CoralNet) are labour, lab fee waived (species counts / field-identifiable taxa). Prior O: 'Low–Medium'.  |  [2026-10-15 method-summary pass] Full read (PDF from Peter). Citation: A 'Smithsonian MarineGEO' → 'Harper, L.' and AR → 'Harper, Leah' (the protocol's 'how to cite'); B → 'MarineGEO Benthic Photoquadrats Protocol'; H expanded. S: 'Abstract + Methods (fetched)' → 'Full PDF'. I, K replaced. L → Yes. W: '3 — Partnership' → '4 — Practitioner' (Rule 14: photo point counts in free software, no lab step); fill → T4 lime. P: 'Seasonal (1–3 months)' → single deployment (~15 min field, ~3.5 h processing per location). N, Q, AK filled; U reworded. O unchanged (batch-8 drop-frame basis; the source's diver framer is no dearer). AL: Med → High.  |  [2026-10-16 monitoring-methods pass] AT (Monitoring Methods) set from the protocol's method summary (AK): Benthic infauna community, Time-lapse / GoPro cameras, Epibiota on lines / structures.</t>
        </is>
      </c>
      <c r="AT210" s="21" t="inlineStr">
        <is>
          <t>Benthic infauna community, Time-lapse / GoPro cameras, Epibiota on lines / structures</t>
        </is>
      </c>
    </row>
    <row r="211">
      <c r="A211" t="inlineStr">
        <is>
          <t>Smithsonian MarineGEO</t>
        </is>
      </c>
      <c r="B211" t="inlineStr">
        <is>
          <t>MarineGEO Sediment Organic Matter Protocol</t>
        </is>
      </c>
      <c r="C211" t="inlineStr">
        <is>
          <t>Smithsonian Environmental Research Center (MarineGEO Protocols)</t>
        </is>
      </c>
      <c r="G211" t="n">
        <v>2021</v>
      </c>
      <c r="H211" t="inlineStr">
        <is>
          <t>Smithsonian Institution</t>
        </is>
      </c>
      <c r="I211" t="inlineStr">
        <is>
          <t>Standardized sediment sampling + loss-on-ignition for organic-matter content (a core sediment-condition descriptor under and around a farm).</t>
        </is>
      </c>
      <c r="J211" t="inlineStr">
        <is>
          <t>Protocol</t>
        </is>
      </c>
      <c r="K211" t="inlineStr">
        <is>
          <t>Yes — coring/grab + drying + loss-on-ignition with data sheet; reproducible.</t>
        </is>
      </c>
      <c r="L211" t="inlineStr">
        <is>
          <t>Partial — sediment collection farmer-doable; LOI needs a drying oven/muffle furnace (basic lab step).</t>
        </is>
      </c>
      <c r="M211" t="inlineStr">
        <is>
          <t>Yes</t>
        </is>
      </c>
      <c r="N211" t="inlineStr">
        <is>
          <t>Sediment corer/grab, drying oven, muffle furnace, balance</t>
        </is>
      </c>
      <c r="O211" t="inlineStr">
        <is>
          <t>Medium — ~$2.1K yr 1: $1.62K start-up (Petite Ponar grab $1.57K [list]; grab line $50 [est]) + $510/yr (sediment LOI 24 × $19 [lab fee]; sample jars $50 [est])</t>
        </is>
      </c>
      <c r="P211" t="inlineStr">
        <is>
          <t>Seasonal (1–3 months)</t>
        </is>
      </c>
      <c r="Q211" t="inlineStr">
        <is>
          <t>%LOI / organic-matter content; farm-vs-reference</t>
        </is>
      </c>
      <c r="R211" t="inlineStr">
        <is>
          <t>Yes — Open (DOI-published)</t>
        </is>
      </c>
      <c r="S211" t="inlineStr">
        <is>
          <t>Abstract + Methods (fetched)</t>
        </is>
      </c>
      <c r="T211" t="inlineStr">
        <is>
          <t>https://doi.org/10.25573/serc.14925111</t>
        </is>
      </c>
      <c r="U211" t="inlineStr">
        <is>
          <t>A simple, low-cost sediment-condition metric; for full biogeochemistry use a benthic standard such as SEPA or NS 9410.</t>
        </is>
      </c>
      <c r="V211" t="inlineStr">
        <is>
          <t>Provided by Claude (grey/white-lit protocol search)</t>
        </is>
      </c>
      <c r="W211" s="9" t="inlineStr">
        <is>
          <t>3 — Partnership</t>
        </is>
      </c>
      <c r="X211" t="inlineStr">
        <is>
          <t>Seaweed, Mollusk</t>
        </is>
      </c>
      <c r="Y211" t="inlineStr">
        <is>
          <t>Habitat &amp; Biodiversity</t>
        </is>
      </c>
      <c r="Z211" t="inlineStr">
        <is>
          <t>H&amp;B 1.4.1 — Sediment</t>
        </is>
      </c>
      <c r="AA211" t="inlineStr">
        <is>
          <t>Cross-zone / global</t>
        </is>
      </c>
      <c r="AB211" t="inlineStr">
        <is>
          <t>Not species-specific</t>
        </is>
      </c>
      <c r="AC211" t="inlineStr">
        <is>
          <t>Not gear-specific</t>
        </is>
      </c>
      <c r="AD211" t="inlineStr">
        <is>
          <t>Not scale-specific</t>
        </is>
      </c>
      <c r="AE211" t="inlineStr">
        <is>
          <t>Not site-specific</t>
        </is>
      </c>
      <c r="AF211" t="inlineStr">
        <is>
          <t>Not specific</t>
        </is>
      </c>
      <c r="AG211" t="inlineStr">
        <is>
          <t>Sediment sampling</t>
        </is>
      </c>
      <c r="AH211" t="inlineStr">
        <is>
          <t>Not algae-specific</t>
        </is>
      </c>
      <c r="AI211" t="inlineStr">
        <is>
          <t>Not depth-specific</t>
        </is>
      </c>
      <c r="AJ211" t="inlineStr">
        <is>
          <t>Not exposure-specific</t>
        </is>
      </c>
      <c r="AK211" s="16" t="inlineStr">
        <is>
          <t>To measure sediment organic-matter content under and around a farm, collect sediment by corer or grab, dry the sample, then combust it in a muffle furnace and weigh before and after to get percent loss-on-ignition (organic-matter content). Sample farm and reference stations and compare. It is a simple, low-cost sediment-condition metric; for full biogeochemistry (redox, sulphide, nutrient flux) use the SEPA or NS 9410 benthic standards.</t>
        </is>
      </c>
      <c r="AL211" s="17" t="inlineStr">
        <is>
          <t>Med</t>
        </is>
      </c>
      <c r="AM211" s="18" t="inlineStr">
        <is>
          <t>smithsonianmarinegeo_2021-d</t>
        </is>
      </c>
      <c r="AN211" s="19" t="n"/>
      <c r="AO211" s="19" t="n"/>
      <c r="AP211" s="19" t="n"/>
      <c r="AQ211" s="16" t="inlineStr">
        <is>
          <t>Sediment Organic-Matter Monitoring (Loss-on-Ignition)</t>
        </is>
      </c>
      <c r="AR211" s="16" t="inlineStr">
        <is>
          <t>Smithsonian MarineGEO</t>
        </is>
      </c>
      <c r="AS211" s="16" t="inlineStr">
        <is>
          <t>A simple, low-cost sediment-condition metric; for full biogeochemistry (redox, sulphide, DIN flux) use the SEPA / NS 9410 benthic standards (rows below).  |  [2026-10-13 Rule 15 cost re-rate, batch 8] Framework basis: Mol/SW H&amp;B 1.4.1: 2 farm strata + 2 nearby non-farm refs; biannual (2 visits; least frequent option); 4 locations × 2 visits × 3 replicates = 24. Grab from the farm boat (site depth not specific); LOI at a partner lab replaces the drying oven and muffle furnace. Matches the v1.8 pilot. Prior O: 'Low'.  |  [2026-10-16 monitoring-methods pass] AT (Monitoring Methods) set from the protocol's method summary (AK): Sediment chemistry (OC / TN / redox / AVS), Sediment / benthic flux incubation, MOM-B condition survey.</t>
        </is>
      </c>
      <c r="AT211" s="21" t="inlineStr">
        <is>
          <t>Sediment chemistry (OC / TN / redox / AVS), Sediment / benthic flux incubation, MOM-B condition survey</t>
        </is>
      </c>
    </row>
    <row r="212">
      <c r="A212" t="inlineStr">
        <is>
          <t>Langlois, T., et al.</t>
        </is>
      </c>
      <c r="B212" t="inlineStr">
        <is>
          <t>A field and video-annotation guide for baited remote underwater stereo-video (stereo-BRUV) surveys of demersal fish assemblages</t>
        </is>
      </c>
      <c r="C212" t="inlineStr">
        <is>
          <t>Methods in Ecology and Evolution / open NESP field manual</t>
        </is>
      </c>
      <c r="D212" t="n">
        <v>11</v>
      </c>
      <c r="F212" t="inlineStr">
        <is>
          <t>1401–1409</t>
        </is>
      </c>
      <c r="G212" t="n">
        <v>2020</v>
      </c>
      <c r="H212" t="inlineStr">
        <is>
          <t>Wiley / NESP Marine Biodiversity Hub</t>
        </is>
      </c>
      <c r="I212" t="inlineStr">
        <is>
          <t>The first globally accepted standardized guide for stereo-BRUV surveys of fish assemblages — design, camera settings, field operations, and video annotation, with links to data validation/archiving (GlobalArchive). Covers mobile fauna and the finfish fish-attraction case.</t>
        </is>
      </c>
      <c r="J212" t="inlineStr">
        <is>
          <t>Protocol</t>
        </is>
      </c>
      <c r="K212" t="inlineStr">
        <is>
          <t>Yes — fully documented field + annotation SOP intended for cross-study interoperability (FAIR workflows).</t>
        </is>
      </c>
      <c r="L212" t="inlineStr">
        <is>
          <t>Partial — baited-camera deployment is practitioner-doable, but stereo calibration and photogrammetric annotation/measurement (EventMeasure) need a trained analyst or partner.</t>
        </is>
      </c>
      <c r="M212" t="inlineStr">
        <is>
          <t>Yes</t>
        </is>
      </c>
      <c r="N212" t="inlineStr">
        <is>
          <t>Stereo camera pair + frame, bait arm, ropes/floats; annotation software (EventMeasure)</t>
        </is>
      </c>
      <c r="O212" t="inlineStr">
        <is>
          <t>Low — ~$650 yr 1: $580 start-up (action camera + dive housing $430 [list]; BRUV frame $100 [est]; rope + float $50 [est]) + $72/yr (bait 24 × $3 [est])</t>
        </is>
      </c>
      <c r="P212" t="inlineStr">
        <is>
          <t>Short campaign (days to 2 weeks)</t>
        </is>
      </c>
      <c r="Q212" t="inlineStr">
        <is>
          <t>MaxN relative abundance, length/biomass from stereo; assemblage composition</t>
        </is>
      </c>
      <c r="R212" t="inlineStr">
        <is>
          <t>Yes — Open (CC-BY; open GitHub manual)</t>
        </is>
      </c>
      <c r="S212" t="inlineStr">
        <is>
          <t>Abstract + Methods (fetched)</t>
        </is>
      </c>
      <c r="T212" t="inlineStr">
        <is>
          <t>https://benthic-bruvs-field-manual.github.io/ ; https://doi.org/10.1111/2041-210X.13470</t>
        </is>
      </c>
      <c r="U212" t="inlineStr">
        <is>
          <t>A single-camera BRUV is a lower-cost variant (relative abundance only, no lengths).</t>
        </is>
      </c>
      <c r="V212" t="inlineStr">
        <is>
          <t>Provided by Claude (grey/white-lit protocol search)</t>
        </is>
      </c>
      <c r="W212" s="9" t="inlineStr">
        <is>
          <t>3 — Partnership</t>
        </is>
      </c>
      <c r="X212" t="inlineStr">
        <is>
          <t>Mollusk, Finfish, Seaweed</t>
        </is>
      </c>
      <c r="Y212" t="inlineStr">
        <is>
          <t>Habitat &amp; Biodiversity</t>
        </is>
      </c>
      <c r="Z212" t="inlineStr">
        <is>
          <t>H&amp;B 1.2.1 — Mobile fauna</t>
        </is>
      </c>
      <c r="AA212" t="inlineStr">
        <is>
          <t>Cross-zone / global</t>
        </is>
      </c>
      <c r="AB212" t="inlineStr">
        <is>
          <t>Not species-specific</t>
        </is>
      </c>
      <c r="AC212" t="inlineStr">
        <is>
          <t>Not gear-specific</t>
        </is>
      </c>
      <c r="AD212" t="inlineStr">
        <is>
          <t>Not scale-specific</t>
        </is>
      </c>
      <c r="AE212" t="inlineStr">
        <is>
          <t>Clear (visual methods feasible)</t>
        </is>
      </c>
      <c r="AF212" t="inlineStr">
        <is>
          <t>Not specific</t>
        </is>
      </c>
      <c r="AG212" t="inlineStr">
        <is>
          <t>BRUVs / video</t>
        </is>
      </c>
      <c r="AH212" t="inlineStr">
        <is>
          <t>Not algae-specific</t>
        </is>
      </c>
      <c r="AI212" t="inlineStr">
        <is>
          <t>Coastal (10–30 m)</t>
        </is>
      </c>
      <c r="AJ212" t="inlineStr">
        <is>
          <t>Not exposure-specific</t>
        </is>
      </c>
      <c r="AK212" s="16" t="inlineStr">
        <is>
          <t>To survey fish assemblages (mobile fauna, and fish attraction at finfish farms) without diving, deploy baited remote underwater stereo-video (stereo-BRUV): a paired-camera frame with a bait arm, set on the seabed for a standard soak. Annotate the video to relative abundance (MaxN) and, from the stereo pair, individual lengths and biomass, following the standardized field-and-annotation SOP for cross-study comparability. A single-camera BRUV is a lower-cost practitioner variant (relative abundance only, no lengths), and data archive to a standardized repository (GlobalArchive).</t>
        </is>
      </c>
      <c r="AL212" s="17" t="inlineStr">
        <is>
          <t>Med</t>
        </is>
      </c>
      <c r="AM212" s="18" t="inlineStr">
        <is>
          <t>langlois_2020</t>
        </is>
      </c>
      <c r="AN212" s="19" t="n"/>
      <c r="AO212" s="19" t="n"/>
      <c r="AP212" s="19" t="n"/>
      <c r="AQ212" s="16" t="inlineStr">
        <is>
          <t>Baited Stereo-Video Survey of Fish Assemblages (Stereo-BRUV)</t>
        </is>
      </c>
      <c r="AR212" s="16" t="inlineStr">
        <is>
          <t>Langlois, T.; Goetze, J.; Bond, T.; et al. (NESP Marine Biodiversity Hub)</t>
        </is>
      </c>
      <c r="AS212" s="16" t="inlineStr">
        <is>
          <t>Single-camera baited cameras (BRUVs) are a lower-cost practitioner variant (relative abundance only, no lengths). GlobalArchive (globalarchive.org) is the standardized data repository. Part of the NESP Marine Sampling Field Manuals collection (next row). For finfish, this is the route to the fish-attraction facet of Finfish H&amp;B 2.1.1.  |  [2026-10-13 Rule 15 cost re-rate, batch 8] Framework basis: Mol H&amp;B 1.2.1 (finfish H&amp;B 1.2.1 is a different indicator, so the mollusc row applies): within farm + edge; seasonal (4 visits); 2 locations × 4 visits × 3 replicates = 24 drops. Single-camera BRUV for MaxN abundance and diversity; the stereo pair, calibration and EventMeasure serve fish lengths, which the indicator doesn't need (stereo would be about $1.1K, Medium, before calibration); annotation in free software is labour. Single camera confirmed (Peter, 2026-10-13). Prior O: 'Medium'.  |  [2026-10-16 monitoring-methods pass] AT (Monitoring Methods) set from the protocol's method summary (AK): Baited remote underwater video (BRUV), Time-lapse / GoPro cameras.</t>
        </is>
      </c>
      <c r="AT212" s="21" t="inlineStr">
        <is>
          <t>Baited remote underwater video (BRUV), Time-lapse / GoPro cameras</t>
        </is>
      </c>
    </row>
    <row r="213">
      <c r="A213" t="inlineStr">
        <is>
          <t>Przeslawski, R. &amp; Foster, S. (. ). —. N. M. B. H.</t>
        </is>
      </c>
      <c r="B213" t="inlineStr">
        <is>
          <t>Field Manuals for Marine Sampling to Monitor Australian Waters (BRUVs, grabs, sleds, towed video, AUVs)</t>
        </is>
      </c>
      <c r="C213" t="inlineStr">
        <is>
          <t>NESP Marine Biodiversity Hub</t>
        </is>
      </c>
      <c r="G213" t="n">
        <v>2018</v>
      </c>
      <c r="H213" t="inlineStr">
        <is>
          <t>National Environmental Science Program (Australia)</t>
        </is>
      </c>
      <c r="I213" t="inlineStr">
        <is>
          <t>A collection of standardized field-sampling SOPs (benthic stereo-BRUVs, grabs/cores, sleds, towed video, multibeam) used as a national design standard, spanning mobile fauna, benthic infauna and sediment.</t>
        </is>
      </c>
      <c r="J213" t="inlineStr">
        <is>
          <t>Reference (usable design tool / SOP collection)</t>
        </is>
      </c>
      <c r="K213" t="inlineStr">
        <is>
          <t>Adequate as a design/standardisation resource: each manual gives equipment, deployment and QA guidance a programme is built from; individual manuals are themselves executable protocols.</t>
        </is>
      </c>
      <c r="L213" t="inlineStr">
        <is>
          <t>No — most manuals assume a research vessel and specialist gear/expertise across the workflow.</t>
        </is>
      </c>
      <c r="M213" t="inlineStr">
        <is>
          <t>Yes</t>
        </is>
      </c>
      <c r="N213" t="inlineStr">
        <is>
          <t>Varies by manual (research vessel, grabs, towed/stereo video, multibeam)</t>
        </is>
      </c>
      <c r="O213" t="inlineStr">
        <is>
          <t>High</t>
        </is>
      </c>
      <c r="P213" t="inlineStr">
        <is>
          <t>Not time-specific</t>
        </is>
      </c>
      <c r="Q213" t="inlineStr">
        <is>
          <t>Per-manual standardized analysis</t>
        </is>
      </c>
      <c r="R213" t="inlineStr">
        <is>
          <t>Yes — Open (CC-BY)</t>
        </is>
      </c>
      <c r="S213" t="inlineStr">
        <is>
          <t>Abstract only</t>
        </is>
      </c>
      <c r="T213" t="inlineStr">
        <is>
          <t>https://www.nespmarine.edu.au/field-manuals</t>
        </is>
      </c>
      <c r="U213" t="inlineStr">
        <is>
          <t>Use it to design comparable benthic and mobile-fauna campaigns and to standardise across individual manuals.</t>
        </is>
      </c>
      <c r="V213" t="inlineStr">
        <is>
          <t>Provided by Claude (grey/white-lit protocol search)</t>
        </is>
      </c>
      <c r="W213" s="7" t="inlineStr">
        <is>
          <t>2 — Researcher</t>
        </is>
      </c>
      <c r="X213" t="inlineStr">
        <is>
          <t>Seaweed, Mollusk, Finfish</t>
        </is>
      </c>
      <c r="Y213" t="inlineStr">
        <is>
          <t>Habitat &amp; Biodiversity, Cross-cutting / Framework</t>
        </is>
      </c>
      <c r="Z213" t="inlineStr">
        <is>
          <t>H&amp;B 1.2.1 — Mobile fauna, H&amp;B 1.3.1 — Benthic infauna, H&amp;B 1.4.1 — Sediment</t>
        </is>
      </c>
      <c r="AA213" t="inlineStr">
        <is>
          <t>Cross-zone / global</t>
        </is>
      </c>
      <c r="AB213" t="inlineStr">
        <is>
          <t>Not species-specific</t>
        </is>
      </c>
      <c r="AC213" t="inlineStr">
        <is>
          <t>Not gear-specific</t>
        </is>
      </c>
      <c r="AD213" t="inlineStr">
        <is>
          <t>Not scale-specific</t>
        </is>
      </c>
      <c r="AE213" t="inlineStr">
        <is>
          <t>Not site-specific</t>
        </is>
      </c>
      <c r="AF213" t="inlineStr">
        <is>
          <t>Not specific</t>
        </is>
      </c>
      <c r="AG213" t="inlineStr">
        <is>
          <t>Mixed methods</t>
        </is>
      </c>
      <c r="AH213" t="inlineStr">
        <is>
          <t>Not algae-specific</t>
        </is>
      </c>
      <c r="AI213" t="inlineStr">
        <is>
          <t>Not depth-specific</t>
        </is>
      </c>
      <c r="AJ213" t="inlineStr">
        <is>
          <t>Not exposure-specific</t>
        </is>
      </c>
      <c r="AK213" s="16" t="inlineStr">
        <is>
          <t>This is a collection of standardized Australian field-sampling manuals (benthic stereo-BRUVs, grabs and cores, towed video, sleds, multibeam) used as a national design standard spanning mobile fauna, benthic infauna and sediment. Use it to design comparable benthic and mobile-fauna campaigns and to lift indicator-specific manuals (such as the stereo-BRUV manual) into a coherent programme, rather than as a single procedure.</t>
        </is>
      </c>
      <c r="AL213" s="17" t="inlineStr">
        <is>
          <t>Ref</t>
        </is>
      </c>
      <c r="AM213" s="18" t="inlineStr">
        <is>
          <t>przeslawski_2018</t>
        </is>
      </c>
      <c r="AN213" s="19" t="n"/>
      <c r="AO213" s="19" t="n"/>
      <c r="AP213" s="19" t="n"/>
      <c r="AQ213" s="16" t="inlineStr">
        <is>
          <t>Australian Marine-Sampling Field Manuals (Design Reference)</t>
        </is>
      </c>
      <c r="AR213" s="16" t="inlineStr">
        <is>
          <t>Przeslawski, R.; Foster, S. (eds.) — NESP Marine Biodiversity Hub</t>
        </is>
      </c>
      <c r="AS213" s="16" t="inlineStr">
        <is>
          <t>Most useful for designing comparable benthic/mobile-fauna campaigns; lifts indicator-specific manuals (e.g., the stereo-BRUV manual above) into a coherent programme. Tier T2 as a researcher-grade design tool.  |  [2026-10-16 monitoring-methods pass] AT (Monitoring Methods) set from the protocol's method summary (AK): Benthic infauna community, Baited remote underwater video (BRUV), Towed video / ROV.</t>
        </is>
      </c>
      <c r="AT213" s="21" t="inlineStr">
        <is>
          <t>Benthic infauna community, Baited remote underwater video (BRUV), Towed video / ROV</t>
        </is>
      </c>
    </row>
    <row r="214">
      <c r="A214" t="inlineStr">
        <is>
          <t>Scottish Environment Protection Agency (SEPA)</t>
        </is>
      </c>
      <c r="B214" t="inlineStr">
        <is>
          <t>Monitoring Survey, Benthic — Extended (MON EX SPEC 001, Version 2)</t>
        </is>
      </c>
      <c r="C214" t="inlineStr">
        <is>
          <t>SEPA Fish Farm Manual — monitoring survey specification</t>
        </is>
      </c>
      <c r="G214" t="n">
        <v>2008</v>
      </c>
      <c r="H214" t="inlineStr">
        <is>
          <t>Scottish Environment Protection Agency</t>
        </is>
      </c>
      <c r="I214" t="inlineStr">
        <is>
          <t>Maps to H&amp;B 1.3.1 — Benthic infauna. Van Veen or similar grabs (≥0.02 m²) at the cage edge, 25 m and 50 m along the predominant current, 25 m and 50 m on the reciprocal transect, and 2 reference stations 500 m–1 km outside the lease at similar depth, exposure and sediment; 5 replicate grabs per station (2 if 0.1 m²), sieved at 1 mm, fixed in buffered 4% formalin, sorted with rose bengal and identified to species by an AQC-accredited taxonomist; species–abundance matrix with Shannon (log2), Pielou evenness and Infaunal Trophic Index; surveyed at peak biomass. Match: Yes.</t>
        </is>
      </c>
      <c r="J214" t="inlineStr">
        <is>
          <t>Protocol</t>
        </is>
      </c>
      <c r="K214" t="inlineStr">
        <is>
          <t>Confirmed standalone (full read; scanned PDF, OCR). A prescriptive regulatory survey with a near-field gradient and two distant references — robust for H&amp;B 1.3.1. Written for finfish cages; it uses the Infaunal Trophic Index, not the IQI the database title named.</t>
        </is>
      </c>
      <c r="L214" t="inlineStr">
        <is>
          <t>Partial — grab sampling and sieving from a small vessel are farmer-doable; sorting and species identification need an accredited partner lab.</t>
        </is>
      </c>
      <c r="M214" t="inlineStr">
        <is>
          <t>Yes</t>
        </is>
      </c>
      <c r="N214" t="inlineStr">
        <is>
          <t>Boat with position fixing (DGPS); Van Veen or similar top-opening grab (≥0.02 m²); 1 mm mesh sieve; buffered 4% formalin, rose bengal and 70% IMS; labelled airtight pots; partner-lab sorting trays and stereo and compound microscopes.</t>
        </is>
      </c>
      <c r="O214" t="inlineStr">
        <is>
          <t>High — ~$12K yr 1: $1.77K start-up (Petite Ponar grab $1.57K [list]; grab line $50 [est]; 1 mm sieve $150 [est]) + $10.1K/yr (infauna sort + ID 24 × $414 [lab fee]; preservative + jars $150 [est])</t>
        </is>
      </c>
      <c r="P214" t="inlineStr">
        <is>
          <t>Single deployment (hours to 1 day) — one survey per production cycle at peak biomass (ideally May–October)</t>
        </is>
      </c>
      <c r="Q214" t="inlineStr">
        <is>
          <t>Species–abundance matrix by replicate and station; Shannon–Wiener (log2), Pielou evenness and Infaunal Trophic Index; results classed Satisfactory / Borderline / Unsatisfactory against the Fish Farm Manual Annex A standards.</t>
        </is>
      </c>
      <c r="R214" t="inlineStr">
        <is>
          <t>Yes — Open (SEPA PDF)</t>
        </is>
      </c>
      <c r="S214" t="inlineStr">
        <is>
          <t>Full PDF</t>
        </is>
      </c>
      <c r="T214" t="inlineStr">
        <is>
          <t>https://www.sepa.org.uk/media/115592/fish-farm-manual-benthic-extended.pdf</t>
        </is>
      </c>
      <c r="U214" t="inlineStr">
        <is>
          <t>A regulatory impact survey for Scottish cage fish farms (licence condition), dated 15 September 2008 (Version 2); the near-field gradient plus distant references transfers directly to bivalve farms (Rule 2).</t>
        </is>
      </c>
      <c r="V214" t="inlineStr">
        <is>
          <t>Provided by Claude (grey/white-lit protocol search)</t>
        </is>
      </c>
      <c r="W214" s="9" t="inlineStr">
        <is>
          <t>3 — Partnership</t>
        </is>
      </c>
      <c r="X214" t="inlineStr">
        <is>
          <t>Mollusk, Finfish</t>
        </is>
      </c>
      <c r="Y214" t="inlineStr">
        <is>
          <t>Habitat &amp; Biodiversity</t>
        </is>
      </c>
      <c r="Z214" t="inlineStr">
        <is>
          <t>H&amp;B 1.3.1 — Benthic infauna</t>
        </is>
      </c>
      <c r="AA214" t="inlineStr">
        <is>
          <t>Temperate Atlantic</t>
        </is>
      </c>
      <c r="AB214" t="inlineStr">
        <is>
          <t>Not species-specific</t>
        </is>
      </c>
      <c r="AC214" t="inlineStr">
        <is>
          <t>Not gear-specific</t>
        </is>
      </c>
      <c r="AD214" t="inlineStr">
        <is>
          <t>Not scale-specific</t>
        </is>
      </c>
      <c r="AE214" t="inlineStr">
        <is>
          <t>Not site-specific</t>
        </is>
      </c>
      <c r="AF214" t="inlineStr">
        <is>
          <t>Not specific</t>
        </is>
      </c>
      <c r="AG214" t="inlineStr">
        <is>
          <t>Sediment sampling</t>
        </is>
      </c>
      <c r="AH214" t="inlineStr">
        <is>
          <t>Not algae-specific</t>
        </is>
      </c>
      <c r="AI214" t="inlineStr">
        <is>
          <t>Coastal (10–30 m)</t>
        </is>
      </c>
      <c r="AJ214" t="inlineStr">
        <is>
          <t>Not exposure-specific</t>
        </is>
      </c>
      <c r="AK214" s="16" t="inlineStr">
        <is>
          <t>To check the seabed animals under and around your farm, take grab samples along a line running with the main current from the farm edge — at the edge, 25 m and 50 m, plus 25 m and 50 m in the opposite direction — and at [2] reference stations 500 m–1 km away with similar depth and sediment, fixing each position by GPS so you can return. At each station take [3–5] grabs (at least 0.02 m²), wash each through a 1 mm sieve and preserve what stays on the sieve in buffered 4% formalin in labelled pots; a partner lab sorts and identifies the animals to species and reports counts, diversity and an infaunal index. Sample once per season (the source surveys once a year at peak stocking, May–October) and compare stations with the references, noting sediment colour, smell and any white bacterial mats in each grab.</t>
        </is>
      </c>
      <c r="AL214" s="17" t="inlineStr">
        <is>
          <t>High</t>
        </is>
      </c>
      <c r="AM214" s="18" t="inlineStr">
        <is>
          <t>sepa_2019_hb131</t>
        </is>
      </c>
      <c r="AN214" s="19" t="n"/>
      <c r="AO214" s="19" t="n"/>
      <c r="AP214" s="19" t="n"/>
      <c r="AQ214" s="16" t="inlineStr">
        <is>
          <t>Benthic-infauna sampling — Mollusk, Finfish</t>
        </is>
      </c>
      <c r="AR214" s="16" t="inlineStr">
        <is>
          <t>Scottish Environment Protection Agency (SEPA)</t>
        </is>
      </c>
      <c r="AS214" s="16" t="inlineStr">
        <is>
          <t>A regulatory impact-monitoring standard rather than a benefit protocol, but the grab→IQI workflow is the standard route to the benthic-infauna and sediment indicators. Directly comparable to Norway NS 9410 / MOM (next row).  |  Migration (one-indicator-per-row, 2026-09-04): split from sepa_2019 -&gt; {sepa_2019_hb131, sepa_2019_hb141}. This row = sepa_2019_hb131 (H&amp;B 1.3.1 — Benthic infauna). Candidate: AK/N/Q blanked and I/K/W/O/P provisional; per-indicator method text, tier/cost/effort and match adjudication to be finalised at generation. Combined parent I/AK/N/Q retained in v37 (pre-split).  |  [2026-10-13 Rule 15 cost re-rate, batch 8] Framework basis: Mol H&amp;B 1.3.1 (Mollusk + Finfish; the finfish sector has no H&amp;B 1.3.1): under/within farm + edge; seasonal (4 visits); 2 locations × 4 visits × 3 replicates = 24. Grab → sieve → partner-lab sort + ID for the IQI (not field-identifiable, so no waiver); Petite Ponar replaces the 0.1 m² Van Veen (a regulatory submission would need the Van Veen). Prior O: 'Medium–High'.  |  [2026-10-15 method-summary pass] Full read (scanned PDF from Peter, OCR). Citation corrected from the document: B 'Fish Farm Manual — Benthic Monitoring (Standard &amp; Extended surveys; Infaunal Quality Index)' → 'Monitoring Survey, Benthic — Extended (MON EX SPEC 001, Version 2)'; G 2019 → 2008 (dated 15 September 2008); C reworded. S: 'Abstract + Methods (fetched)' → 'Full PDF'. I, K: candidate-split text replaced (index is ITI, not IQI). P: 'Seasonal (1–3 months)' → single deployment per cycle at peak biomass. N, Q, AK: blank → filled; U reworded. O: 500 µm sieve → 1 mm (source mesh; same price, total unchanged). W stays 3. AL: Med → High.  |  [2026-10-16 monitoring-methods pass] AT (Monitoring Methods) set from the protocol's method summary (AK): Benthic infauna community.</t>
        </is>
      </c>
      <c r="AT214" s="21" t="inlineStr">
        <is>
          <t>Benthic infauna community</t>
        </is>
      </c>
    </row>
    <row r="215">
      <c r="A215" s="21" t="inlineStr">
        <is>
          <t>Scottish Environment Protection Agency (SEPA)</t>
        </is>
      </c>
      <c r="B215" s="21" t="inlineStr">
        <is>
          <t>Monitoring Survey, Benthic — Extended (MON EX SPEC 001, Version 2)</t>
        </is>
      </c>
      <c r="C215" s="21" t="inlineStr">
        <is>
          <t>SEPA Fish Farm Manual — monitoring survey specification</t>
        </is>
      </c>
      <c r="D215" s="21" t="n"/>
      <c r="E215" s="21" t="n"/>
      <c r="F215" s="21" t="n"/>
      <c r="G215" s="21" t="n">
        <v>2008</v>
      </c>
      <c r="H215" s="21" t="inlineStr">
        <is>
          <t>Scottish Environment Protection Agency</t>
        </is>
      </c>
      <c r="I215" s="21" t="inlineStr">
        <is>
          <t>Maps to H&amp;B 1.4.1 — Sediment. At the same stations: visual description of each grab (colour, texture, feed pellets, Beggiatoa mats, depth of organic waste); redox profiles at 0–5 cm in 1 cm steps in two grabs per station with a portable meter and combined electrode, checked against Zobell's solution and corrected to the standard hydrogen electrode; surface (0–2 cm) subsamples for organic matter (loss on ignition minimum, or TOC by combustion) and particle size (dry sieving or laser). Match: Yes.</t>
        </is>
      </c>
      <c r="J215" s="21" t="inlineStr">
        <is>
          <t>Protocol</t>
        </is>
      </c>
      <c r="K215" s="21" t="inlineStr">
        <is>
          <t>Confirmed standalone (full read; scanned PDF, OCR). Field redox plus lab organic matter and grain size along a near-field gradient with distant references — robust for H&amp;B 1.4.1.</t>
        </is>
      </c>
      <c r="L215" s="21" t="inlineStr">
        <is>
          <t>Partial — grab sampling, visual description and redox readings are farmer-doable with a meter; loss on ignition and particle size need a partner lab.</t>
        </is>
      </c>
      <c r="M215" s="21" t="inlineStr">
        <is>
          <t>Yes</t>
        </is>
      </c>
      <c r="N215" s="21" t="inlineStr">
        <is>
          <t>Boat with DGPS; small grab or corer (separate grabs for chemistry); portable redox meter with combined (or platinum plus reference) electrode, Zobell's solution and thermometer; airtight containers for frozen 50 mL (organic) and 100 mL (particle size) subsamples.</t>
        </is>
      </c>
      <c r="O215" s="21" t="inlineStr">
        <is>
          <t>Medium — ~$3.8K yr 1: $2.6K start-up (Petite Ponar grab $1.57K [list]; grab line $50 [est]; pH/ORP meter $760 [list]; ORP electrode $220 [list]) + $1.23K/yr (grain size 24 × $30 [lab fee]; sediment LOI 24 × $19 [lab fee]; sample jars $50 [est])</t>
        </is>
      </c>
      <c r="P215" s="21" t="inlineStr">
        <is>
          <t>Single deployment (hours to 1 day) — one survey per production cycle at peak biomass (ideally May–October)</t>
        </is>
      </c>
      <c r="Q215" s="21" t="inlineStr">
        <is>
          <t>Redox profiles corrected to Eh (SHE); organic matter and particle-size distributions by station; evaluated against Fish Farm Manual Annex A standards (Satisfactory / Borderline / Unsatisfactory).</t>
        </is>
      </c>
      <c r="R215" s="21" t="inlineStr">
        <is>
          <t>Yes — Open (SEPA PDF)</t>
        </is>
      </c>
      <c r="S215" s="21" t="inlineStr">
        <is>
          <t>Full PDF</t>
        </is>
      </c>
      <c r="T215" s="21" t="inlineStr">
        <is>
          <t>https://www.sepa.org.uk/media/115592/fish-farm-manual-benthic-extended.pdf</t>
        </is>
      </c>
      <c r="U215" s="21" t="inlineStr">
        <is>
          <t>A regulatory impact survey for Scottish cage fish farms (licence condition), dated 15 September 2008 (Version 2); the near-field gradient plus distant references transfers directly to bivalve farms (Rule 2).</t>
        </is>
      </c>
      <c r="V215" s="21" t="inlineStr">
        <is>
          <t>Provided by Claude (grey/white-lit protocol search)</t>
        </is>
      </c>
      <c r="W215" s="9" t="inlineStr">
        <is>
          <t>3 — Partnership</t>
        </is>
      </c>
      <c r="X215" s="21" t="inlineStr">
        <is>
          <t>Mollusk, Finfish</t>
        </is>
      </c>
      <c r="Y215" s="21" t="inlineStr">
        <is>
          <t>Habitat &amp; Biodiversity</t>
        </is>
      </c>
      <c r="Z215" s="21" t="inlineStr">
        <is>
          <t>H&amp;B 1.4.1 — Sediment</t>
        </is>
      </c>
      <c r="AA215" s="21" t="inlineStr">
        <is>
          <t>Temperate Atlantic</t>
        </is>
      </c>
      <c r="AB215" s="21" t="inlineStr">
        <is>
          <t>Not species-specific</t>
        </is>
      </c>
      <c r="AC215" s="21" t="inlineStr">
        <is>
          <t>Not gear-specific</t>
        </is>
      </c>
      <c r="AD215" s="21" t="inlineStr">
        <is>
          <t>Not scale-specific</t>
        </is>
      </c>
      <c r="AE215" s="21" t="inlineStr">
        <is>
          <t>Not site-specific</t>
        </is>
      </c>
      <c r="AF215" s="21" t="inlineStr">
        <is>
          <t>Not specific</t>
        </is>
      </c>
      <c r="AG215" s="21" t="inlineStr">
        <is>
          <t>Sediment sampling</t>
        </is>
      </c>
      <c r="AH215" s="21" t="inlineStr">
        <is>
          <t>Not algae-specific</t>
        </is>
      </c>
      <c r="AI215" s="21" t="inlineStr">
        <is>
          <t>Coastal (10–30 m)</t>
        </is>
      </c>
      <c r="AJ215" s="21" t="inlineStr">
        <is>
          <t>Not exposure-specific</t>
        </is>
      </c>
      <c r="AK215" s="16" t="inlineStr">
        <is>
          <t>To check seabed condition under and around your farm, sample the same stations as the infauna survey (farm edge, 25 m and 50 m along and against the main current, and [2] references 500 m–1 km away). For each station describe [2] grabs (colour, texture, smell, white bacterial mats, depth of any waste layer), then push a redox probe into the sediment in the grab at 0, 1, 2, 3, 4 and 5 cm, letting each reading settle; check the probe in Zobell's solution first and add the probe's correction (about +200 mV) to report Eh. Take a ~50 mL scoop of the top 2 cm for organic matter (loss on ignition) and ~100 mL for grain size, freeze them and send them to a partner lab. Repeat twice a year and compare farm stations with the references; strongly negative redox and black, smelly sediment signal organic enrichment.</t>
        </is>
      </c>
      <c r="AL215" s="17" t="inlineStr">
        <is>
          <t>High</t>
        </is>
      </c>
      <c r="AM215" s="18" t="inlineStr">
        <is>
          <t>sepa_2019_hb141</t>
        </is>
      </c>
      <c r="AN215" s="19" t="n"/>
      <c r="AO215" s="19" t="n"/>
      <c r="AP215" s="19" t="n"/>
      <c r="AQ215" s="16" t="inlineStr">
        <is>
          <t>Sediment-condition monitoring — Mollusk, Finfish</t>
        </is>
      </c>
      <c r="AR215" s="16" t="inlineStr">
        <is>
          <t>Scottish Environment Protection Agency (SEPA)</t>
        </is>
      </c>
      <c r="AS215" s="16" t="inlineStr">
        <is>
          <t>A regulatory impact-monitoring standard rather than a benefit protocol, but the grab→IQI workflow is the standard route to the benthic-infauna and sediment indicators. Directly comparable to Norway NS 9410 / MOM (next row).  |  Migration (one-indicator-per-row, 2026-09-04): split from sepa_2019 -&gt; {sepa_2019_hb131, sepa_2019_hb141}. This row = sepa_2019_hb141 (H&amp;B 1.4.1 — Sediment). Candidate: AK/N/Q blanked and I/K/W/O/P provisional; per-indicator method text, tier/cost/effort and match adjudication to be finalised at generation. Combined parent I/AK/N/Q retained in v37 (pre-split).  |  [2026-10-13 Rule 15 cost re-rate, batch 8] Framework basis: Mol H&amp;B 1.4.1 (Mollusk + Finfish; the finfish sector has no H&amp;B 1.4.1): 2 farm strata + 2 nearby non-farm refs; biannual (2 visits; least frequent option); 4 locations × 2 visits × 3 replicates = 24. Grain size + TOC at a partner lab and redox in the field (analytes inferred from the standard survey; band holds for any subset, or with metals added). Prior O: 'Medium–High'.  |  [2026-10-15 method-summary pass] Full read (scanned PDF from Peter, OCR). Citation fixes as sepa_2019_hb131. I, K replaced; P as hb131. O: 'Medium — ~$4.2K … sediment TOC 24 × $34' → Medium ~$3.8K with LOI 24 × $19 (the source's stated minimum; TOC optional); batch-8 basis otherwise unchanged. N, Q, AK filled; U reworded. W stays 3. AL: Med → High.  |  [2026-10-16 monitoring-methods pass] AT (Monitoring Methods) set from the protocol's method summary (AK): Grain size / particle size, Sediment chemistry (OC / TN / redox / AVS).</t>
        </is>
      </c>
      <c r="AT215" s="21" t="inlineStr">
        <is>
          <t>Grain size / particle size, Sediment chemistry (OC / TN / redox / AVS)</t>
        </is>
      </c>
    </row>
    <row r="216">
      <c r="A216" t="inlineStr">
        <is>
          <t>Scottish Salmon Producers' Org. (Code of Good Practice)</t>
        </is>
      </c>
      <c r="B216" t="inlineStr">
        <is>
          <t>Sea lice counting &amp; surveillance protocols (farmed and wild fish)</t>
        </is>
      </c>
      <c r="C216" t="inlineStr">
        <is>
          <t>Industry Code of Good Practice / national surveillance protocols</t>
        </is>
      </c>
      <c r="G216" t="n">
        <v>2023</v>
      </c>
      <c r="H216" t="inlineStr">
        <is>
          <t>Multiple (Scotland; Norway)</t>
        </is>
      </c>
      <c r="I216" t="inlineStr">
        <is>
          <t>Standardized protocols for counting sea lice on farmed salmon (and sentinel/wild salmonids): fixed sampling design (e.g., 5 fish × 5 pens = 25 fish), stage-resolved lice counts, and trigger levels. Under the finfish indicator set this is the parasite/pathogen-surveillance facet of Finfish H&amp;B 2.1.1 (farmed + nearby wild stock).</t>
        </is>
      </c>
      <c r="J216" t="inlineStr">
        <is>
          <t>Protocol</t>
        </is>
      </c>
      <c r="K216" t="inlineStr">
        <is>
          <t>Yes — prescriptive fish-sampling and lice-staging counts with defined trigger thresholds; farm-staff counts validated against dedicated teams.</t>
        </is>
      </c>
      <c r="L216" t="inlineStr">
        <is>
          <t>Partial — farm-level counting on netted fish is genuinely farm-staff (practitioner) executable; the rigorous wild-salmonid surveillance variant needs IMR-style certification and sentinel-cage/trawl capacity (partner).</t>
        </is>
      </c>
      <c r="M216" t="inlineStr">
        <is>
          <t>Yes</t>
        </is>
      </c>
      <c r="N216" t="inlineStr">
        <is>
          <t>Anaesthetic/handling kit, hand lens/loupe; (automated camera systems emerging)</t>
        </is>
      </c>
      <c r="O216" t="inlineStr">
        <is>
          <t>Low–Medium</t>
        </is>
      </c>
      <c r="P216" t="inlineStr">
        <is>
          <t>Multi-year monitoring (&gt; 1 year)</t>
        </is>
      </c>
      <c r="Q216" t="inlineStr">
        <is>
          <t>Prevalence/abundance per fish (negative-binomial/normal); trigger-level comparison</t>
        </is>
      </c>
      <c r="R216" t="inlineStr">
        <is>
          <t>Yes — Open (CoGP &amp; national guidance)</t>
        </is>
      </c>
      <c r="S216" t="inlineStr">
        <is>
          <t>Abstract + Methods (fetched)</t>
        </is>
      </c>
      <c r="T216" t="inlineStr">
        <is>
          <t>Scottish Code of Good Practice: thecodeofgoodpractice.co.uk ; Norway IMR: https://www.hi.no/en/hi/nettrapporter/rapport-fra-havforskningen-en-2024-61</t>
        </is>
      </c>
      <c r="V216" t="inlineStr">
        <is>
          <t>Provided by Claude (grey/white-lit protocol search)</t>
        </is>
      </c>
      <c r="W216" s="9" t="inlineStr">
        <is>
          <t>3 — Partnership</t>
        </is>
      </c>
      <c r="X216" t="inlineStr">
        <is>
          <t>Finfish</t>
        </is>
      </c>
      <c r="Y216" t="inlineStr">
        <is>
          <t>Habitat &amp; Biodiversity</t>
        </is>
      </c>
      <c r="Z216" t="inlineStr">
        <is>
          <t>H&amp;B 2.1.1 — Community composition</t>
        </is>
      </c>
      <c r="AA216" t="inlineStr">
        <is>
          <t>Temperate Atlantic</t>
        </is>
      </c>
      <c r="AB216" t="inlineStr">
        <is>
          <t>Not species-specific</t>
        </is>
      </c>
      <c r="AC216" t="inlineStr">
        <is>
          <t>Floating cage / tray</t>
        </is>
      </c>
      <c r="AD216" t="inlineStr">
        <is>
          <t>Not scale-specific</t>
        </is>
      </c>
      <c r="AE216" t="inlineStr">
        <is>
          <t>Not site-specific</t>
        </is>
      </c>
      <c r="AF216" t="inlineStr">
        <is>
          <t>Monoculture</t>
        </is>
      </c>
      <c r="AG216" t="inlineStr">
        <is>
          <t>Visual survey</t>
        </is>
      </c>
      <c r="AH216" t="inlineStr">
        <is>
          <t>Not algae-specific</t>
        </is>
      </c>
      <c r="AI216" t="inlineStr">
        <is>
          <t>Coastal (10–30 m)</t>
        </is>
      </c>
      <c r="AJ216" t="inlineStr">
        <is>
          <t>Not exposure-specific</t>
        </is>
      </c>
      <c r="AK216" s="16" t="inlineStr">
        <is>
          <t>To monitor sea-lice burden on farmed salmon (the parasite/pathogen-surveillance facet of the finfish community-composition indicator), follow a fixed sampling design - for example five fish from each of five pens (25 fish) on a set schedule - anaesthetising and examining each fish and counting lice by life stage under a hand lens. Report prevalence and abundance per fish and compare against defined trigger levels that prompt action. Farm-staff counts are typically validated against dedicated teams, and sentinel/wild-salmonid counting extends the same method beyond the farm.</t>
        </is>
      </c>
      <c r="AL216" s="17" t="inlineStr">
        <is>
          <t>Med</t>
        </is>
      </c>
      <c r="AM216" s="18" t="inlineStr">
        <is>
          <t>scottishsalmon_2023</t>
        </is>
      </c>
      <c r="AN216" s="19" t="n"/>
      <c r="AO216" s="19" t="n"/>
      <c r="AP216" s="19" t="n"/>
      <c r="AQ216" s="16" t="inlineStr">
        <is>
          <t>Sea-Lice Counting &amp; Surveillance Protocol</t>
        </is>
      </c>
      <c r="AR216" s="16" t="inlineStr">
        <is>
          <t>Scottish Salmon Producers' Org. (Code of Good Practice); Institute of Marine Research (Norway); Norwegian Food Safety Authority</t>
        </is>
      </c>
      <c r="AS216" s="16" t="inlineStr">
        <is>
          <t>The Norwegian Salmon Lice Directive (FOR-2009-08-18-1095) is the regulatory framework mandating counting; the IMR protocol is the certified standardized count for the national wild-salmonid programme. Farm-level counting alone is closer to T4; tier set at T3 to cover the full indicator (incl. wild-population surveillance to ~2.5 km). Tagged with the generic 'H&amp;B 2.1.1' string; under the finfish set this is fish-attraction / parasite surveillance.</t>
        </is>
      </c>
      <c r="AT216" s="21" t="n"/>
    </row>
    <row r="217">
      <c r="A217" t="inlineStr">
        <is>
          <t>Cornwell, J., et al.</t>
        </is>
      </c>
      <c r="B217" t="inlineStr">
        <is>
          <t>Panel Recommendations on the Oyster BMP Nutrient and Suspended Sediment Reduction Effectiveness Determination Decision Framework and Nitrogen and Phosphorus Assimilation in Oyster Tissue Reduction Effectiveness for Oyster Aquaculture Practices</t>
        </is>
      </c>
      <c r="C217" t="inlineStr">
        <is>
          <t>Oyster BMP Expert Panel First Incremental Report (prepared by Reichert-Nguyen, J., French, E. &amp; Slacum, W., Oyster Recovery Partnership)</t>
        </is>
      </c>
      <c r="G217" t="n">
        <v>2016</v>
      </c>
      <c r="H217" t="inlineStr">
        <is>
          <t>Chesapeake Bay Program</t>
        </is>
      </c>
      <c r="I217" t="inlineStr">
        <is>
          <t>Maps to WQ 1.1.1 — N and P bioextraction. Harvest accounting for C. virginica from private aquaculture (off-bottom and on-bottom, hatchery-produced or substrate addition): harvested live oysters counted by shell-height size class, each class midpoint converted to tissue dry weight with 50th-quantile regressions (diploid 0.0004 × SH^1.82; triploid 0.00005 × SH^2.39, SH in mm) and multiplied by 8.2% N and 0.9% P to give default grams per oyster (e.g. diploid 76 mm: 0.09 g N, 0.01 g P); or a site-specific estimate from tissue dry weight of 50 random oysters per size class in each of two seasons ~6 months apart (dried at 60 °C to constant weight). Tissue only. Match: Yes.</t>
        </is>
      </c>
      <c r="J217" t="inlineStr">
        <is>
          <t>Protocol</t>
        </is>
      </c>
      <c r="K217" t="inlineStr">
        <is>
          <t>Confirmed standalone (full read of the First Report). A regulator-approved crediting protocol with verification rules (average count from 10 representative containers and shell height of 50 random oysters, each in two periods) — robust for WQ 1.1.1 as tissue N and P removed at harvest, and it is the Framework's primary method (species nutrient composition × biomass harvested). Shell N and P and enhanced denitrification were deferred to later Panel reports.</t>
        </is>
      </c>
      <c r="L217" t="inlineStr">
        <is>
          <t>Yes — counting harvested oysters, measuring shell height with calipers and applying the default per-oyster values needs no lab. The optional site-specific estimate sends 50 oysters per size class per season to a lab for tissue dry weight.</t>
        </is>
      </c>
      <c r="M217" t="inlineStr">
        <is>
          <t>Yes</t>
        </is>
      </c>
      <c r="N217" t="inlineStr">
        <is>
          <t>Harvest records (containers or individual counts, month, location); hatchery records for ploidy; calipers for shell height; optional lab tissue dry weight (60 °C to constant weight) for a site-specific estimate.</t>
        </is>
      </c>
      <c r="O217" t="inlineStr">
        <is>
          <t>Low — ~$30 yr 1: $30 start-up (calipers $30 [est]) + no recurring cost</t>
        </is>
      </c>
      <c r="P217" t="inlineStr">
        <is>
          <t>Year-long study (12 months) — annual harvest reporting, with count and size checks in two periods ~6 months apart</t>
        </is>
      </c>
      <c r="Q217" t="inlineStr">
        <is>
          <t>Desk calculation: harvested oysters × per-oyster N and P by size class (50th-quantile shell height–tissue dry weight regressions × 8.2% N, 0.9% P); a resampling sensitivity analysis set n = 50 per size class for site-specific estimates.</t>
        </is>
      </c>
      <c r="R217" t="inlineStr">
        <is>
          <t>Yes — Open (CBP PDFs)</t>
        </is>
      </c>
      <c r="S217" t="inlineStr">
        <is>
          <t>Full PDF</t>
        </is>
      </c>
      <c r="T217" t="inlineStr">
        <is>
          <t>https://d18lev1ok5leia.cloudfront.net/chesapeakebay/documents/Oyster-BMP-Expert-Panel-Second-Report.pdf</t>
        </is>
      </c>
      <c r="U217" t="inlineStr">
        <is>
          <t>Credits tissue in harvested oysters from private aquaculture only; shell N and P and denitrification are in later Panel reports. The defaults are for eastern oysters (C. virginica) in the Chesapeake region — other species or regions need their own shell height–dry weight regression or the site-specific route.</t>
        </is>
      </c>
      <c r="V217" t="inlineStr">
        <is>
          <t>Provided by Claude (grey/white-lit protocol search)</t>
        </is>
      </c>
      <c r="W217" s="10" t="inlineStr">
        <is>
          <t>4 — Practitioner</t>
        </is>
      </c>
      <c r="X217" t="inlineStr">
        <is>
          <t>Mollusk</t>
        </is>
      </c>
      <c r="Y217" t="inlineStr">
        <is>
          <t>Water Quality</t>
        </is>
      </c>
      <c r="Z217" t="inlineStr">
        <is>
          <t>WQ 1.1.1 — N and P bioextraction</t>
        </is>
      </c>
      <c r="AA217" t="inlineStr">
        <is>
          <t>Temperate Atlantic</t>
        </is>
      </c>
      <c r="AB217" t="inlineStr">
        <is>
          <t>Eastern oyster (Crassostrea virginica)</t>
        </is>
      </c>
      <c r="AC217" t="inlineStr">
        <is>
          <t>Not gear-specific</t>
        </is>
      </c>
      <c r="AD217" t="inlineStr">
        <is>
          <t>Not scale-specific</t>
        </is>
      </c>
      <c r="AE217" t="inlineStr">
        <is>
          <t>Not site-specific</t>
        </is>
      </c>
      <c r="AF217" t="inlineStr">
        <is>
          <t>Not specific</t>
        </is>
      </c>
      <c r="AG217" t="inlineStr">
        <is>
          <t>Tissue analysis</t>
        </is>
      </c>
      <c r="AH217" t="inlineStr">
        <is>
          <t>Not algae-specific</t>
        </is>
      </c>
      <c r="AI217" t="inlineStr">
        <is>
          <t>Not depth-specific</t>
        </is>
      </c>
      <c r="AJ217" t="inlineStr">
        <is>
          <t>Not exposure-specific</t>
        </is>
      </c>
      <c r="AK217" s="16" t="inlineStr">
        <is>
          <t>To estimate the nitrogen and phosphorus your oyster harvest removes, record every harvest: number of oysters (or containers, with the average count per container from [10] representative containers), month, location and whether they are diploid or triploid. Twice a year, about six months apart, measure the shell height of [50] random oysters from those containers with calipers and sort the harvest into size classes (2.0–2.49, 2.5–3.49, 3.5–4.49, 4.5–5.49 and ≥5.5 in). Multiply the number in each class by that class's per-oyster nitrogen and phosphorus (e.g. a 3 in diploid holds about 0.09 g N and 0.01 g P) and sum for the year. For a farm-specific figure, send [50] oysters per size class each season to a lab for tissue dry weight and multiply by 8.2% N and 0.9% P. The defaults are for eastern oysters and count tissue only, not shell.</t>
        </is>
      </c>
      <c r="AL217" s="17" t="inlineStr">
        <is>
          <t>High</t>
        </is>
      </c>
      <c r="AM217" s="18" t="inlineStr">
        <is>
          <t>reichertnguyen_2023_wq111</t>
        </is>
      </c>
      <c r="AN217" s="19" t="n"/>
      <c r="AO217" s="19" t="n"/>
      <c r="AP217" s="19" t="n"/>
      <c r="AQ217" s="16" t="inlineStr">
        <is>
          <t>Nutrient bioextraction (tissue N &amp; P) — Mollusk</t>
        </is>
      </c>
      <c r="AR217" s="16" t="inlineStr">
        <is>
          <t>Cornwell, Jeff; Rose, Julie; Kellogg, Lisa; Luckenbach, Mark; Bricker, Suzanne; Paynter, Ken; Moore, Chris; Parker, Matt; Sanford, Larry; Wolinski, Bill; Lacatell, Andy; Fegley, Lynn; Hudson, Karen (prepared by Reichert-Nguyen, Julie; French, Emily; Slacum, Ward)</t>
        </is>
      </c>
      <c r="AS217" s="16" t="inlineStr">
        <is>
          <t>TNC-relevant (TNC sits on the partnership). Restoration + aquaculture both covered. Shell-assimilation accounting is N/P (not carbon); a shell-CARBON storage protocol for CC 2.1.1 (mollusc) does not yet exist. Default tissue/shell coefficients make a desk estimate feasible without a lab.  |  Migration (one-indicator-per-row, 2026-09-04): split from reichertnguyen_2023 -&gt; {reichertnguyen_2023_wq111, reichertnguyen_2023_wq112}. This row = reichertnguyen_2023_wq111 (WQ 1.1.1 — N and P bioextraction). Candidate: AK/N/Q blanked and I/K/W/O/P provisional; per-indicator method text, tier/cost/effort and match adjudication to be finalised at generation. Combined parent I/AK/N/Q retained in v37 (pre-split).  |  [2026-10-13 Rule 15 cost re-rate, batch 9] Framework basis: Mol WQ 1.1.1: farmed biomass at harvest; farm only, no reference site; 1 locations × 1 visits × 3 replicates = 3. Standard tissue N + P route at a partner lab; count × size from harvest records, harvest scale farm-owned; the Expert Panel's default coefficients would make it a desk estimate (still Low). Prior O: 'Medium'.  |  [2026-10-15 method-summary pass] Full read of the Expert Panel First Report (2016 PDF from Peter), which is this row's source: tissue N and P for aquaculture. Citation: A 'Reichert-Nguyen, J., et al.' → 'Cornwell, J., et al.' (Panel authors; Reichert-Nguyen et al. prepared it); B, C, G (2023 → 2016), AR rewritten. T still points to the Second Report — First Report URL to add. S → 'Full PDF'. I, K replaced. L: 'Partial — … tissue/shell %N&amp;P (CHN analyser) … need a partner lab' → Yes. W: '3 — Partnership' → '4 — Practitioner' (Rule 14: the default route — the Framework's primary method, composition × harvested biomass — has no lab step); fill → T4 lime. O: 'Low — ~$80 yr 1: … tissue N + P 3 × $20 [lab fee]…' → Low ~$30 (calipers only; lab tissue route optional). P detail added. N, Q, AK filled; U rewritten. AL: Med → High.  |  [2026-10-16 monitoring-methods pass] AT (Monitoring Methods) set from the protocol's method summary (AK): Bivalve condition index / growth.</t>
        </is>
      </c>
      <c r="AT217" s="21" t="inlineStr">
        <is>
          <t>Bivalve condition index / growth</t>
        </is>
      </c>
    </row>
    <row r="218">
      <c r="A218" s="21" t="inlineStr">
        <is>
          <t>Caretti, O.</t>
        </is>
      </c>
      <c r="B218" s="21" t="inlineStr">
        <is>
          <t>Expert Panel Report on Oyster BMP for Restoration &amp; Harvest</t>
        </is>
      </c>
      <c r="C218" s="21" t="inlineStr">
        <is>
          <t>Presentation to the Chesapeake Bay Program Sustainable Fisheries Goal Implementation Team, 2023 Winter Meeting (1 March 2023), summarising the Oyster BMP Expert Panel report posted 30 January 2023</t>
        </is>
      </c>
      <c r="D218" s="21" t="n"/>
      <c r="E218" s="21" t="n"/>
      <c r="F218" s="21" t="n"/>
      <c r="G218" s="21" t="n">
        <v>2023</v>
      </c>
      <c r="H218" s="21" t="inlineStr">
        <is>
          <t>Oyster Recovery Partnership / Chesapeake Bay Program</t>
        </is>
      </c>
      <c r="I218" s="21" t="inlineStr">
        <is>
          <t>Maps to WQ 1.1.2 — Rate of denitrification. Expert Panel crediting method: define the site and its area; set a baseline (oyster tissue biomass at the site within 2 years before enhancement, or a representative unenhanced site in the same basin surveyed alongside the first post-enhancement survey); assess baseline and current tissue biomass (g dry weight per m²) by default shell height regression, direct measurement or a site-specific regression; read enhanced N removal (lb N per acre per year) from the Panel's lookup table, built from season-specific regressions of denitrification on oyster tissue biomass (e.g. baseline 0–14.9 to current 55–64.9 g DW/m² gives 120); multiply by site area; re-evaluate biomass every 3 years. Match: Partial — default rates endorsed for oyster reef restoration (hatchery oysters or substrate addition), not aquaculture; source read is the presentation deck, not the full report.</t>
        </is>
      </c>
      <c r="J218" s="21" t="inlineStr">
        <is>
          <t>Protocol</t>
        </is>
      </c>
      <c r="K218" s="21" t="inlineStr">
        <is>
          <t>Confirmed standalone (full read of the 32-slide deck). A biomass-based crediting method that avoids measuring N2 flux directly — usable for WQ 1.1.2 as a desk estimate from farm biomass (Partial: the Panel built and endorsed the lookup for restored reefs; aquaculture denitrification was still under deliberation in the 2016 First Report).</t>
        </is>
      </c>
      <c r="L218" s="21" t="inlineStr">
        <is>
          <t>Yes — quadrat counts and shell heights converted to tissue biomass with a regression, then a table lookup; no lab step (direct biomass measurement is optional).</t>
        </is>
      </c>
      <c r="M218" s="21" t="inlineStr">
        <is>
          <t>Yes</t>
        </is>
      </c>
      <c r="N218" s="21" t="inlineStr">
        <is>
          <t>Farm stocking and harvest records or quadrat counts with calipers (shell height); shell height–tissue dry weight regression; Expert Panel lookup table (lb N acre⁻¹ yr⁻¹ by baseline and post-enhancement biomass, g DW m⁻²); farm area from the lease plan.</t>
        </is>
      </c>
      <c r="O218" s="21" t="inlineStr">
        <is>
          <t>Low — ~$0 yr 1: no start-up cost + no recurring cost</t>
        </is>
      </c>
      <c r="P218" s="21" t="inlineStr">
        <is>
          <t>One-time (no sampling — desk-based) — biomass estimate repeated every 3 years</t>
        </is>
      </c>
      <c r="Q218" s="21" t="inlineStr">
        <is>
          <t>Lookup from season-specific regressions of denitrification on oyster tissue biomass, summed to annual rates; enhanced N = rate for current biomass minus baseline, × site area.</t>
        </is>
      </c>
      <c r="R218" s="21" t="inlineStr">
        <is>
          <t>Yes — Open (CBP PDFs)</t>
        </is>
      </c>
      <c r="S218" s="21" t="inlineStr">
        <is>
          <t>Full PDF</t>
        </is>
      </c>
      <c r="T218" s="21" t="inlineStr">
        <is>
          <t>https://d18lev1ok5leia.cloudfront.net/chesapeakebay/documents/Oyster-BMP-Expert-Panel-Second-Report.pdf</t>
        </is>
      </c>
      <c r="U218" s="21" t="inlineStr">
        <is>
          <t>Default rates come from Chesapeake Bay reef-restoration data and were endorsed for restoration practices only; applied to a farm they give an estimate, not a creditable figure. Read from the presentation deck; the full 2023 Panel report (T) holds the complete method.</t>
        </is>
      </c>
      <c r="V218" s="21" t="inlineStr">
        <is>
          <t>Provided by Claude (grey/white-lit protocol search)</t>
        </is>
      </c>
      <c r="W218" s="10" t="inlineStr">
        <is>
          <t>4 — Practitioner</t>
        </is>
      </c>
      <c r="X218" s="21" t="inlineStr">
        <is>
          <t>Mollusk</t>
        </is>
      </c>
      <c r="Y218" s="21" t="inlineStr">
        <is>
          <t>Water Quality</t>
        </is>
      </c>
      <c r="Z218" s="21" t="inlineStr">
        <is>
          <t>WQ 1.1.2 — Rate of denitrification</t>
        </is>
      </c>
      <c r="AA218" s="21" t="inlineStr">
        <is>
          <t>Temperate Atlantic</t>
        </is>
      </c>
      <c r="AB218" s="21" t="inlineStr">
        <is>
          <t>Eastern oyster (Crassostrea virginica)</t>
        </is>
      </c>
      <c r="AC218" s="21" t="inlineStr">
        <is>
          <t>Not gear-specific</t>
        </is>
      </c>
      <c r="AD218" s="21" t="inlineStr">
        <is>
          <t>Not scale-specific</t>
        </is>
      </c>
      <c r="AE218" s="21" t="inlineStr">
        <is>
          <t>Not site-specific</t>
        </is>
      </c>
      <c r="AF218" s="21" t="inlineStr">
        <is>
          <t>Not specific</t>
        </is>
      </c>
      <c r="AG218" s="21" t="inlineStr">
        <is>
          <t>Tissue analysis</t>
        </is>
      </c>
      <c r="AH218" s="21" t="inlineStr">
        <is>
          <t>Not algae-specific</t>
        </is>
      </c>
      <c r="AI218" s="21" t="inlineStr">
        <is>
          <t>Not depth-specific</t>
        </is>
      </c>
      <c r="AJ218" s="21" t="inlineStr">
        <is>
          <t>Not exposure-specific</t>
        </is>
      </c>
      <c r="AK218" s="16" t="inlineStr">
        <is>
          <t>To estimate the extra nitrogen your oysters remove through denitrification, first set a baseline: oyster tissue biomass on the lease before stocking, or at a nearby unfarmed site in the same water body. Once the crop is established, estimate current biomass from stocking records or from [10] random 0.25 m² quadrats — count live oysters, measure shell heights, convert each to tissue dry weight with a shell height–dry weight regression and express as grams dry weight per m². Look up enhanced nitrogen removal for your baseline and current biomass ranges in the Expert Panel's table (e.g. from under 15 to 55–64.9 g DW/m² is about 120 lb N per acre per year) and multiply by the farmed area. Repeat the biomass estimate every [3] years. The table was built for restored Chesapeake Bay oyster reefs, not farms, so report the result as an estimate.</t>
        </is>
      </c>
      <c r="AL218" s="17" t="inlineStr">
        <is>
          <t>Med</t>
        </is>
      </c>
      <c r="AM218" s="18" t="inlineStr">
        <is>
          <t>reichertnguyen_2023_wq112</t>
        </is>
      </c>
      <c r="AN218" s="19" t="n"/>
      <c r="AO218" s="19" t="n"/>
      <c r="AP218" s="19" t="n"/>
      <c r="AQ218" s="16" t="inlineStr">
        <is>
          <t>Denitrification-rate measurement — Mollusk</t>
        </is>
      </c>
      <c r="AR218" s="16" t="inlineStr">
        <is>
          <t>Caretti, Olivia (Oyster Recovery Partnership), for the Oyster BMP Expert Panel (Cornwell, Jeff, Chair)</t>
        </is>
      </c>
      <c r="AS218" s="16" t="inlineStr">
        <is>
          <t>TNC-relevant (TNC sits on the partnership). Restoration + aquaculture both covered. Shell-assimilation accounting is N/P (not carbon); a shell-CARBON storage protocol for CC 2.1.1 (mollusc) does not yet exist. Default tissue/shell coefficients make a desk estimate feasible without a lab.  |  Migration (one-indicator-per-row, 2026-09-04): split from reichertnguyen_2023 -&gt; {reichertnguyen_2023_wq111, reichertnguyen_2023_wq112}. This row = reichertnguyen_2023_wq112 (WQ 1.1.2 — Rate of denitrification). Candidate: AK/N/Q blanked and I/K/W/O/P provisional; per-indicator method text, tier/cost/effort and match adjudication to be finalised at generation. Combined parent I/AK/N/Q retained in v37 (pre-split).  |  [2026-10-13 Rule 15 cost re-rate, batch 11] Framework basis: Mol WQ 1.1.2: point in time based on standing biomass; desk-based. Denitrification estimated from the Chesapeake Oyster BMP Expert Panel default rates applied to the farm's own biomass/area records (Peter's decision, 2026-10-13: default rates replace measured N2 flux, for which no per-sample fee is published); a desk calculation with no gear or lab fee (the protocol's own crediting method). Held from batch 9 pending this decision. Prior O: 'Medium'.  |  [2026-10-15 method-summary pass] First Report (2016) read: enhanced denitrification is listed as still under deliberation ('D') for all aquaculture practices, so the default rates come from a later Panel report — Second Report PDF needed; row left as it was.  |  [2026-10-15 method-summary pass] Full read of the 32-slide deck from Peter (Caretti 2023, Fisheries GIT), which summarises the 2023 Panel report (restoration and harvest). Citation: A 'Reichert-Nguyen, J., et al.' → 'Caretti, O.'; B, C, G (2023 kept), H, AR rewritten; T kept (links to the 2023 report the deck summarises). S: 'Abstract + Methods (fetched)' → 'Full PDF' (deck). I, K replaced; Match Partial (default rates endorsed for reef restoration, not aquaculture) — brought to Peter. L → Yes. W: 3 → 4 (Rule 14: biomass from counts and a regression plus a lookup, no lab); fill → T4 lime. P: 'Year-long study (12 months)' → desk-based, repeated every 3 years. O unchanged (batch-11 desk basis, Peter's default-rates call). N, Q, AK filled; U rewritten. AL: Med (deck, not report).  |  [2026-10-16 method-summary pass] Peter's call (2026-10-16): Partial kept; AL stays Med until the full 2023 Panel report is read.  |  [2026-10-16 monitoring-methods pass] AT (Monitoring Methods) set from the protocol's method summary (AK): Epibiota on lines / structures, Bivalve condition index / growth.</t>
        </is>
      </c>
      <c r="AT218" s="21" t="inlineStr">
        <is>
          <t>Epibiota on lines / structures, Bivalve condition index / growth</t>
        </is>
      </c>
    </row>
    <row r="219">
      <c r="A219" t="inlineStr">
        <is>
          <t>Maryland Department of Natural Resources</t>
        </is>
      </c>
      <c r="B219" t="inlineStr">
        <is>
          <t>Oyster Reef Restoration Nutrient Assimilation BMP</t>
        </is>
      </c>
      <c r="C219" t="inlineStr">
        <is>
          <t>Maryland DNR (Critical Area / CBP BMP)</t>
        </is>
      </c>
      <c r="G219" t="n">
        <v>2021</v>
      </c>
      <c r="H219" t="inlineStr">
        <is>
          <t>Maryland Department of Natural Resources</t>
        </is>
      </c>
      <c r="I219" t="inlineStr">
        <is>
          <t>Crediting protocol for N &amp; P assimilated in live oyster tissue and shell gained through reef restoration in tidal Chesapeake waters — the restoration-side application of the Oyster BMP framework.</t>
        </is>
      </c>
      <c r="J219" t="inlineStr">
        <is>
          <t>Protocol</t>
        </is>
      </c>
      <c r="K219" t="inlineStr">
        <is>
          <t>Yes — defines the restoration nutrient-assimilation accounting with lookup tables (Expert Panel Appendix G) and credit duration.</t>
        </is>
      </c>
      <c r="L219" t="inlineStr">
        <is>
          <t>Partial — reef survey/oyster counts farmer-doable; tissue/shell N&amp;P via lab or published coefficients.</t>
        </is>
      </c>
      <c r="M219" t="inlineStr">
        <is>
          <t>Yes</t>
        </is>
      </c>
      <c r="N219" t="inlineStr">
        <is>
          <t>Reef survey gear; partner lab / published coefficients</t>
        </is>
      </c>
      <c r="O219" t="inlineStr">
        <is>
          <t>Low — ~$30 yr 1: $30 start-up (calipers $30 [est]) + no recurring cost</t>
        </is>
      </c>
      <c r="P219" t="inlineStr">
        <is>
          <t>Year-long study (12 months)</t>
        </is>
      </c>
      <c r="Q219" t="inlineStr">
        <is>
          <t>Assimilation accounting via lookup tables</t>
        </is>
      </c>
      <c r="R219" t="inlineStr">
        <is>
          <t>Yes — Open (MD DNR PDF)</t>
        </is>
      </c>
      <c r="S219" t="inlineStr">
        <is>
          <t>Abstract + Methods (fetched)</t>
        </is>
      </c>
      <c r="T219" t="inlineStr">
        <is>
          <t>https://dnr.maryland.gov/criticalarea/Documents/Oyster_Reef_Restoration_Assimilation_BMP.pdf</t>
        </is>
      </c>
      <c r="U219" t="inlineStr">
        <is>
          <t>Use it where reef restoration, rather than harvest, is the practice.</t>
        </is>
      </c>
      <c r="V219" t="inlineStr">
        <is>
          <t>Provided by Claude (grey/white-lit protocol search)</t>
        </is>
      </c>
      <c r="W219" s="9" t="inlineStr">
        <is>
          <t>3 — Partnership</t>
        </is>
      </c>
      <c r="X219" t="inlineStr">
        <is>
          <t>Mollusk</t>
        </is>
      </c>
      <c r="Y219" t="inlineStr">
        <is>
          <t>Water Quality</t>
        </is>
      </c>
      <c r="Z219" t="inlineStr">
        <is>
          <t>WQ 1.1.1 — N and P bioextraction</t>
        </is>
      </c>
      <c r="AA219" t="inlineStr">
        <is>
          <t>Temperate Atlantic</t>
        </is>
      </c>
      <c r="AB219" t="inlineStr">
        <is>
          <t>Eastern oyster (Crassostrea virginica)</t>
        </is>
      </c>
      <c r="AC219" t="inlineStr">
        <is>
          <t>Not gear-specific</t>
        </is>
      </c>
      <c r="AD219" t="inlineStr">
        <is>
          <t>Not scale-specific</t>
        </is>
      </c>
      <c r="AE219" t="inlineStr">
        <is>
          <t>Not site-specific</t>
        </is>
      </c>
      <c r="AF219" t="inlineStr">
        <is>
          <t>Not specific</t>
        </is>
      </c>
      <c r="AG219" t="inlineStr">
        <is>
          <t>Tissue analysis</t>
        </is>
      </c>
      <c r="AH219" t="inlineStr">
        <is>
          <t>Not algae-specific</t>
        </is>
      </c>
      <c r="AI219" t="inlineStr">
        <is>
          <t>Not depth-specific</t>
        </is>
      </c>
      <c r="AJ219" t="inlineStr">
        <is>
          <t>Not exposure-specific</t>
        </is>
      </c>
      <c r="AK219" s="16" t="inlineStr">
        <is>
          <t>This is the restoration-side application of the Chesapeake oyster nutrient-crediting framework: it accounts for nitrogen and phosphorus assimilated in live oyster tissue and shell gained through reef restoration. Survey the reef for oyster numbers and size, then apply the published lookup tables (Expert Panel appendices) to convert to assimilated N and P over the credited duration. Use it where reef restoration, rather than harvest, is the practice.</t>
        </is>
      </c>
      <c r="AL219" s="17" t="inlineStr">
        <is>
          <t>Med</t>
        </is>
      </c>
      <c r="AM219" s="18" t="inlineStr">
        <is>
          <t>marylanddepartment_2021</t>
        </is>
      </c>
      <c r="AN219" s="19" t="n"/>
      <c r="AO219" s="19" t="n"/>
      <c r="AP219" s="19" t="n"/>
      <c r="AQ219" s="16" t="inlineStr">
        <is>
          <t>Oyster-Reef Restoration Nutrient-Assimilation Crediting</t>
        </is>
      </c>
      <c r="AR219" s="16" t="inlineStr">
        <is>
          <t>Maryland Department of Natural Resources</t>
        </is>
      </c>
      <c r="AS219" s="16" t="inlineStr">
        <is>
          <t>Implements the Chesapeake Oyster BMP framework (previous row) for restoration credits. Useful where reef restoration rather than harvest is the practice.  |  [2026-10-13 Rule 15 cost re-rate, batch 9] Framework basis: Mol WQ 1.1.1: farmed biomass at a point in time; farm only, no reference site. Oyster counts and shell sizes converted with the published Expert Panel lookup tables (the Framework's suggested method), so no lab fee; for a farm, harvest records replace the reef survey. Prior O: 'Low–Medium'.  |  [2026-10-16 monitoring-methods pass] AT (Monitoring Methods) set from the protocol's method summary (AK): Bivalve condition index / growth.</t>
        </is>
      </c>
      <c r="AT219" s="21" t="inlineStr">
        <is>
          <t>Bivalve condition index / growth</t>
        </is>
      </c>
    </row>
    <row r="220">
      <c r="A220" t="inlineStr">
        <is>
          <t>Hawkins, A. J. S. &amp; et al. (ShellSIM)</t>
        </is>
      </c>
      <c r="B220" t="inlineStr">
        <is>
          <t>ShellSIM — bivalve filtration, growth and environmental-effects model (software tool)</t>
        </is>
      </c>
      <c r="C220" t="inlineStr">
        <is>
          <t>shellsim.com</t>
        </is>
      </c>
      <c r="G220" t="n">
        <v>2013</v>
      </c>
      <c r="H220" t="inlineStr">
        <is>
          <t>PML Applications / ShellSIM</t>
        </is>
      </c>
      <c r="I220" t="inlineStr">
        <is>
          <t>User-friendly mechanistic model of suspension-feeding bivalves: predicts particle clearance/filtration rate, ammonium loss, faecal loss, oxygen uptake and growth for up to 14 species, individual→culture-area scale. The practical route to the filtration indicator and a complement to bioextraction/DO.</t>
        </is>
      </c>
      <c r="J220" t="inlineStr">
        <is>
          <t>Reference (usable model / design tool)</t>
        </is>
      </c>
      <c r="K220" t="inlineStr">
        <is>
          <t>Adequate as a quantification tool rather than a field protocol: given environmental drivers + stock it outputs clearance/filtration and nutrient/oxygen fluxes. Requires parameterisation, not field sampling.</t>
        </is>
      </c>
      <c r="L220" t="inlineStr">
        <is>
          <t>No — marketed for growers/managers/regulators but parameterisation and interpretation need modelling expertise.</t>
        </is>
      </c>
      <c r="M220" t="inlineStr">
        <is>
          <t>Yes</t>
        </is>
      </c>
      <c r="N220" t="inlineStr">
        <is>
          <t>Software (ShellSIM); environmental driver data</t>
        </is>
      </c>
      <c r="O220" t="inlineStr">
        <is>
          <t>Low (tool free; cost is expertise/data)</t>
        </is>
      </c>
      <c r="P220" t="inlineStr">
        <is>
          <t>One-time (no sampling — desk-based)</t>
        </is>
      </c>
      <c r="Q220" t="inlineStr">
        <is>
          <t>Dynamic energy-balance simulation; scenario analysis</t>
        </is>
      </c>
      <c r="R220" t="inlineStr">
        <is>
          <t>Yes — Open (free tool)</t>
        </is>
      </c>
      <c r="S220" t="inlineStr">
        <is>
          <t>Abstract + Methods (fetched)</t>
        </is>
      </c>
      <c r="T220" t="inlineStr">
        <is>
          <t>http://shellsim.com</t>
        </is>
      </c>
      <c r="U220" t="inlineStr">
        <is>
          <t>A modelling tool for the filtration service; complementary carrying-capacity models are FARM and EcoWin.</t>
        </is>
      </c>
      <c r="V220" t="inlineStr">
        <is>
          <t>Provided by Claude (grey/white-lit protocol search)</t>
        </is>
      </c>
      <c r="W220" s="7" t="inlineStr">
        <is>
          <t>2 — Researcher</t>
        </is>
      </c>
      <c r="X220" t="inlineStr">
        <is>
          <t>Mollusk</t>
        </is>
      </c>
      <c r="Y220" t="inlineStr">
        <is>
          <t>Water Quality</t>
        </is>
      </c>
      <c r="Z220" t="inlineStr">
        <is>
          <t>WQ 1.3.1 — Rate of water filtration, WQ 1.1.1 — N and P bioextraction, WQ 1.2.1 — Dissolved oxygen</t>
        </is>
      </c>
      <c r="AA220" t="inlineStr">
        <is>
          <t>Cross-zone / global</t>
        </is>
      </c>
      <c r="AB220" t="inlineStr">
        <is>
          <t>Multi-species / mixed</t>
        </is>
      </c>
      <c r="AC220" t="inlineStr">
        <is>
          <t>Not gear-specific</t>
        </is>
      </c>
      <c r="AD220" t="inlineStr">
        <is>
          <t>Not scale-specific</t>
        </is>
      </c>
      <c r="AE220" t="inlineStr">
        <is>
          <t>Not site-specific</t>
        </is>
      </c>
      <c r="AF220" t="inlineStr">
        <is>
          <t>Not specific</t>
        </is>
      </c>
      <c r="AG220" t="inlineStr">
        <is>
          <t>Modelling</t>
        </is>
      </c>
      <c r="AH220" t="inlineStr">
        <is>
          <t>Not algae-specific</t>
        </is>
      </c>
      <c r="AI220" t="inlineStr">
        <is>
          <t>Not depth-specific</t>
        </is>
      </c>
      <c r="AJ220" t="inlineStr">
        <is>
          <t>Not exposure-specific</t>
        </is>
      </c>
      <c r="AK220" s="16" t="inlineStr">
        <is>
          <t>This is a user-friendly mechanistic model of suspension-feeding bivalves rather than a field method: given environmental drivers and stock, it predicts clearance/filtration rate, ammonium and faecal losses, oxygen uptake and growth for many species, from individual to culture-area scale. Use it to quantify the water-filtration service (and to complement bioextraction and dissolved-oxygen work) by parameterising and running scenarios; farm/bay carrying-capacity models (FARM, EcoWin) and Dame's depletion indices are the complementary frameworks.</t>
        </is>
      </c>
      <c r="AL220" s="17" t="inlineStr">
        <is>
          <t>Ref</t>
        </is>
      </c>
      <c r="AM220" s="18" t="inlineStr">
        <is>
          <t>hawkins_2013</t>
        </is>
      </c>
      <c r="AN220" s="19" t="n"/>
      <c r="AO220" s="19" t="n"/>
      <c r="AP220" s="19" t="n"/>
      <c r="AQ220" s="16" t="inlineStr">
        <is>
          <t>ShellSIM Bivalve Filtration &amp; Growth Model (Reference)</t>
        </is>
      </c>
      <c r="AR220" s="16" t="inlineStr">
        <is>
          <t>Hawkins, A.J.S.; et al. (ShellSIM)</t>
        </is>
      </c>
      <c r="AS220" s="16" t="inlineStr">
        <is>
          <t>Farm-/bay-scale carrying-capacity models (FARM, EcoWin) and the Dame depletion indices (clearance vs. residence vs. primary-production time) are the complementary frameworks for filtration-as-service. Modelling tool → T2.</t>
        </is>
      </c>
      <c r="AT220" s="21" t="n"/>
    </row>
    <row r="221">
      <c r="A221" t="inlineStr">
        <is>
          <t>OSPAR Commission (JAMP)</t>
        </is>
      </c>
      <c r="B221" t="inlineStr">
        <is>
          <t>JAMP Eutrophication Monitoring Guidelines: Chlorophyll a in Water (with ICES TIMES chlorophyll procedure)</t>
        </is>
      </c>
      <c r="C221" t="inlineStr">
        <is>
          <t>OSPAR Commission / ICES Techniques in Marine Environmental Sciences</t>
        </is>
      </c>
      <c r="G221" t="n">
        <v>2012</v>
      </c>
      <c r="H221" t="inlineStr">
        <is>
          <t>OSPAR Commission</t>
        </is>
      </c>
      <c r="I221" t="inlineStr">
        <is>
          <t>Intergovernmental standardized procedure for chlorophyll-a determination (sampling, filtration, extraction, spectrophotometric/HPLC analysis; ISO 10260; in-situ fluorometer calibration). The standard route to the chlorophyll-a indicator.</t>
        </is>
      </c>
      <c r="J221" t="inlineStr">
        <is>
          <t>Protocol</t>
        </is>
      </c>
      <c r="K221" t="inlineStr">
        <is>
          <t>Yes — prescribes collection→filtration→extraction→analysis with QA (accredited labs, reference checks). Reproducible analytical SOP.</t>
        </is>
      </c>
      <c r="L221" t="inlineStr">
        <is>
          <t>Partial — water sampling/filtration farmer-doable; spectrophotometric/HPLC analysis needs a partner lab (or a calibrated fluorometer + QC).</t>
        </is>
      </c>
      <c r="M221" t="inlineStr">
        <is>
          <t>Yes</t>
        </is>
      </c>
      <c r="N221" t="inlineStr">
        <is>
          <t>Niskin/bottle, filtration rig, GF/F filters; spectrophotometer/HPLC or calibrated fluorometer</t>
        </is>
      </c>
      <c r="O221" t="inlineStr">
        <is>
          <t>Medium — ~$2.3K yr 1: $1.34K start-up (water sampler $986 [list]; messenger + line $100 [est]; filtration kit $250 [est]) + $1.01K/yr (chl-a analysis 36 × $25.18 [lab fee]; filters + foil $100 [est])</t>
        </is>
      </c>
      <c r="P221" t="inlineStr">
        <is>
          <t>Year-long study (12 months)</t>
        </is>
      </c>
      <c r="Q221" t="inlineStr">
        <is>
          <t>Standardized chl-a quantification; eutrophication assessment</t>
        </is>
      </c>
      <c r="R221" t="inlineStr">
        <is>
          <t>Yes — Open (OSPAR/JRC PDF)</t>
        </is>
      </c>
      <c r="S221" t="inlineStr">
        <is>
          <t>Abstract + Methods (fetched)</t>
        </is>
      </c>
      <c r="T221" t="inlineStr">
        <is>
          <t>https://mcc.jrc.ec.europa.eu/documents/OSPAR/Eutrophication_MonitoringGuidelinesch_%20a.pdf</t>
        </is>
      </c>
      <c r="U221" t="inlineStr">
        <is>
          <t>The standard analytical route to the chlorophyll-a indicator; satellite ocean-colour is the remote-sensing complement.</t>
        </is>
      </c>
      <c r="V221" t="inlineStr">
        <is>
          <t>Provided by Claude (grey/white-lit protocol search)</t>
        </is>
      </c>
      <c r="W221" s="9" t="inlineStr">
        <is>
          <t>3 — Partnership</t>
        </is>
      </c>
      <c r="X221" t="inlineStr">
        <is>
          <t>Seaweed, Mollusk</t>
        </is>
      </c>
      <c r="Y221" t="inlineStr">
        <is>
          <t>Water Quality</t>
        </is>
      </c>
      <c r="Z221" t="inlineStr">
        <is>
          <t>WQ 2.1.1 — Chlorophyll-a</t>
        </is>
      </c>
      <c r="AA221" t="inlineStr">
        <is>
          <t>Cross-zone / global</t>
        </is>
      </c>
      <c r="AB221" t="inlineStr">
        <is>
          <t>Not species-specific</t>
        </is>
      </c>
      <c r="AC221" t="inlineStr">
        <is>
          <t>Not gear-specific</t>
        </is>
      </c>
      <c r="AD221" t="inlineStr">
        <is>
          <t>Not scale-specific</t>
        </is>
      </c>
      <c r="AE221" t="inlineStr">
        <is>
          <t>Not site-specific</t>
        </is>
      </c>
      <c r="AF221" t="inlineStr">
        <is>
          <t>Not specific</t>
        </is>
      </c>
      <c r="AG221" t="inlineStr">
        <is>
          <t>Pigment HPLC, Water chemistry</t>
        </is>
      </c>
      <c r="AH221" t="inlineStr">
        <is>
          <t>Not algae-specific</t>
        </is>
      </c>
      <c r="AI221" t="inlineStr">
        <is>
          <t>Not depth-specific</t>
        </is>
      </c>
      <c r="AJ221" t="inlineStr">
        <is>
          <t>Not exposure-specific</t>
        </is>
      </c>
      <c r="AK221" s="16" t="inlineStr">
        <is>
          <t>This intergovernmental SOP is the standard route to the chlorophyll-a indicator. Collect water (Niskin/bottle), filter onto GF/F, extract the pigment and determine chlorophyll-a spectrophotometrically or by HPLC (ISO 10260), or calibrate an in-situ fluorometer against these samples, all under defined quality assurance (accredited labs, reference checks). Follow it for comparable, eutrophication-grade chlorophyll data; the ICES TIMES procedure and UNESCO/SCOR pigment monographs are the underpinning analytical references, and satellite ocean-colour chlorophyll is the remote-sensing complement.</t>
        </is>
      </c>
      <c r="AL221" s="17" t="inlineStr">
        <is>
          <t>Med</t>
        </is>
      </c>
      <c r="AM221" s="18" t="inlineStr">
        <is>
          <t>jamp_2012</t>
        </is>
      </c>
      <c r="AN221" s="19" t="n"/>
      <c r="AO221" s="19" t="n"/>
      <c r="AP221" s="19" t="n"/>
      <c r="AQ221" s="16" t="inlineStr">
        <is>
          <t>Standard Chlorophyll-a Determination SOP (JAMP)</t>
        </is>
      </c>
      <c r="AR221" s="16" t="inlineStr">
        <is>
          <t>OSPAR Commission (JAMP); ICES</t>
        </is>
      </c>
      <c r="AS221" s="16" t="inlineStr">
        <is>
          <t>The ICES TIMES 'Standard procedure for the determination of chlorophyll a by spectroscopic methods' (Aminot &amp; Rey 2000) and the UNESCO/SCOR pigment monographs (Jeffrey et al. 1997) are the underpinning analytical references. Satellite ocean-colour chl-a is the remote-sensing complement.  |  [2026-10-13 Rule 15 cost re-rate, batch 9] Framework basis: Mol WQ 2.1.1 (Seaweed + Mollusk; the mollusc row is the most demanding): farm + 2 adjacent non-farm refs; seasonal + diurnal, fixed-time reading (4 visits); 3 locations × 4 visits × 3 replicates = 36. Field-filtered samples, spectrophotometric chl-a at a partner lab (same metric as the fee's method); HPLC and in-situ fluorometer calibration are alternatives, not added. Prior O: 'Low–Medium'.  |  [2026-10-16 monitoring-methods pass] AT (Monitoring Methods) set from the protocol's method summary (AK): Chlorophyll-a (water), Size-fractionated pigments (HPLC), Satellite ocean colour (chl-a).</t>
        </is>
      </c>
      <c r="AT221" s="21" t="inlineStr">
        <is>
          <t>Chlorophyll-a (water), Size-fractionated pigments (HPLC), Satellite ocean colour (chl-a)</t>
        </is>
      </c>
    </row>
    <row r="222">
      <c r="A222" t="inlineStr">
        <is>
          <t>Karlson, B., et al.</t>
        </is>
      </c>
      <c r="B222" t="inlineStr">
        <is>
          <t>Microscopic and Molecular Methods for Quantitative Phytoplankton Analysis (IOC Manuals and Guides No. 55)</t>
        </is>
      </c>
      <c r="C222" t="inlineStr">
        <is>
          <t>IOC Manuals and Guides, UNESCO</t>
        </is>
      </c>
      <c r="D222" t="n">
        <v>55</v>
      </c>
      <c r="G222" t="n">
        <v>2010</v>
      </c>
      <c r="H222" t="inlineStr">
        <is>
          <t>UNESCO/IOC</t>
        </is>
      </c>
      <c r="I222" t="inlineStr">
        <is>
          <t>Canonical manual for quantitative phytoplankton community analysis: sampling, microscopy/Utermöhl counts, and molecular (qPCR) methods. The standard route to the microorganism/plankton-community indicator.</t>
        </is>
      </c>
      <c r="J222" t="inlineStr">
        <is>
          <t>Protocol</t>
        </is>
      </c>
      <c r="K222" t="inlineStr">
        <is>
          <t>Yes — documents sampling + enumeration/identification methods in replicable detail across microscopy and molecular approaches.</t>
        </is>
      </c>
      <c r="L222" t="inlineStr">
        <is>
          <t>Partial — net-tow/bottle sampling farmer-doable; microscopy enumeration/ID and qPCR need a taxonomist/partner lab.</t>
        </is>
      </c>
      <c r="M222" t="inlineStr">
        <is>
          <t>Yes</t>
        </is>
      </c>
      <c r="N222" t="inlineStr">
        <is>
          <t>Plankton net/Niskin, settling chambers, inverted microscope; (qPCR for molecular)</t>
        </is>
      </c>
      <c r="O222" t="inlineStr">
        <is>
          <t>Medium — ~$7.2K yr 1: $1.09K start-up (water sampler $986 [list]; messenger + line $100 [est]) + $6.09K/yr (phytoplankton count 36 × $165 [lab fee]; bottles + Lugol's $150 [est])</t>
        </is>
      </c>
      <c r="P222" t="inlineStr">
        <is>
          <t>Year-long study (12 months)</t>
        </is>
      </c>
      <c r="Q222" t="inlineStr">
        <is>
          <t>Utermöhl counts; community composition; molecular enumeration</t>
        </is>
      </c>
      <c r="R222" t="inlineStr">
        <is>
          <t>Yes — Open (UNESCO/IOC PDF)</t>
        </is>
      </c>
      <c r="S222" t="inlineStr">
        <is>
          <t>Abstract + Methods (fetched)</t>
        </is>
      </c>
      <c r="T222" t="inlineStr">
        <is>
          <t>https://unesdoc.unesco.org (IOC Manuals &amp; Guides 55, 2010)</t>
        </is>
      </c>
      <c r="U222" t="inlineStr">
        <is>
          <t>The standard route to the phytoplankton/microorganism indicator; eDNA metabarcoding is the emerging molecular complement.</t>
        </is>
      </c>
      <c r="V222" t="inlineStr">
        <is>
          <t>Provided by Claude (grey/white-lit protocol search)</t>
        </is>
      </c>
      <c r="W222" s="9" t="inlineStr">
        <is>
          <t>3 — Partnership</t>
        </is>
      </c>
      <c r="X222" t="inlineStr">
        <is>
          <t>Seaweed, Mollusk</t>
        </is>
      </c>
      <c r="Y222" t="inlineStr">
        <is>
          <t>Water Quality</t>
        </is>
      </c>
      <c r="Z222" t="inlineStr">
        <is>
          <t>WQ 2.1.2 — Microorganisms</t>
        </is>
      </c>
      <c r="AA222" t="inlineStr">
        <is>
          <t>Cross-zone / global</t>
        </is>
      </c>
      <c r="AB222" t="inlineStr">
        <is>
          <t>Not species-specific</t>
        </is>
      </c>
      <c r="AC222" t="inlineStr">
        <is>
          <t>Not gear-specific</t>
        </is>
      </c>
      <c r="AD222" t="inlineStr">
        <is>
          <t>Not scale-specific</t>
        </is>
      </c>
      <c r="AE222" t="inlineStr">
        <is>
          <t>Not site-specific</t>
        </is>
      </c>
      <c r="AF222" t="inlineStr">
        <is>
          <t>Not specific</t>
        </is>
      </c>
      <c r="AG222" t="inlineStr">
        <is>
          <t>Plankton sampling</t>
        </is>
      </c>
      <c r="AH222" t="inlineStr">
        <is>
          <t>Not algae-specific</t>
        </is>
      </c>
      <c r="AI222" t="inlineStr">
        <is>
          <t>Not depth-specific</t>
        </is>
      </c>
      <c r="AJ222" t="inlineStr">
        <is>
          <t>Not exposure-specific</t>
        </is>
      </c>
      <c r="AK222" s="16" t="inlineStr">
        <is>
          <t>This canonical manual is the standard route to the phytoplankton/microorganism indicator. Collect water with a net or Niskin, settle sub-samples in chambers and count/identify phytoplankton by inverted microscope (Utermohl method), or use molecular (qPCR) enumeration for the community. Follow it for replicable community composition and abundance; HELCOM species lists and the AQUACOSM SOP give a practical workflow, and eDNA metabarcoding is the emerging molecular complement.</t>
        </is>
      </c>
      <c r="AL222" s="17" t="inlineStr">
        <is>
          <t>Med</t>
        </is>
      </c>
      <c r="AM222" s="18" t="inlineStr">
        <is>
          <t>karlson_2010</t>
        </is>
      </c>
      <c r="AN222" s="19" t="n"/>
      <c r="AO222" s="19" t="n"/>
      <c r="AP222" s="19" t="n"/>
      <c r="AQ222" s="16" t="inlineStr">
        <is>
          <t>Quantitative Phytoplankton Analysis Manual (Microscopy + Molecular)</t>
        </is>
      </c>
      <c r="AR222" s="16" t="inlineStr">
        <is>
          <t>Karlson, B.; Cusack, C.; Bresnan, E. (eds.) — UNESCO/IOC</t>
        </is>
      </c>
      <c r="AS222" s="16" t="inlineStr">
        <is>
          <t>HELCOM Phytoplankton Expert Group species lists and the AQUACOSM phytoplankton SOP give the practical sampling/ID workflow. eDNA metabarcoding (row 24) is the emerging molecular complement.  |  [2026-10-13 Rule 15 cost re-rate, batch 9] Framework basis: Mol WQ 2.1.2 (Seaweed + Mollusk; the mollusc row is the most demanding): farm + 2 neighbouring non-farm refs; seasonal + diurnal, fixed-time reading (4 visits); 3 locations × 4 visits × 3 replicates = 36. Utermöhl microscope counts at a partner lab (not field-identifiable, so no waiver); qPCR and eDNA excluded as supplementary. The v1.8 pilot's ~$7.4K included a plankton net, which a bottle-sample count doesn't need. Prior O: 'Medium'.  |  [2026-10-16 monitoring-methods pass] AT (Monitoring Methods) set from the protocol's method summary (AK): Water eDNA, Phytoplankton community (microscopy).</t>
        </is>
      </c>
      <c r="AT222" s="21" t="inlineStr">
        <is>
          <t>Water eDNA, Phytoplankton community (microscopy)</t>
        </is>
      </c>
    </row>
    <row r="223">
      <c r="A223" t="inlineStr">
        <is>
          <t>Global Ocean Acidification Observing Network (GOA-ON)</t>
        </is>
      </c>
      <c r="B223" t="inlineStr">
        <is>
          <t>Practical Best Practices for Ocean Acidification Monitoring (the 'OA Cookbook') + GOA-ON in a Box kit</t>
        </is>
      </c>
      <c r="C223" t="inlineStr">
        <is>
          <t>GOA-ON (PubPub)</t>
        </is>
      </c>
      <c r="G223" t="n">
        <v>2024</v>
      </c>
      <c r="H223" t="inlineStr">
        <is>
          <t>Global Ocean Acidification Observing Network</t>
        </is>
      </c>
      <c r="I223" t="inlineStr">
        <is>
          <t>Practitioner-level SOPs for coastal carbonate-system monitoring (pH via spectrophotometry / iSAMI sensor, total alkalinity, CO2SYS), built around the low-cost GOA-ON in a Box kit and explicitly aimed at low-resource teams. The practical route to the pH / ocean-acidification indicator.</t>
        </is>
      </c>
      <c r="J223" t="inlineStr">
        <is>
          <t>Protocol</t>
        </is>
      </c>
      <c r="K223" t="inlineStr">
        <is>
          <t>Yes — step-by-step SOPs (site selection, sampling, sensor operation, spectrophotometric pH with m-cresol purple, reference-material QC, CO2SYS) to weather-quality targets.</t>
        </is>
      </c>
      <c r="L223" t="inlineStr">
        <is>
          <t>Partial — the in-a-Box kit lets a practitioner sample and measure pH; alkalinity titration, reference-material QC and CO2SYS still need training/partner support.</t>
        </is>
      </c>
      <c r="M223" t="inlineStr">
        <is>
          <t>Yes</t>
        </is>
      </c>
      <c r="N223" t="inlineStr">
        <is>
          <t>GOA-ON in a Box kit, CTD-Diver, iSAMI pH sensor, spectrophotometer, reagents</t>
        </is>
      </c>
      <c r="O223" t="inlineStr">
        <is>
          <t>High — ~$38K yr 1: $36.3K start-up (OA-grade pH logger ×3 $36K [est]; mooring ×3 $300 [est]) + $1.95K/yr (TA + DIC check 24 × $79 [lab fee]; calibration supplies $50 [est])</t>
        </is>
      </c>
      <c r="P223" t="inlineStr">
        <is>
          <t>Multi-season (3–9 months)</t>
        </is>
      </c>
      <c r="Q223" t="inlineStr">
        <is>
          <t>Carbonate-system computation (CO2SYS); QA against reference materials</t>
        </is>
      </c>
      <c r="R223" t="inlineStr">
        <is>
          <t>Yes — Open (PubPub)</t>
        </is>
      </c>
      <c r="S223" t="inlineStr">
        <is>
          <t>Abstract + Methods (fetched)</t>
        </is>
      </c>
      <c r="T223" t="inlineStr">
        <is>
          <t>https://oceanacidificationcookbook.org</t>
        </is>
      </c>
      <c r="U223" t="inlineStr">
        <is>
          <t>Built around the low-cost 'GOA-ON in a Box' kit and aimed at low-resource teams; the Dickson guide is the research-grade reference behind it.</t>
        </is>
      </c>
      <c r="V223" t="inlineStr">
        <is>
          <t>Provided by Claude (grey/white-lit protocol search)</t>
        </is>
      </c>
      <c r="W223" s="9" t="inlineStr">
        <is>
          <t>3 — Partnership</t>
        </is>
      </c>
      <c r="X223" t="inlineStr">
        <is>
          <t>Seaweed</t>
        </is>
      </c>
      <c r="Y223" t="inlineStr">
        <is>
          <t>Climate Change</t>
        </is>
      </c>
      <c r="Z223" t="inlineStr">
        <is>
          <t>CC 2.1.1 — pH / ocean acidification</t>
        </is>
      </c>
      <c r="AA223" t="inlineStr">
        <is>
          <t>Cross-zone / global</t>
        </is>
      </c>
      <c r="AB223" t="inlineStr">
        <is>
          <t>Not species-specific</t>
        </is>
      </c>
      <c r="AC223" t="inlineStr">
        <is>
          <t>Not gear-specific</t>
        </is>
      </c>
      <c r="AD223" t="inlineStr">
        <is>
          <t>Not scale-specific</t>
        </is>
      </c>
      <c r="AE223" t="inlineStr">
        <is>
          <t>Not site-specific</t>
        </is>
      </c>
      <c r="AF223" t="inlineStr">
        <is>
          <t>Not specific</t>
        </is>
      </c>
      <c r="AG223" t="inlineStr">
        <is>
          <t>Carbonate chemistry</t>
        </is>
      </c>
      <c r="AH223" t="inlineStr">
        <is>
          <t>Not algae-specific</t>
        </is>
      </c>
      <c r="AI223" t="inlineStr">
        <is>
          <t>Not depth-specific</t>
        </is>
      </c>
      <c r="AJ223" t="inlineStr">
        <is>
          <t>Not exposure-specific</t>
        </is>
      </c>
      <c r="AK223" s="16" t="inlineStr">
        <is>
          <t>This practitioner-level protocol lowers the barrier to carbonate-system (pH / ocean-acidification) monitoring, built around the low-cost 'GOA-ON in a Box' kit for low-resource teams. Follow its step-by-step SOPs: site selection, water sampling, sensor operation, spectrophotometric pH with m-cresol purple (or an iSAMI sensor) and total alkalinity, then compute the carbonate system with CO2SYS, with quality control against certified reference materials to weather-quality targets. It is the practical route to the pH indicator (and relevant to mollusc shell/carbonate contexts); the research-grade Dickson guide is the analytical reference behind it.</t>
        </is>
      </c>
      <c r="AL223" s="17" t="inlineStr">
        <is>
          <t>Med</t>
        </is>
      </c>
      <c r="AM223" s="18" t="inlineStr">
        <is>
          <t>goaon_2024</t>
        </is>
      </c>
      <c r="AN223" s="19" t="n"/>
      <c r="AO223" s="19" t="n"/>
      <c r="AP223" s="19" t="n"/>
      <c r="AQ223" s="16" t="inlineStr">
        <is>
          <t>Low-Cost Ocean-Acidification Monitoring (GOA-ON Cookbook)</t>
        </is>
      </c>
      <c r="AR223" s="16" t="inlineStr">
        <is>
          <t>Global Ocean Acidification Observing Network (GOA-ON)</t>
        </is>
      </c>
      <c r="AS223" s="16" t="inlineStr">
        <is>
          <t>Lowers the OA-monitoring barrier dramatically vs. research-grade SOPs (next row). The EPA 'Guidelines for Measuring Changes in Seawater pH... Eastern US' (Pimenta &amp; Grear 2018) and the SDG 14.3.1 indicator methodology are companion references. Also relevant to mollusc shell/carbonate contexts.  |  [2026-10-13 Rule 15 cost re-rate, batch 9] Framework basis: SW CC 2.1.1: within farm + adjacent non-farm; real-time/weekly with diurnal (one logger per location); 3 locations; TA + DIC checks 3 locations × 4 seasons × 2 = 24 (xiao_2021 pilot convention). Standard OA-grade logger route (the kit's iSAMI pH sensor is in the same class); the GOA-ON kit's discrete spectrophotometric pH alone wouldn't give the diurnal record the Framework asks for. Logger route confirmed (Peter, 2026-10-13). Prior O: 'Medium'.  |  [2026-10-16 monitoring-methods pass] AT (Monitoring Methods) set from the protocol's method summary (AK): pH, Carbonate system (pH / OA), GIS siting / carrying capacity.</t>
        </is>
      </c>
      <c r="AT223" s="21" t="inlineStr">
        <is>
          <t>pH, Carbonate system (pH / OA), GIS siting / carrying capacity</t>
        </is>
      </c>
    </row>
    <row r="224">
      <c r="A224" t="inlineStr">
        <is>
          <t>Dickson, A. G., et al.</t>
        </is>
      </c>
      <c r="B224" t="inlineStr">
        <is>
          <t>Guide to Best Practices for Ocean Acidification Research and Data Reporting (+ addendum)</t>
        </is>
      </c>
      <c r="C224" t="inlineStr">
        <is>
          <t>GOA-ON / EU / IOCCP</t>
        </is>
      </c>
      <c r="G224" t="n">
        <v>2010</v>
      </c>
      <c r="H224" t="inlineStr">
        <is>
          <t>Publications Office of the European Union</t>
        </is>
      </c>
      <c r="I224" t="inlineStr">
        <is>
          <t>The authoritative research-grade SOPs for seawater carbonate-system measurement and OA experimental design/data reporting — the analytical reference underpinning the OA Cookbook.</t>
        </is>
      </c>
      <c r="J224" t="inlineStr">
        <is>
          <t>Reference (authoritative SOP / usable design tool)</t>
        </is>
      </c>
      <c r="K224" t="inlineStr">
        <is>
          <t>Adequate as the analytical gold-standard reference: defines high-accuracy pH/DIC/TA/pCO2 methods and reporting; a research programme is built from it.</t>
        </is>
      </c>
      <c r="L224" t="inlineStr">
        <is>
          <t>No — research-grade carbonate chemistry throughout (CRM-traceable, high-precision instrumentation).</t>
        </is>
      </c>
      <c r="M224" t="inlineStr">
        <is>
          <t>Yes</t>
        </is>
      </c>
      <c r="N224" t="inlineStr">
        <is>
          <t>Research-grade spectrophotometry/coulometry, certified reference materials</t>
        </is>
      </c>
      <c r="O224" t="inlineStr">
        <is>
          <t>High</t>
        </is>
      </c>
      <c r="P224" t="inlineStr">
        <is>
          <t>Not time-specific</t>
        </is>
      </c>
      <c r="Q224" t="inlineStr">
        <is>
          <t>High-accuracy carbonate-system SOPs; OA experimental design</t>
        </is>
      </c>
      <c r="R224" t="inlineStr">
        <is>
          <t>Yes — Open (PDF + addendum)</t>
        </is>
      </c>
      <c r="S224" t="inlineStr">
        <is>
          <t>Abstract + Methods (fetched)</t>
        </is>
      </c>
      <c r="T224" t="inlineStr">
        <is>
          <t>https://goa-on.org/resources/manuals.php</t>
        </is>
      </c>
      <c r="U224" t="inlineStr">
        <is>
          <t>Pair it with the practitioner OA cookbook for low-cost field deployment.</t>
        </is>
      </c>
      <c r="V224" t="inlineStr">
        <is>
          <t>Provided by Claude (grey/white-lit protocol search)</t>
        </is>
      </c>
      <c r="W224" s="7" t="inlineStr">
        <is>
          <t>2 — Researcher</t>
        </is>
      </c>
      <c r="X224" t="inlineStr">
        <is>
          <t>Seaweed, Mollusk</t>
        </is>
      </c>
      <c r="Y224" t="inlineStr">
        <is>
          <t>Climate Change</t>
        </is>
      </c>
      <c r="Z224" t="inlineStr">
        <is>
          <t>CC 2.1.1 — pH / ocean acidification</t>
        </is>
      </c>
      <c r="AA224" t="inlineStr">
        <is>
          <t>Cross-zone / global</t>
        </is>
      </c>
      <c r="AB224" t="inlineStr">
        <is>
          <t>Not species-specific</t>
        </is>
      </c>
      <c r="AC224" t="inlineStr">
        <is>
          <t>Not gear-specific</t>
        </is>
      </c>
      <c r="AD224" t="inlineStr">
        <is>
          <t>Not scale-specific</t>
        </is>
      </c>
      <c r="AE224" t="inlineStr">
        <is>
          <t>Not site-specific</t>
        </is>
      </c>
      <c r="AF224" t="inlineStr">
        <is>
          <t>Not specific</t>
        </is>
      </c>
      <c r="AG224" t="inlineStr">
        <is>
          <t>Carbonate chemistry</t>
        </is>
      </c>
      <c r="AH224" t="inlineStr">
        <is>
          <t>Not algae-specific</t>
        </is>
      </c>
      <c r="AI224" t="inlineStr">
        <is>
          <t>Not depth-specific</t>
        </is>
      </c>
      <c r="AJ224" t="inlineStr">
        <is>
          <t>Not exposure-specific</t>
        </is>
      </c>
      <c r="AK224" s="16" t="inlineStr">
        <is>
          <t>This is the authoritative research-grade reference for seawater carbonate-system measurement and ocean-acidification experimental design and data reporting - the analytical gold standard (high-accuracy pH, DIC, total alkalinity, pCO2) underpinning the practitioner OA cookbook. Use it to build a weather-quality ocean-acidification programme or to anchor methods; pair it with the cookbook for low-cost field deployment.</t>
        </is>
      </c>
      <c r="AL224" s="17" t="inlineStr">
        <is>
          <t>Ref</t>
        </is>
      </c>
      <c r="AM224" s="18" t="inlineStr">
        <is>
          <t>dickson_2010</t>
        </is>
      </c>
      <c r="AN224" s="19" t="n"/>
      <c r="AO224" s="19" t="n"/>
      <c r="AP224" s="19" t="n"/>
      <c r="AQ224" s="16" t="inlineStr">
        <is>
          <t>Research-Grade Ocean-Acidification Measurement SOPs (Reference)</t>
        </is>
      </c>
      <c r="AR224" s="16" t="inlineStr">
        <is>
          <t>Dickson, A.G.; Sabine, C.L.; Christian, J.R. (eds.); Riebesell, U.; et al.</t>
        </is>
      </c>
      <c r="AS224" s="16" t="inlineStr">
        <is>
          <t>The reference standard for weather-quality OA data; pair with the practitioner-facing OA Cookbook (previous row) for field deployment. Tier T2 as a researcher-grade design tool.  |  [2026-10-16 monitoring-methods pass] AT (Monitoring Methods) set from the protocol's method summary (AK): pH, Carbonate system (pH / OA).</t>
        </is>
      </c>
      <c r="AT224" s="21" t="inlineStr">
        <is>
          <t>pH, Carbonate system (pH / OA)</t>
        </is>
      </c>
    </row>
    <row r="225">
      <c r="A225" t="inlineStr">
        <is>
          <t>Verra</t>
        </is>
      </c>
      <c r="B225" t="inlineStr">
        <is>
          <t>Methodology Framework for Seaweed Carbon Projects (VCS M0172; incl. archived seaweed-aquaculture removals methodology)</t>
        </is>
      </c>
      <c r="C225" t="inlineStr">
        <is>
          <t>Verra (Verified Carbon Standard)</t>
        </is>
      </c>
      <c r="G225" t="n">
        <v>2024</v>
      </c>
      <c r="H225" t="inlineStr">
        <is>
          <t>Verra</t>
        </is>
      </c>
      <c r="I225" t="inlineStr">
        <is>
          <t>Carbon-crediting methodology framework for seaweed projects (in development). Its cradle-to-grave project-emissions accounting (LCA) maps to seaweed CC 1.2.1 (GHG); its core carbon-removal/sequestration crediting falls OUTSIDE the MEL indicator set (the framework deliberately excludes seaweed carbon sequestration as too uncertain to account).</t>
        </is>
      </c>
      <c r="J225" t="inlineStr">
        <is>
          <t>Reference (carbon-accounting methodology framework)</t>
        </is>
      </c>
      <c r="K225" t="inlineStr">
        <is>
          <t>Adequate only for the GHG-accounting (LCA) component vis-à-vis MEL; the sequestration/removals crediting it primarily addresses has no MEL indicator home (Sub-rule 1b note).</t>
        </is>
      </c>
      <c r="L225" t="inlineStr">
        <is>
          <t>No — project-level carbon MRV requires specialist accounting/verification.</t>
        </is>
      </c>
      <c r="M225" t="inlineStr">
        <is>
          <t>Yes</t>
        </is>
      </c>
      <c r="N225" t="inlineStr">
        <is>
          <t>LCA/MRV accounting (remote sensing, sampling, modelling)</t>
        </is>
      </c>
      <c r="O225" t="inlineStr">
        <is>
          <t>High</t>
        </is>
      </c>
      <c r="P225" t="inlineStr">
        <is>
          <t>One-time (no sampling — desk-based)</t>
        </is>
      </c>
      <c r="Q225" t="inlineStr">
        <is>
          <t>Carbon-accounting methodology; net-removal computation</t>
        </is>
      </c>
      <c r="R225" t="inlineStr">
        <is>
          <t>Yes — Open (Verra methodology page)</t>
        </is>
      </c>
      <c r="S225" t="inlineStr">
        <is>
          <t>Abstract only</t>
        </is>
      </c>
      <c r="T225" t="inlineStr">
        <is>
          <t>https://verra.org/methodologies/</t>
        </is>
      </c>
      <c r="U225" t="inlineStr">
        <is>
          <t>MEL does not measure seaweed carbon sequestration - only the cradle-to-grave greenhouse-gas footprint overlaps; treat carbon-removal crediting as outside scope.</t>
        </is>
      </c>
      <c r="V225" t="inlineStr">
        <is>
          <t>Provided by Claude (grey/white-lit protocol search)</t>
        </is>
      </c>
      <c r="W225" s="7" t="inlineStr">
        <is>
          <t>2 — Researcher</t>
        </is>
      </c>
      <c r="X225" t="inlineStr">
        <is>
          <t>Seaweed</t>
        </is>
      </c>
      <c r="Y225" t="inlineStr">
        <is>
          <t>Climate Change</t>
        </is>
      </c>
      <c r="Z225" t="inlineStr">
        <is>
          <t>CC 1.2.1 — Cradle-to-grave GHG emissions</t>
        </is>
      </c>
      <c r="AA225" t="inlineStr">
        <is>
          <t>Cross-zone / global</t>
        </is>
      </c>
      <c r="AB225" t="inlineStr">
        <is>
          <t>Not species-specific</t>
        </is>
      </c>
      <c r="AC225" t="inlineStr">
        <is>
          <t>Not gear-specific</t>
        </is>
      </c>
      <c r="AD225" t="inlineStr">
        <is>
          <t>Not scale-specific</t>
        </is>
      </c>
      <c r="AE225" t="inlineStr">
        <is>
          <t>Not site-specific</t>
        </is>
      </c>
      <c r="AF225" t="inlineStr">
        <is>
          <t>Not specific</t>
        </is>
      </c>
      <c r="AG225" t="inlineStr">
        <is>
          <t>Modelling, Remote sensing</t>
        </is>
      </c>
      <c r="AH225" t="inlineStr">
        <is>
          <t>Not algae-specific</t>
        </is>
      </c>
      <c r="AI225" t="inlineStr">
        <is>
          <t>Not depth-specific</t>
        </is>
      </c>
      <c r="AJ225" t="inlineStr">
        <is>
          <t>Not exposure-specific</t>
        </is>
      </c>
      <c r="AK225" s="16" t="inlineStr">
        <is>
          <t>This is an in-development carbon-crediting methodology framework for seaweed projects. Only its cradle-to-grave project-emissions (life-cycle) accounting maps to the seaweed GHG indicator; its core carbon-removal/sequestration crediting sits deliberately outside the MEL indicator set (the framework itself excludes seaweed carbon sequestration). It is included to flag that live grey-literature area - MEL measures only the cradle-to-grave GHG overlap, not sequestration MRV.</t>
        </is>
      </c>
      <c r="AL225" s="17" t="inlineStr">
        <is>
          <t>Ref</t>
        </is>
      </c>
      <c r="AM225" s="18" t="inlineStr">
        <is>
          <t>verra_2024</t>
        </is>
      </c>
      <c r="AN225" s="19" t="n"/>
      <c r="AO225" s="19" t="n"/>
      <c r="AP225" s="19" t="n"/>
      <c r="AQ225" s="16" t="inlineStr">
        <is>
          <t>Seaweed Carbon-Project Accounting Framework (GHG-Footprint Overlap Only)</t>
        </is>
      </c>
      <c r="AR225" s="16" t="inlineStr">
        <is>
          <t>Verra; Oceans 2050 (input)</t>
        </is>
      </c>
      <c r="AS225" s="16" t="inlineStr">
        <is>
          <t>Included to flag a live grey-lit area (seaweed carbon MRV) that the MEL framework intentionally does NOT measure — only the cradle-to-grave GHG (CC 1.2.1) overlaps. The earlier standalone removals methodology was archived (June 2024); development moved into M0172. Tier T2.</t>
        </is>
      </c>
      <c r="AT225" s="21" t="n"/>
    </row>
    <row r="226">
      <c r="A226" t="inlineStr">
        <is>
          <t>Pacific Northwest National Laboratory (PNNL)</t>
        </is>
      </c>
      <c r="B226" t="inlineStr">
        <is>
          <t>Macroalgae mCDR: LCA, Carbon Sequestration/Permanence and MRV Methods Review (PNNL-33997)</t>
        </is>
      </c>
      <c r="C226" t="inlineStr">
        <is>
          <t>PNNL Technical Report</t>
        </is>
      </c>
      <c r="D226" t="inlineStr">
        <is>
          <t>PNNL-33997</t>
        </is>
      </c>
      <c r="G226" t="n">
        <v>2023</v>
      </c>
      <c r="H226" t="inlineStr">
        <is>
          <t>US DOE / Pacific Northwest National Laboratory</t>
        </is>
      </c>
      <c r="I226" t="inlineStr">
        <is>
          <t>Technical report reviewing LCA + monitoring/reporting/verification (MRV) methods for macroalgae carbon-dioxide removal (remote sensing, physical/sediment sampling, eDNA+coring for permanence, modelling, forensic carbon accounting). LCA/GHG-accounting maps to seaweed CC 1.2.1; the sequestration-permanence focus sits outside the MEL indicator set.</t>
        </is>
      </c>
      <c r="J226" t="inlineStr">
        <is>
          <t>Reference (methods review / usable design tool)</t>
        </is>
      </c>
      <c r="K226" t="inlineStr">
        <is>
          <t>Adequate as an MRV methods inventory a programme is built from; not a single executable protocol. LCA component aligns to CC 1.2.1.</t>
        </is>
      </c>
      <c r="L226" t="inlineStr">
        <is>
          <t>No — carbon MRV/LCA is specialist throughout.</t>
        </is>
      </c>
      <c r="M226" t="inlineStr">
        <is>
          <t>Yes</t>
        </is>
      </c>
      <c r="N226" t="inlineStr">
        <is>
          <t>LCA software, remote sensing, sediment coring, eDNA</t>
        </is>
      </c>
      <c r="O226" t="inlineStr">
        <is>
          <t>High</t>
        </is>
      </c>
      <c r="P226" t="inlineStr">
        <is>
          <t>One-time (no sampling — desk-based)</t>
        </is>
      </c>
      <c r="Q226" t="inlineStr">
        <is>
          <t>LCA; MRV method comparison</t>
        </is>
      </c>
      <c r="R226" t="inlineStr">
        <is>
          <t>Yes — Open (PNNL PDF)</t>
        </is>
      </c>
      <c r="S226" t="inlineStr">
        <is>
          <t>Abstract + Methods (fetched)</t>
        </is>
      </c>
      <c r="T226" t="inlineStr">
        <is>
          <t>https://www.pnnl.gov/main/publications/external/technical_reports/PNNL-33997.pdf</t>
        </is>
      </c>
      <c r="U226" t="inlineStr">
        <is>
          <t>Only the greenhouse-gas-footprint component maps to MEL; there are as yet no established MRV protocols for macroalgae carbon capture or permanence.</t>
        </is>
      </c>
      <c r="V226" t="inlineStr">
        <is>
          <t>Provided by Claude (grey/white-lit protocol search)</t>
        </is>
      </c>
      <c r="W226" s="7" t="inlineStr">
        <is>
          <t>2 — Researcher</t>
        </is>
      </c>
      <c r="X226" t="inlineStr">
        <is>
          <t>Seaweed</t>
        </is>
      </c>
      <c r="Y226" t="inlineStr">
        <is>
          <t>Climate Change</t>
        </is>
      </c>
      <c r="Z226" t="inlineStr">
        <is>
          <t>CC 1.2.1 — Cradle-to-grave GHG emissions</t>
        </is>
      </c>
      <c r="AA226" t="inlineStr">
        <is>
          <t>Cross-zone / global</t>
        </is>
      </c>
      <c r="AB226" t="inlineStr">
        <is>
          <t>Not species-specific</t>
        </is>
      </c>
      <c r="AC226" t="inlineStr">
        <is>
          <t>Not gear-specific</t>
        </is>
      </c>
      <c r="AD226" t="inlineStr">
        <is>
          <t>Not scale-specific</t>
        </is>
      </c>
      <c r="AE226" t="inlineStr">
        <is>
          <t>Not site-specific</t>
        </is>
      </c>
      <c r="AF226" t="inlineStr">
        <is>
          <t>Not specific</t>
        </is>
      </c>
      <c r="AG226" t="inlineStr">
        <is>
          <t>Modelling, Remote sensing, eDNA</t>
        </is>
      </c>
      <c r="AH226" t="inlineStr">
        <is>
          <t>Not algae-specific</t>
        </is>
      </c>
      <c r="AI226" t="inlineStr">
        <is>
          <t>Not depth-specific</t>
        </is>
      </c>
      <c r="AJ226" t="inlineStr">
        <is>
          <t>Not exposure-specific</t>
        </is>
      </c>
      <c r="AK226" s="16" t="inlineStr">
        <is>
          <t>This technical report reviews life-cycle-assessment and monitoring/reporting/verification methods for macroalgae carbon-dioxide removal (remote sensing, sediment sampling, eDNA-plus-coring for permanence, modelling, forensic carbon accounting). Within MEL scope only the LCA/GHG-accounting component maps to the seaweed GHG indicator; the sequestration/permanence side has no MEL home. Its honest takeaway is that there are as yet no established MRV protocols for macroalgae carbon capture or permanence.</t>
        </is>
      </c>
      <c r="AL226" s="17" t="inlineStr">
        <is>
          <t>Ref</t>
        </is>
      </c>
      <c r="AM226" s="18" t="inlineStr">
        <is>
          <t>pnnl_2023</t>
        </is>
      </c>
      <c r="AN226" s="19" t="n"/>
      <c r="AO226" s="19" t="n"/>
      <c r="AP226" s="19" t="n"/>
      <c r="AQ226" s="16" t="inlineStr">
        <is>
          <t>Macroalgae Carbon-Removal MRV Methods Review (Reference)</t>
        </is>
      </c>
      <c r="AR226" s="16" t="inlineStr">
        <is>
          <t>Pacific Northwest National Laboratory (PNNL)</t>
        </is>
      </c>
      <c r="AS226" s="16" t="inlineStr">
        <is>
          <t>Honest caveat across this literature: there are as yet no established MRV protocols for macroalgae carbon capture/permanence. The EDF 'Carbon Sequestration by Seaweed' report is a companion NGO context piece. Only the cradle-to-grave GHG (CC 1.2.1) overlaps MEL.</t>
        </is>
      </c>
      <c r="AT226" s="21" t="n"/>
    </row>
    <row r="227">
      <c r="A227" t="inlineStr">
        <is>
          <t>ISO</t>
        </is>
      </c>
      <c r="B227" t="inlineStr">
        <is>
          <t>Life-cycle assessment standards for cradle-to-grave GHG (ISO 14040 / ISO 14044; PAS 2050)</t>
        </is>
      </c>
      <c r="C227" t="inlineStr">
        <is>
          <t>ISO / BSI</t>
        </is>
      </c>
      <c r="G227" t="n">
        <v>2021</v>
      </c>
      <c r="H227" t="inlineStr">
        <is>
          <t>International Organization for Standardization / BSI</t>
        </is>
      </c>
      <c r="I227" t="inlineStr">
        <is>
          <t>The underlying standards for cradle-to-grave GHG/carbon-footprint accounting that operationalise the GHG-emissions indicator across all three sectors. Cradle-to-grave GHG = CC 1.1.1 (molluscs &amp; finfish) and CC 1.2.1 (seaweed).</t>
        </is>
      </c>
      <c r="J227" t="inlineStr">
        <is>
          <t>Reference (standards / usable design tool)</t>
        </is>
      </c>
      <c r="K227" t="inlineStr">
        <is>
          <t>Adequate as the methodological backbone for any aquaculture LCA/carbon-footprint; a footprint study is built from these standards (often with seafood-specific guidance).</t>
        </is>
      </c>
      <c r="L227" t="inlineStr">
        <is>
          <t>No — LCA specialists.</t>
        </is>
      </c>
      <c r="M227" t="inlineStr">
        <is>
          <t>Yes</t>
        </is>
      </c>
      <c r="N227" t="inlineStr">
        <is>
          <t>LCA software + life-cycle inventory data</t>
        </is>
      </c>
      <c r="O227" t="inlineStr">
        <is>
          <t>Medium–High</t>
        </is>
      </c>
      <c r="P227" t="inlineStr">
        <is>
          <t>One-time (no sampling — desk-based)</t>
        </is>
      </c>
      <c r="Q227" t="inlineStr">
        <is>
          <t>Life-cycle inventory + impact assessment (GWP)</t>
        </is>
      </c>
      <c r="R227" t="inlineStr">
        <is>
          <t>No — Paywalled (ISO; PAS 2050 via BSI)</t>
        </is>
      </c>
      <c r="S227" t="inlineStr">
        <is>
          <t>Title only (no abstract or DOI)</t>
        </is>
      </c>
      <c r="T227" t="inlineStr">
        <is>
          <t>https://www.iso.org/standard/37456.html (ISO 14040)</t>
        </is>
      </c>
      <c r="U227" t="inlineStr">
        <is>
          <t>The methodological backbone for any aquaculture carbon-footprint study; note GHG is CC 1.1.1 for molluscs/finfish but CC 1.2.1 for seaweed.</t>
        </is>
      </c>
      <c r="V227" t="inlineStr">
        <is>
          <t>Provided by Claude (grey/white-lit protocol search)</t>
        </is>
      </c>
      <c r="W227" s="7" t="inlineStr">
        <is>
          <t>2 — Researcher</t>
        </is>
      </c>
      <c r="X227" t="inlineStr">
        <is>
          <t>Seaweed, Mollusk, Finfish</t>
        </is>
      </c>
      <c r="Y227" t="inlineStr">
        <is>
          <t>Climate Change</t>
        </is>
      </c>
      <c r="Z227" t="inlineStr">
        <is>
          <t>CC 1.1.1 — Cradle-to-grave GHG, CC 1.2.1 — Cradle-to-grave GHG emissions</t>
        </is>
      </c>
      <c r="AA227" t="inlineStr">
        <is>
          <t>Cross-zone / global</t>
        </is>
      </c>
      <c r="AB227" t="inlineStr">
        <is>
          <t>Not species-specific</t>
        </is>
      </c>
      <c r="AC227" t="inlineStr">
        <is>
          <t>Not gear-specific</t>
        </is>
      </c>
      <c r="AD227" t="inlineStr">
        <is>
          <t>Not scale-specific</t>
        </is>
      </c>
      <c r="AE227" t="inlineStr">
        <is>
          <t>Not site-specific</t>
        </is>
      </c>
      <c r="AF227" t="inlineStr">
        <is>
          <t>Not specific</t>
        </is>
      </c>
      <c r="AG227" t="inlineStr">
        <is>
          <t>Modelling</t>
        </is>
      </c>
      <c r="AH227" t="inlineStr">
        <is>
          <t>Not algae-specific</t>
        </is>
      </c>
      <c r="AI227" t="inlineStr">
        <is>
          <t>Not depth-specific</t>
        </is>
      </c>
      <c r="AJ227" t="inlineStr">
        <is>
          <t>Not exposure-specific</t>
        </is>
      </c>
      <c r="AK227" s="16" t="inlineStr">
        <is>
          <t>These are the underlying life-cycle-assessment standards (ISO 14040/14044, PAS 2050) that operationalise cradle-to-grave GHG / carbon-footprint accounting across all sectors. A footprint study is built from them - compile a life-cycle inventory and run impact assessment (global-warming potential) - typically with seafood-specific guidance layered on. Included so the GHG indicator has a methodological home; note the dual numbering (cradle-to-grave GHG is CC 1.1.1 for molluscs/finfish but CC 1.2.1 for seaweed). (Entry from general knowledge - consult the standards themselves for procedure.)</t>
        </is>
      </c>
      <c r="AL227" s="17" t="inlineStr">
        <is>
          <t>Ref</t>
        </is>
      </c>
      <c r="AM227" s="18" t="inlineStr">
        <is>
          <t>iso_2021</t>
        </is>
      </c>
      <c r="AN227" s="19" t="n"/>
      <c r="AO227" s="19" t="n"/>
      <c r="AP227" s="19" t="n"/>
      <c r="AQ227" s="16" t="inlineStr">
        <is>
          <t>Life-Cycle Assessment Standards for GHG Footprinting (Reference)</t>
        </is>
      </c>
      <c r="AR227" s="16" t="inlineStr">
        <is>
          <t>ISO; BSI (PAS 2050)</t>
        </is>
      </c>
      <c r="AS227" s="16" t="inlineStr">
        <is>
          <t>General-knowledge entry (not a fetched source this session); included so the cradle-to-grave GHG indicator has a protocol home. Seafood-specific LCA guidance and ASC/MSC footprint work build on these. Note the dual numbering: cradle-to-grave GHG = CC 1.1.1 for molluscs/finfish but CC 1.2.1 for seaweed.</t>
        </is>
      </c>
      <c r="AT227" s="21" t="n"/>
    </row>
    <row r="228">
      <c r="A228" t="inlineStr">
        <is>
          <t>Gold, Z., et al.</t>
        </is>
      </c>
      <c r="B228" t="inlineStr">
        <is>
          <t>A manager's guide to using eDNA metabarcoding in marine ecosystems</t>
        </is>
      </c>
      <c r="C228" t="inlineStr">
        <is>
          <t>PeerJ</t>
        </is>
      </c>
      <c r="D228" t="n">
        <v>10</v>
      </c>
      <c r="F228" t="inlineStr">
        <is>
          <t>e14071</t>
        </is>
      </c>
      <c r="G228" t="n">
        <v>2022</v>
      </c>
      <c r="H228" t="inlineStr">
        <is>
          <t>PeerJ</t>
        </is>
      </c>
      <c r="I228" t="inlineStr">
        <is>
          <t>Practitioner-/manager-facing guide to designing eDNA metabarcoding monitoring programmes (primer selection, reference databases, decontamination, pilot variance, archiving). Cross-cutting biodiversity tool serving epibiota, mobile fauna, community composition, and plankton indicators.</t>
        </is>
      </c>
      <c r="J228" t="inlineStr">
        <is>
          <t>Reference (usable design tool / manager guide)</t>
        </is>
      </c>
      <c r="K228" t="inlineStr">
        <is>
          <t>Adequate as a programme-design guide: five decision steps for a defensible eDNA monitoring programme; not itself a single bench protocol.</t>
        </is>
      </c>
      <c r="L228" t="inlineStr">
        <is>
          <t>No — water sampling/filtration is simple, but the metabarcoding pipeline (extraction, PCR, sequencing, bioinformatics) is specialist throughout.</t>
        </is>
      </c>
      <c r="M228" t="inlineStr">
        <is>
          <t>Yes</t>
        </is>
      </c>
      <c r="N228" t="inlineStr">
        <is>
          <t>Filtration kit; molecular lab (extraction, PCR, sequencing); bioinformatics</t>
        </is>
      </c>
      <c r="O228" t="inlineStr">
        <is>
          <t>High</t>
        </is>
      </c>
      <c r="P228" t="inlineStr">
        <is>
          <t>Not time-specific</t>
        </is>
      </c>
      <c r="Q228" t="inlineStr">
        <is>
          <t>Site-occupancy decontamination; metabarcoding bioinformatics</t>
        </is>
      </c>
      <c r="R228" t="inlineStr">
        <is>
          <t>Yes — Open (PeerJ, CC-BY)</t>
        </is>
      </c>
      <c r="S228" t="inlineStr">
        <is>
          <t>Abstract + Methods (fetched)</t>
        </is>
      </c>
      <c r="T228" t="inlineStr">
        <is>
          <t>https://peerj.com/articles/14071/</t>
        </is>
      </c>
      <c r="U228" t="inlineStr">
        <is>
          <t>A programme-design guide; a Springer protocol chapter gives the bench SOP, and formal eDNA standardisation is still in progress.</t>
        </is>
      </c>
      <c r="V228" t="inlineStr">
        <is>
          <t>Provided by Claude (grey/white-lit protocol search)</t>
        </is>
      </c>
      <c r="W228" s="7" t="inlineStr">
        <is>
          <t>2 — Researcher</t>
        </is>
      </c>
      <c r="X228" t="inlineStr">
        <is>
          <t>Seaweed, Mollusk, Finfish</t>
        </is>
      </c>
      <c r="Y228" t="inlineStr">
        <is>
          <t>Habitat &amp; Biodiversity, Water Quality</t>
        </is>
      </c>
      <c r="Z228" t="inlineStr">
        <is>
          <t>H&amp;B 1.1.1 — Epibiota, H&amp;B 1.2.1 — Mobile fauna, H&amp;B 2.1.1 — Community composition, WQ 2.1.2 — Microorganisms</t>
        </is>
      </c>
      <c r="AA228" t="inlineStr">
        <is>
          <t>Cross-zone / global</t>
        </is>
      </c>
      <c r="AB228" t="inlineStr">
        <is>
          <t>Not species-specific</t>
        </is>
      </c>
      <c r="AC228" t="inlineStr">
        <is>
          <t>Not gear-specific</t>
        </is>
      </c>
      <c r="AD228" t="inlineStr">
        <is>
          <t>Not scale-specific</t>
        </is>
      </c>
      <c r="AE228" t="inlineStr">
        <is>
          <t>Not site-specific</t>
        </is>
      </c>
      <c r="AF228" t="inlineStr">
        <is>
          <t>Not specific</t>
        </is>
      </c>
      <c r="AG228" t="inlineStr">
        <is>
          <t>eDNA</t>
        </is>
      </c>
      <c r="AH228" t="inlineStr">
        <is>
          <t>Not algae-specific</t>
        </is>
      </c>
      <c r="AI228" t="inlineStr">
        <is>
          <t>Not depth-specific</t>
        </is>
      </c>
      <c r="AJ228" t="inlineStr">
        <is>
          <t>Not exposure-specific</t>
        </is>
      </c>
      <c r="AK228" s="16" t="inlineStr">
        <is>
          <t>This manager-facing guide helps design a defensible eDNA metabarcoding monitoring programme - primer selection, reference databases, decontamination, pilot variance and archiving - as a cross-cutting biodiversity tool (epibiota, mobile fauna, community composition, plankton). Use it to plan the programme; a Springer protocol chapter gives the bench sampling/extraction SOP, and formal ISO/CEN eDNA standardisation is still in progress. It pairs with the MarineGEO fouling/ARMS and IOC phytoplankton methods.</t>
        </is>
      </c>
      <c r="AL228" s="17" t="inlineStr">
        <is>
          <t>Ref</t>
        </is>
      </c>
      <c r="AM228" s="18" t="inlineStr">
        <is>
          <t>gold_2022</t>
        </is>
      </c>
      <c r="AN228" s="19" t="n"/>
      <c r="AO228" s="19" t="n"/>
      <c r="AP228" s="19" t="n"/>
      <c r="AQ228" s="16" t="inlineStr">
        <is>
          <t>Designing an eDNA Metabarcoding Monitoring Programme (Manager's Guide)</t>
        </is>
      </c>
      <c r="AR228" s="16" t="inlineStr">
        <is>
          <t>Gold, Z.; Sprague, J.; Kushner, D.J.; et al.</t>
        </is>
      </c>
      <c r="AS228" s="16" t="inlineStr">
        <is>
          <t>A Springer protocol chapter ('Environmental DNA from Marine Waters and Substrates: Protocols for Sampling and eDNA Extraction') gives the bench SOP; formal ISO/CEN eDNA standardisation is still in progress. Pairs with MarineGEO Fouling/ARMS (cryptobiota) and IOC phytoplankton. The framework already cites Mercaldo-Allen 2021 (eDNA at oyster cages).  |  [2026-10-16 monitoring-methods pass] AT (Monitoring Methods) set from the protocol's method summary (AK): Epibiota on lines / structures, Water eDNA.</t>
        </is>
      </c>
      <c r="AT228" s="21" t="inlineStr">
        <is>
          <t>Epibiota on lines / structures, Water eDNA</t>
        </is>
      </c>
    </row>
    <row r="229">
      <c r="A229" s="21" t="inlineStr">
        <is>
          <t>The Nature Conservancy Australia</t>
        </is>
      </c>
      <c r="B229" s="21" t="inlineStr">
        <is>
          <t>Rebuilding Australia's Lost Shellfish Reefs: Reef Builder Monitoring and Evaluation Report</t>
        </is>
      </c>
      <c r="C229" s="21" t="inlineStr">
        <is>
          <t>Report prepared for the Department of Climate Change, Energy, the Environment and Water (Australian Government)</t>
        </is>
      </c>
      <c r="D229" s="21" t="n"/>
      <c r="E229" s="21" t="n"/>
      <c r="F229" s="21" t="n"/>
      <c r="G229" s="21" t="n">
        <v>2024</v>
      </c>
      <c r="H229" s="21" t="inlineStr">
        <is>
          <t>The Nature Conservancy Australia, Melbourne</t>
        </is>
      </c>
      <c r="I229" s="21" t="inlineStr">
        <is>
          <t>Maps to H&amp;B 1.2.1 — Mobile fauna. Subtidal: Reef Life Survey diver census on 50 m transects — Method 1 fishes and large mobile fauna counted and sized in 5 m belts each side (500 m²; biomass from length–weight), Method 2 mobile invertebrates and cryptic fishes in 1 m belts each side (100 m²); intertidal sites under 1.5 m: three stereo mini-BRUVs per habitat (30 min, pilchard bait, MaxN and length in EventMeasure); restored reef vs soft-sediment control vs seagrass or natural-reef reference. Match: Yes.</t>
        </is>
      </c>
      <c r="J229" s="21" t="inlineStr">
        <is>
          <t>Protocol</t>
        </is>
      </c>
      <c r="K229" s="21" t="inlineStr">
        <is>
          <t>Confirmed standalone (full read of Appendix 2). Replicated habitat comparison with baseline and post-seeding surveys gives fish biomass, abundance (or MaxN) and species richness — robust for H&amp;B 1.2.1; RLS is a standardised global method with an open database. Intertidal mobile epifauna counted in the shellfish quadrats is a thin add-on folded here.</t>
        </is>
      </c>
      <c r="L229" s="21" t="inlineStr">
        <is>
          <t>Yes — visual belt-transect census with regional ID guides needs no lab (RLS trains volunteer divers); subtidal surveys need SCUBA-qualified divers. The stereo-BRUV alternative needs EventMeasure calibration; a single-camera BRUV with MaxN counts is the practitioner route.</t>
        </is>
      </c>
      <c r="M229" s="21" t="inlineStr">
        <is>
          <t>Yes</t>
        </is>
      </c>
      <c r="N229" s="21" t="inlineStr">
        <is>
          <t>SCUBA (or snorkel in shallow water); 50 m transect tape; dive slate and datasheets; underwater camera for unidentified animals; RLS size bins and FishBase length–weight relationships. Sites under 1.5 m: SeaGIS stereo mini-BRUV frames with a 0.5 m bait arm and bait bag (3 crushed pilchards), EventMeasure software.</t>
        </is>
      </c>
      <c r="O229" s="21" t="inlineStr">
        <is>
          <t>Low — ~$260 yr 1: $260 start-up (snorkel set $150 [est]; transect tape $40 [est]; slate + datasheets $40 [est]; fish ID guide $30 [est]) + no recurring cost</t>
        </is>
      </c>
      <c r="P229" s="21" t="inlineStr">
        <is>
          <t>Multi-year monitoring (&gt; 1 year) — baseline before reef construction and repeat surveys after seeding, 2021–2023</t>
        </is>
      </c>
      <c r="Q229" s="21" t="inlineStr">
        <is>
          <t>Summary statistics (mean ± SD or SE) by location and reef age; indicator trends judged against baseline and benchmark targets (e.g. fish biomass and species richness above baseline); R 4.3.1.</t>
        </is>
      </c>
      <c r="R229" s="21" t="inlineStr">
        <is>
          <t>Yes — Open access (TNC Australia website; Zenodo)</t>
        </is>
      </c>
      <c r="S229" s="21" t="inlineStr">
        <is>
          <t>Full PDF</t>
        </is>
      </c>
      <c r="T229" s="21" t="inlineStr">
        <is>
          <t>https://doi.org/10.5281/zenodo.11516296</t>
        </is>
      </c>
      <c r="U229" s="21" t="inlineStr">
        <is>
          <t>Shellfish-reef restoration programme (reefs seeded with hatchery-reared oysters and mussels grown on aquaculture leases), not farm monitoring; the restored-reef vs soft-sediment control vs seagrass or natural-reef reference design and the Reef Life Survey methods transfer directly to bivalve farms (Rule 2). The report presents RLS Methods 1–2 only; Method 3 photoquadrats were collected but not reported.</t>
        </is>
      </c>
      <c r="V229" s="21" t="inlineStr">
        <is>
          <t>Provided by Peter (project file; evaluator run on Appendix 2)</t>
        </is>
      </c>
      <c r="W229" s="10" t="inlineStr">
        <is>
          <t>4 — Practitioner</t>
        </is>
      </c>
      <c r="X229" s="21" t="inlineStr">
        <is>
          <t>Mollusk</t>
        </is>
      </c>
      <c r="Y229" s="21" t="inlineStr">
        <is>
          <t>Habitat &amp; Biodiversity</t>
        </is>
      </c>
      <c r="Z229" s="21" t="inlineStr">
        <is>
          <t>H&amp;B 1.2.1 — Mobile fauna</t>
        </is>
      </c>
      <c r="AA229" s="21" t="inlineStr">
        <is>
          <t>Cross-zone / global</t>
        </is>
      </c>
      <c r="AB229" s="21" t="inlineStr">
        <is>
          <t>Native oyster — other / unspecified, Sydney rock oyster (Saccostrea glomerata), Mediterranean mussel (Mytilus galloprovincialis)</t>
        </is>
      </c>
      <c r="AC229" s="21" t="inlineStr">
        <is>
          <t>Not gear-specific</t>
        </is>
      </c>
      <c r="AD229" s="21" t="inlineStr">
        <is>
          <t>Multi-farm regional</t>
        </is>
      </c>
      <c r="AE229" s="21" t="inlineStr">
        <is>
          <t>Variable / seasonal</t>
        </is>
      </c>
      <c r="AF229" s="21" t="inlineStr">
        <is>
          <t>Not specific</t>
        </is>
      </c>
      <c r="AG229" s="21" t="inlineStr">
        <is>
          <t>Visual survey, BRUVs / video</t>
        </is>
      </c>
      <c r="AH229" s="21" t="inlineStr">
        <is>
          <t>Not algae-specific</t>
        </is>
      </c>
      <c r="AI229" s="21" t="inlineStr">
        <is>
          <t>Shallow nearshore (2–10 m)</t>
        </is>
      </c>
      <c r="AJ229" s="21" t="inlineStr">
        <is>
          <t>Sheltered</t>
        </is>
      </c>
      <c r="AK229" s="16" t="inlineStr">
        <is>
          <t>To count the fish and mobile animals using your farm, lay a 50 m tape through the farm (or along the gear) and at [2] nearby unfarmed sites of similar depth, such as bare sediment and seagrass. Swim each tape once, counting and sizing all fish and large mobile animals (octopus, crabs, rays) in a 5 m belt on each side, then swim back searching a 1 m belt on each side for cryptic fish and mobile invertebrates over 2.5 cm, looking into crevices and under clumps; photograph anything you cannot identify. Survey [2–3] transects per site once per season, at the same tide and time of day, and compare counts, species richness and fish biomass (from sizes) between farm and unfarmed sites. Where water is under 1.5 m deep, set baited cameras for 30 minutes instead and record the most fish of each species seen in one frame (MaxN). Poor visibility shrinks the belt, so note it and skip days when you cannot see the belt edges.</t>
        </is>
      </c>
      <c r="AL229" s="17" t="inlineStr">
        <is>
          <t>High</t>
        </is>
      </c>
      <c r="AM229" s="18" t="inlineStr">
        <is>
          <t>tncaustralia_2024_hb121</t>
        </is>
      </c>
      <c r="AN229" s="19" t="n"/>
      <c r="AO229" s="19" t="n"/>
      <c r="AP229" s="19" t="n"/>
      <c r="AQ229" s="16" t="inlineStr">
        <is>
          <t>Mobile-fauna monitoring — Mollusk</t>
        </is>
      </c>
      <c r="AR229" s="16" t="inlineStr">
        <is>
          <t>Bayraktarov, Elisa; Rullens, Vera; Valesini, Fiona; Branigan, Simon; Martinez-Baena, Francisco; Reeves, Simon</t>
        </is>
      </c>
      <c r="AS229" s="16" t="inlineStr">
        <is>
          <t>[2026-10-15 Evaluator v1.8, Appendix 2 of the report] New row (Rule 12: report not in the database). Rule 2 multi-applicability: restoration-reef methods applied to bivalve farms. Rule 14: T4 (diver belt census with ID guides, no lab; as smithsonianmarinegeo_2021). Rule 15 framework basis: Mol H&amp;B 1.2.1: within farm + edge; seasonal (4 visits); 2 locations × 4 visits × 3 replicates = 24; UVC gear only (as smithsonianmarinegeo_2021). AK written from the full read; AL High.  |  [2026-10-16 monitoring-methods pass] AT (Monitoring Methods) set from the protocol's method summary (AK): Baited remote underwater video (BRUV), Epifauna on crop / rope.</t>
        </is>
      </c>
      <c r="AT229" s="21" t="inlineStr">
        <is>
          <t>Baited remote underwater video (BRUV), Epifauna on crop / rope</t>
        </is>
      </c>
    </row>
    <row r="230">
      <c r="A230" s="21" t="inlineStr">
        <is>
          <t>The Nature Conservancy Australia</t>
        </is>
      </c>
      <c r="B230" s="21" t="inlineStr">
        <is>
          <t>Rebuilding Australia's Lost Shellfish Reefs: Reef Builder Monitoring and Evaluation Report</t>
        </is>
      </c>
      <c r="C230" s="21" t="inlineStr">
        <is>
          <t>Report prepared for the Department of Climate Change, Energy, the Environment and Water (Australian Government)</t>
        </is>
      </c>
      <c r="D230" s="21" t="n"/>
      <c r="E230" s="21" t="n"/>
      <c r="F230" s="21" t="n"/>
      <c r="G230" s="21" t="n">
        <v>2024</v>
      </c>
      <c r="H230" s="21" t="inlineStr">
        <is>
          <t>The Nature Conservancy Australia, Melbourne</t>
        </is>
      </c>
      <c r="I230" s="21" t="inlineStr">
        <is>
          <t>Maps to H&amp;B 2.1.1 — Community composition. Restored reef compared with a soft-sediment control ('negative reference') and seagrass, rocky-reef or natural shellfish-reef references ('positive reference') in a randomised, spatially balanced design (six census transects per habitat), before construction and after seeding: RLS Methods 1–2 (fish and mobile invertebrates), Method 3 photoquadrats every 2.5 m scored in Squidle+ (10 points per photo, CATAMI / Australian Morphospecies Catalogue classes) for sessile invertebrates, algae and substrate, and intertidal 0.25 m² quadrat photos and counts. Match: Yes.</t>
        </is>
      </c>
      <c r="J230" s="21" t="inlineStr">
        <is>
          <t>Protocol</t>
        </is>
      </c>
      <c r="K230" s="21" t="inlineStr">
        <is>
          <t>Confirmed standalone (full read of Appendix 2). The reference structure (negative and positive references plus baseline) is the strongest part of the design and gives species richness, abundance, fish biomass and benthic cover by functional group — robust for H&amp;B 2.1.1. Quadrat-photo cover of sessile invertebrates and algae on the reef (epibiota) is folded here rather than given its own row.</t>
        </is>
      </c>
      <c r="L230" s="21" t="inlineStr">
        <is>
          <t>Yes — diver census, photoquadrats scored in free online annotation tools (Squidle+, CoralNet) and quadrat counts need no lab; subtidal work needs SCUBA-qualified divers.</t>
        </is>
      </c>
      <c r="M230" s="21" t="inlineStr">
        <is>
          <t>Yes</t>
        </is>
      </c>
      <c r="N230" s="21" t="inlineStr">
        <is>
          <t>SCUBA or snorkel; 50 m transect tape; slate and datasheets; underwater camera on a framer for ~30 cm photoquadrats; Squidle+ annotation (CATAMI / Australian Morphospecies Catalogue); 0.25 m² quadrats placed from random-number tables at intertidal sites; regional ID guides.</t>
        </is>
      </c>
      <c r="O230" s="21" t="inlineStr">
        <is>
          <t>Low — ~$820 yr 1: $820 start-up (snorkel set $150 [est]; transect tape $40 [est]; slate + datasheets $40 [est]; fish ID guide $30 [est]; field ID kit $80 [est]; action camera + dive housing $430 [list]; PVC camera framer $50 [est]) + no recurring cost</t>
        </is>
      </c>
      <c r="P230" s="21" t="inlineStr">
        <is>
          <t>Multi-year monitoring (&gt; 1 year) — baseline before reef construction and repeat surveys after seeding, 2021–2023</t>
        </is>
      </c>
      <c r="Q230" s="21" t="inlineStr">
        <is>
          <t>Summary statistics (mean ± SD or SE) by location and reef age; indicator trends judged against baseline and benchmark targets (e.g. fish biomass and species richness above baseline); R 4.3.1.</t>
        </is>
      </c>
      <c r="R230" s="21" t="inlineStr">
        <is>
          <t>Yes — Open access (TNC Australia website; Zenodo)</t>
        </is>
      </c>
      <c r="S230" s="21" t="inlineStr">
        <is>
          <t>Full PDF</t>
        </is>
      </c>
      <c r="T230" s="21" t="inlineStr">
        <is>
          <t>https://doi.org/10.5281/zenodo.11516296</t>
        </is>
      </c>
      <c r="U230" s="21" t="inlineStr">
        <is>
          <t>Shellfish-reef restoration programme (reefs seeded with hatchery-reared oysters and mussels grown on aquaculture leases), not farm monitoring; the restored-reef vs soft-sediment control vs seagrass or natural-reef reference design and the Reef Life Survey methods transfer directly to bivalve farms (Rule 2). Method 3 photoquadrat data were collected but not reported.</t>
        </is>
      </c>
      <c r="V230" s="21" t="inlineStr">
        <is>
          <t>Provided by Peter (project file; evaluator run on Appendix 2)</t>
        </is>
      </c>
      <c r="W230" s="10" t="inlineStr">
        <is>
          <t>4 — Practitioner</t>
        </is>
      </c>
      <c r="X230" s="21" t="inlineStr">
        <is>
          <t>Mollusk</t>
        </is>
      </c>
      <c r="Y230" s="21" t="inlineStr">
        <is>
          <t>Habitat &amp; Biodiversity</t>
        </is>
      </c>
      <c r="Z230" s="21" t="inlineStr">
        <is>
          <t>H&amp;B 2.1.1 — Community composition</t>
        </is>
      </c>
      <c r="AA230" s="21" t="inlineStr">
        <is>
          <t>Cross-zone / global</t>
        </is>
      </c>
      <c r="AB230" s="21" t="inlineStr">
        <is>
          <t>Native oyster — other / unspecified, Sydney rock oyster (Saccostrea glomerata), Mediterranean mussel (Mytilus galloprovincialis)</t>
        </is>
      </c>
      <c r="AC230" s="21" t="inlineStr">
        <is>
          <t>Not gear-specific</t>
        </is>
      </c>
      <c r="AD230" s="21" t="inlineStr">
        <is>
          <t>Multi-farm regional</t>
        </is>
      </c>
      <c r="AE230" s="21" t="inlineStr">
        <is>
          <t>Variable / seasonal</t>
        </is>
      </c>
      <c r="AF230" s="21" t="inlineStr">
        <is>
          <t>Not specific</t>
        </is>
      </c>
      <c r="AG230" s="21" t="inlineStr">
        <is>
          <t>Visual survey</t>
        </is>
      </c>
      <c r="AH230" s="21" t="inlineStr">
        <is>
          <t>Not algae-specific</t>
        </is>
      </c>
      <c r="AI230" s="21" t="inlineStr">
        <is>
          <t>Shallow nearshore (2–10 m)</t>
        </is>
      </c>
      <c r="AJ230" s="21" t="inlineStr">
        <is>
          <t>Sheltered</t>
        </is>
      </c>
      <c r="AK230" s="16" t="inlineStr">
        <is>
          <t>To compare the community on your farm with nearby unfarmed habitat, set up [3] 50 m transects in the farm and [3] in each of two references at similar depth: bare sediment (what the area would be without the farm) and, if present, a natural structured habitat such as seagrass or a natural shellfish bed. Survey before stocking if you can, then once per season: count and size fish in a 5 m belt each side of the tape, count mobile invertebrates and cryptic fish in a 1 m belt each side, and photograph the bottom every 2.5 m with a camera on a framer. Score ten random points per photo for algae, sessile animals and substrate in a free annotation tool (Squidle+ or CoralNet). Compare species richness, counts, fish biomass and cover between farm and references over time, spacing transects so they are independent and surveying all sites on the same day and tide.</t>
        </is>
      </c>
      <c r="AL230" s="17" t="inlineStr">
        <is>
          <t>High</t>
        </is>
      </c>
      <c r="AM230" s="18" t="inlineStr">
        <is>
          <t>tncaustralia_2024_hb211</t>
        </is>
      </c>
      <c r="AN230" s="19" t="n"/>
      <c r="AO230" s="19" t="n"/>
      <c r="AP230" s="19" t="n"/>
      <c r="AQ230" s="16" t="inlineStr">
        <is>
          <t>Community-composition survey — Mollusk</t>
        </is>
      </c>
      <c r="AR230" s="16" t="inlineStr">
        <is>
          <t>Bayraktarov, Elisa; Rullens, Vera; Valesini, Fiona; Branigan, Simon; Martinez-Baena, Francisco; Reeves, Simon</t>
        </is>
      </c>
      <c r="AS230" s="16" t="inlineStr">
        <is>
          <t>[2026-10-15 Evaluator v1.8, Appendix 2 of the report] New row (Rule 12: report not in the database). Rule 2 as tncaustralia_2024_hb121. Rule 14: T4 (diver census and photoquadrat point scoring in free software, no lab). Rule 15 framework basis: Mol H&amp;B 2.1.1: 2 farm strata + 2 nearby non-farm refs; seasonal (4 visits); 4 locations × 4 visits × 3 replicates = 48; UVC gear plus photoquadrat camera and framer, lab fee waived (field-identifiable taxa, point counts). AK written; AL High.  |  [2026-10-16 monitoring-methods pass] AT (Monitoring Methods) set from the protocol's method summary (AK): Time-lapse / GoPro cameras, Epifauna on crop / rope.</t>
        </is>
      </c>
      <c r="AT230" s="21" t="inlineStr">
        <is>
          <t>Time-lapse / GoPro cameras, Epifauna on crop / rope</t>
        </is>
      </c>
    </row>
  </sheetData>
  <dataValidations count="9">
    <dataValidation sqref="AA2:AA1000" showDropDown="0" showInputMessage="0" showErrorMessage="1" allowBlank="1" errorTitle="Invalid value" error="Please choose from the Climate Zone list on the Vocabularies tab." type="list">
      <formula1>=Vocabularies!$D$7:$D$62</formula1>
    </dataValidation>
    <dataValidation sqref="AC2:AC1000" showDropDown="0" showInputMessage="0" showErrorMessage="1" allowBlank="1" errorTitle="Invalid value" error="Please choose from the Farm Structure list on the Vocabularies tab." type="list">
      <formula1>=Vocabularies!$F$7:$F$66</formula1>
    </dataValidation>
    <dataValidation sqref="AD2:AD1000" showDropDown="0" showInputMessage="0" showErrorMessage="1" allowBlank="1" errorTitle="Invalid value" error="Please choose from the Farm Scale list on the Vocabularies tab." type="list">
      <formula1>=Vocabularies!$G$7:$G$61</formula1>
    </dataValidation>
    <dataValidation sqref="AE2:AE1000" showDropDown="0" showInputMessage="0" showErrorMessage="1" allowBlank="1" errorTitle="Invalid value" error="Please choose from the Water Clarity list on the Vocabularies tab." type="list">
      <formula1>=Vocabularies!$H$7:$H$60</formula1>
    </dataValidation>
    <dataValidation sqref="AF2:AF1000" showDropDown="0" showInputMessage="0" showErrorMessage="1" allowBlank="1" errorTitle="Invalid value" error="Please choose from the Co-culture Context list on the Vocabularies tab." type="list">
      <formula1>=Vocabularies!$I$7:$I$62</formula1>
    </dataValidation>
    <dataValidation sqref="P2:P1000" showDropDown="0" showInputMessage="0" showErrorMessage="1" allowBlank="1" errorTitle="Invalid value" error="Please choose from the Sampling Effort list on the Vocabularies tab." type="list">
      <formula1>=Vocabularies!$N$7:$N$64</formula1>
    </dataValidation>
    <dataValidation sqref="AI2:AI1000" showDropDown="0" showInputMessage="0" showErrorMessage="1" allowBlank="1" errorTitle="Invalid value" error="Please choose from the Site Depth list on the Vocabularies tab." type="list">
      <formula1>=Vocabularies!$L$7:$L$62</formula1>
    </dataValidation>
    <dataValidation sqref="AJ2:AJ1000" showDropDown="0" showInputMessage="0" showErrorMessage="1" allowBlank="1" errorTitle="Invalid value" error="Please choose from the Wave Energy list on the Vocabularies tab." type="list">
      <formula1>=Vocabularies!$M$7:$M$61</formula1>
    </dataValidation>
    <dataValidation sqref="S2:S1000" showDropDown="0" showInputMessage="0" showErrorMessage="0" allowBlank="1" type="list">
      <formula1>=Vocabularies!$O$7:$O$12</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P62"/>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8" customWidth="1" min="11" max="11"/>
    <col width="38" customWidth="1" min="12" max="12"/>
    <col width="38" customWidth="1" min="13" max="13"/>
    <col width="38" customWidth="1" min="14" max="14"/>
    <col width="32" customWidth="1" min="15" max="15"/>
    <col width="42" customWidth="1" min="16" max="16"/>
  </cols>
  <sheetData>
    <row r="1">
      <c r="A1" s="13" t="inlineStr">
        <is>
          <t>TAG VOCABULARIES</t>
        </is>
      </c>
    </row>
    <row r="2" ht="60" customHeight="1">
      <c r="A2" s="14" t="inlineStr">
        <is>
          <t>These lists define the controlled vocabulary for each tag column in the main "in" sheet. Adding a new value here makes it available in the dropdown for that tag. When renaming a value, also use Find &amp; Replace on the "in" sheet to update existing rows. Single-select tags are enforced with data validation (dropdown). Multi-select tags (MEL Goal, MEL Indicator, Method Category) accept comma-separated values and are not enforced.</t>
        </is>
      </c>
    </row>
    <row r="3"/>
    <row r="4"/>
    <row r="5"/>
    <row r="6">
      <c r="A6" s="12" t="inlineStr">
        <is>
          <t>Aquaculture Type</t>
        </is>
      </c>
      <c r="B6" s="12" t="inlineStr">
        <is>
          <t>MEL Goal</t>
        </is>
      </c>
      <c r="C6" s="12" t="inlineStr">
        <is>
          <t>MEL Indicator</t>
        </is>
      </c>
      <c r="D6" s="12" t="inlineStr">
        <is>
          <t>Climate Zone</t>
        </is>
      </c>
      <c r="E6" s="12" t="inlineStr">
        <is>
          <t>Cultivated Species</t>
        </is>
      </c>
      <c r="F6" s="12" t="inlineStr">
        <is>
          <t>Farm Structure</t>
        </is>
      </c>
      <c r="G6" s="12" t="inlineStr">
        <is>
          <t>Farm Scale</t>
        </is>
      </c>
      <c r="H6" s="12" t="inlineStr">
        <is>
          <t>Water Clarity</t>
        </is>
      </c>
      <c r="I6" s="12" t="inlineStr">
        <is>
          <t>Co-culture Context</t>
        </is>
      </c>
      <c r="J6" s="12" t="inlineStr">
        <is>
          <t>Method Category</t>
        </is>
      </c>
      <c r="K6" s="12" t="inlineStr">
        <is>
          <t>Algae Type</t>
        </is>
      </c>
      <c r="L6" s="12" t="inlineStr">
        <is>
          <t>Site Depth</t>
        </is>
      </c>
      <c r="M6" s="12" t="inlineStr">
        <is>
          <t>Wave Energy</t>
        </is>
      </c>
      <c r="N6" s="12" t="inlineStr">
        <is>
          <t>Sampling Effort</t>
        </is>
      </c>
      <c r="O6" s="12" t="inlineStr">
        <is>
          <t>Source Read</t>
        </is>
      </c>
      <c r="P6" s="12" t="inlineStr">
        <is>
          <t>Monitoring Methods</t>
        </is>
      </c>
    </row>
    <row r="7">
      <c r="A7" s="15" t="inlineStr">
        <is>
          <t>Seaweed</t>
        </is>
      </c>
      <c r="B7" s="15" t="inlineStr">
        <is>
          <t>Habitat &amp; Biodiversity</t>
        </is>
      </c>
      <c r="C7" s="15" t="inlineStr">
        <is>
          <t>H&amp;B 1.1.1 — Epibiota</t>
        </is>
      </c>
      <c r="D7" s="15" t="inlineStr">
        <is>
          <t>Tropical</t>
        </is>
      </c>
      <c r="E7" s="15" t="inlineStr">
        <is>
          <t>Saccharina (sugar kelp)</t>
        </is>
      </c>
      <c r="F7" s="15" t="inlineStr">
        <is>
          <t>Longline (surface)</t>
        </is>
      </c>
      <c r="G7" s="15" t="inlineStr">
        <is>
          <t>Small (&lt;1 ha)</t>
        </is>
      </c>
      <c r="H7" s="15" t="inlineStr">
        <is>
          <t>Turbid (visual methods limited)</t>
        </is>
      </c>
      <c r="I7" s="15" t="inlineStr">
        <is>
          <t>Monoculture</t>
        </is>
      </c>
      <c r="J7" s="15" t="inlineStr">
        <is>
          <t>Visual survey</t>
        </is>
      </c>
      <c r="K7" s="15" t="inlineStr">
        <is>
          <t>Brown</t>
        </is>
      </c>
      <c r="L7" s="15" t="inlineStr">
        <is>
          <t>Intertidal / very shallow (&lt; 2 m)</t>
        </is>
      </c>
      <c r="M7" s="15" t="inlineStr">
        <is>
          <t>Sheltered</t>
        </is>
      </c>
      <c r="N7" s="15" t="inlineStr">
        <is>
          <t>Single deployment (hours to 1 day)</t>
        </is>
      </c>
      <c r="O7" t="inlineStr">
        <is>
          <t>Full PDF</t>
        </is>
      </c>
      <c r="P7" s="21" t="inlineStr">
        <is>
          <t>Temperature / salinity</t>
        </is>
      </c>
    </row>
    <row r="8">
      <c r="A8" s="15" t="inlineStr">
        <is>
          <t>Mollusk</t>
        </is>
      </c>
      <c r="B8" s="15" t="inlineStr">
        <is>
          <t>Water Quality</t>
        </is>
      </c>
      <c r="C8" s="15" t="inlineStr">
        <is>
          <t>H&amp;B 1.2.1 — Mobile fauna</t>
        </is>
      </c>
      <c r="D8" s="15" t="inlineStr">
        <is>
          <t>Subtropical</t>
        </is>
      </c>
      <c r="E8" s="15" t="inlineStr">
        <is>
          <t>Alaria</t>
        </is>
      </c>
      <c r="F8" s="15" t="inlineStr">
        <is>
          <t>Longline (subsurface)</t>
        </is>
      </c>
      <c r="G8" s="15" t="inlineStr">
        <is>
          <t>Medium (1–20 ha)</t>
        </is>
      </c>
      <c r="H8" s="15" t="inlineStr">
        <is>
          <t>Variable / seasonal</t>
        </is>
      </c>
      <c r="I8" s="15" t="inlineStr">
        <is>
          <t>Seaweed + shellfish</t>
        </is>
      </c>
      <c r="J8" s="15" t="inlineStr">
        <is>
          <t>BRUVs / video</t>
        </is>
      </c>
      <c r="K8" s="15" t="inlineStr">
        <is>
          <t>Red</t>
        </is>
      </c>
      <c r="L8" s="15" t="inlineStr">
        <is>
          <t>Shallow nearshore (2–10 m)</t>
        </is>
      </c>
      <c r="M8" s="15" t="inlineStr">
        <is>
          <t>Semi-exposed</t>
        </is>
      </c>
      <c r="N8" s="15" t="inlineStr">
        <is>
          <t>Short campaign (days to 2 weeks)</t>
        </is>
      </c>
      <c r="O8" t="inlineStr">
        <is>
          <t>Abstract + DOI metadata</t>
        </is>
      </c>
      <c r="P8" s="21" t="inlineStr">
        <is>
          <t>Dissolved oxygen</t>
        </is>
      </c>
    </row>
    <row r="9">
      <c r="A9" s="15" t="inlineStr">
        <is>
          <t>Echinoderm</t>
        </is>
      </c>
      <c r="B9" s="15" t="inlineStr">
        <is>
          <t>Climate Change</t>
        </is>
      </c>
      <c r="C9" s="15" t="inlineStr">
        <is>
          <t>H&amp;B 1.3.1 — Benthic infauna</t>
        </is>
      </c>
      <c r="D9" s="15" t="inlineStr">
        <is>
          <t>Temperate Atlantic</t>
        </is>
      </c>
      <c r="E9" s="15" t="inlineStr">
        <is>
          <t>Laminaria spp.</t>
        </is>
      </c>
      <c r="F9" s="15" t="inlineStr">
        <is>
          <t>Raft / floating</t>
        </is>
      </c>
      <c r="G9" s="15" t="inlineStr">
        <is>
          <t>Large (&gt;20 ha)</t>
        </is>
      </c>
      <c r="H9" s="15" t="inlineStr">
        <is>
          <t>Clear (visual methods feasible)</t>
        </is>
      </c>
      <c r="I9" s="15" t="inlineStr">
        <is>
          <t>Seaweed + finfish</t>
        </is>
      </c>
      <c r="J9" s="15" t="inlineStr">
        <is>
          <t>eDNA</t>
        </is>
      </c>
      <c r="K9" s="15" t="inlineStr">
        <is>
          <t>Green</t>
        </is>
      </c>
      <c r="L9" s="15" t="inlineStr">
        <is>
          <t>Coastal (10–30 m)</t>
        </is>
      </c>
      <c r="M9" s="15" t="inlineStr">
        <is>
          <t>Exposed</t>
        </is>
      </c>
      <c r="N9" s="15" t="inlineStr">
        <is>
          <t>Seasonal (1–3 months)</t>
        </is>
      </c>
      <c r="O9" t="inlineStr">
        <is>
          <t>Abstract only</t>
        </is>
      </c>
      <c r="P9" s="21" t="inlineStr">
        <is>
          <t>pH</t>
        </is>
      </c>
    </row>
    <row r="10">
      <c r="A10" s="15" t="inlineStr">
        <is>
          <t>Finfish</t>
        </is>
      </c>
      <c r="B10" s="15" t="inlineStr">
        <is>
          <t>Cross-cutting / Framework</t>
        </is>
      </c>
      <c r="C10" s="15" t="inlineStr">
        <is>
          <t>H&amp;B 1.4.1 — Sediment</t>
        </is>
      </c>
      <c r="D10" s="15" t="inlineStr">
        <is>
          <t>Temperate Pacific</t>
        </is>
      </c>
      <c r="E10" s="15" t="inlineStr">
        <is>
          <t>Macrocystis</t>
        </is>
      </c>
      <c r="F10" s="15" t="inlineStr">
        <is>
          <t>Off-bottom (monoline / pegs)</t>
        </is>
      </c>
      <c r="G10" s="15" t="inlineStr">
        <is>
          <t>Multi-farm regional</t>
        </is>
      </c>
      <c r="H10" s="15" t="inlineStr">
        <is>
          <t>Not site-specific</t>
        </is>
      </c>
      <c r="I10" s="15" t="inlineStr">
        <is>
          <t>Shellfish + finfish</t>
        </is>
      </c>
      <c r="J10" s="15" t="inlineStr">
        <is>
          <t>Sediment sampling</t>
        </is>
      </c>
      <c r="K10" s="15" t="inlineStr">
        <is>
          <t>Multi-type</t>
        </is>
      </c>
      <c r="L10" s="15" t="inlineStr">
        <is>
          <t>Offshore deep (&gt; 30 m)</t>
        </is>
      </c>
      <c r="M10" s="15" t="inlineStr">
        <is>
          <t>High-energy offshore</t>
        </is>
      </c>
      <c r="N10" s="15" t="inlineStr">
        <is>
          <t>Multi-season (3–9 months)</t>
        </is>
      </c>
      <c r="O10" t="inlineStr">
        <is>
          <t>DOI only (no abstract retrieved)</t>
        </is>
      </c>
      <c r="P10" s="21" t="inlineStr">
        <is>
          <t>Water clarity / turbidity (Secchi)</t>
        </is>
      </c>
    </row>
    <row r="11">
      <c r="A11" s="15" t="inlineStr">
        <is>
          <t>Multi-trophic (IMTA)</t>
        </is>
      </c>
      <c r="C11" s="15" t="inlineStr">
        <is>
          <t>H&amp;B 2.1.1 — Community composition</t>
        </is>
      </c>
      <c r="D11" s="15" t="inlineStr">
        <is>
          <t>Boreal / Arctic</t>
        </is>
      </c>
      <c r="E11" s="15" t="inlineStr">
        <is>
          <t>Porphyra / Pyropia (nori/laver)</t>
        </is>
      </c>
      <c r="F11" s="15" t="inlineStr">
        <is>
          <t>Bottom culture</t>
        </is>
      </c>
      <c r="G11" s="15" t="inlineStr">
        <is>
          <t>Not scale-specific</t>
        </is>
      </c>
      <c r="I11" s="15" t="inlineStr">
        <is>
          <t>Three-trophic IMTA</t>
        </is>
      </c>
      <c r="J11" s="15" t="inlineStr">
        <is>
          <t>Water chemistry</t>
        </is>
      </c>
      <c r="K11" s="15" t="inlineStr">
        <is>
          <t>Not algae-specific</t>
        </is>
      </c>
      <c r="L11" s="15" t="inlineStr">
        <is>
          <t>Land-based / tank</t>
        </is>
      </c>
      <c r="M11" s="15" t="inlineStr">
        <is>
          <t>Not exposure-specific</t>
        </is>
      </c>
      <c r="N11" s="15" t="inlineStr">
        <is>
          <t>Year-long study (12 months)</t>
        </is>
      </c>
      <c r="O11" t="inlineStr">
        <is>
          <t>Title only (no abstract or DOI)</t>
        </is>
      </c>
      <c r="P11" s="21" t="inlineStr">
        <is>
          <t>Dissolved nutrients (N &amp; P)</t>
        </is>
      </c>
    </row>
    <row r="12">
      <c r="A12" s="15" t="inlineStr">
        <is>
          <t>Not specific</t>
        </is>
      </c>
      <c r="C12" s="15" t="inlineStr">
        <is>
          <t>H&amp;B 2.2.1 — Spawning</t>
        </is>
      </c>
      <c r="D12" s="15" t="inlineStr">
        <is>
          <t>Cross-zone / global</t>
        </is>
      </c>
      <c r="E12" s="15" t="inlineStr">
        <is>
          <t>Gracilaria</t>
        </is>
      </c>
      <c r="F12" s="15" t="inlineStr">
        <is>
          <t>Land-based tank or pond</t>
        </is>
      </c>
      <c r="I12" s="15" t="inlineStr">
        <is>
          <t>Not specific</t>
        </is>
      </c>
      <c r="J12" s="15" t="inlineStr">
        <is>
          <t>Tissue analysis</t>
        </is>
      </c>
      <c r="K12" s="15" t="inlineStr">
        <is>
          <t>Not applicable</t>
        </is>
      </c>
      <c r="L12" s="15" t="inlineStr">
        <is>
          <t>Not depth-specific</t>
        </is>
      </c>
      <c r="N12" s="15" t="inlineStr">
        <is>
          <t>Multi-year monitoring (&gt; 1 year)</t>
        </is>
      </c>
      <c r="O12" t="inlineStr">
        <is>
          <t>Not yet evaluated</t>
        </is>
      </c>
      <c r="P12" s="21" t="inlineStr">
        <is>
          <t>Total nitrogen / total phosphorus</t>
        </is>
      </c>
    </row>
    <row r="13">
      <c r="C13" s="15" t="inlineStr">
        <is>
          <t>WQ 1.1.1 — N and P bioextraction</t>
        </is>
      </c>
      <c r="E13" s="15" t="inlineStr">
        <is>
          <t>Kappaphycus / Eucheuma</t>
        </is>
      </c>
      <c r="F13" s="15" t="inlineStr">
        <is>
          <t>IMTA infrastructure</t>
        </is>
      </c>
      <c r="J13" s="15" t="inlineStr">
        <is>
          <t>Carbonate chemistry</t>
        </is>
      </c>
      <c r="N13" s="15" t="inlineStr">
        <is>
          <t>Continuous (sensor / autonomous)</t>
        </is>
      </c>
      <c r="P13" s="21" t="inlineStr">
        <is>
          <t>Chlorophyll-a (water)</t>
        </is>
      </c>
    </row>
    <row r="14">
      <c r="C14" s="15" t="inlineStr">
        <is>
          <t>WQ 1.2.1 — Dissolved oxygen</t>
        </is>
      </c>
      <c r="E14" s="15" t="inlineStr">
        <is>
          <t>Ulva (sea lettuce)</t>
        </is>
      </c>
      <c r="F14" s="15" t="inlineStr">
        <is>
          <t>Floating cage / tray</t>
        </is>
      </c>
      <c r="J14" s="15" t="inlineStr">
        <is>
          <t>Modelling</t>
        </is>
      </c>
      <c r="N14" s="15" t="inlineStr">
        <is>
          <t>One-time (no sampling — desk-based)</t>
        </is>
      </c>
      <c r="P14" s="21" t="inlineStr">
        <is>
          <t>Suspended solids (TSS / SPM)</t>
        </is>
      </c>
    </row>
    <row r="15">
      <c r="C15" s="15" t="inlineStr">
        <is>
          <t>WQ 2.1.1 — Chlorophyll-a</t>
        </is>
      </c>
      <c r="E15" s="15" t="inlineStr">
        <is>
          <t>Hizikia / Sargassum</t>
        </is>
      </c>
      <c r="F15" s="15" t="inlineStr">
        <is>
          <t>Bouchot / pole culture</t>
        </is>
      </c>
      <c r="J15" s="15" t="inlineStr">
        <is>
          <t>Remote sensing</t>
        </is>
      </c>
      <c r="N15" s="15" t="inlineStr">
        <is>
          <t>Not time-specific</t>
        </is>
      </c>
      <c r="P15" s="21" t="inlineStr">
        <is>
          <t>Dissolved / total organic carbon</t>
        </is>
      </c>
    </row>
    <row r="16">
      <c r="C16" s="15" t="inlineStr">
        <is>
          <t>WQ 2.1.2 — Microorganisms</t>
        </is>
      </c>
      <c r="E16" s="15" t="inlineStr">
        <is>
          <t>Caulerpa</t>
        </is>
      </c>
      <c r="F16" s="15" t="inlineStr">
        <is>
          <t>Intertidal rack-and-bag</t>
        </is>
      </c>
      <c r="J16" s="15" t="inlineStr">
        <is>
          <t>Acoustic</t>
        </is>
      </c>
      <c r="P16" s="21" t="inlineStr">
        <is>
          <t>BOD / COD</t>
        </is>
      </c>
    </row>
    <row r="17">
      <c r="C17" s="15" t="inlineStr">
        <is>
          <t>CC 1.1.1 — Cradle-to-grave GHG</t>
        </is>
      </c>
      <c r="E17" s="15" t="inlineStr">
        <is>
          <t>Undaria (wakame)</t>
        </is>
      </c>
      <c r="F17" t="inlineStr">
        <is>
          <t>Trestle / trays (intertidal)</t>
        </is>
      </c>
      <c r="J17" s="15" t="inlineStr">
        <is>
          <t>Mixed methods</t>
        </is>
      </c>
      <c r="P17" s="21" t="inlineStr">
        <is>
          <t>Carbonate system (pH / OA)</t>
        </is>
      </c>
    </row>
    <row r="18">
      <c r="C18" s="15" t="inlineStr">
        <is>
          <t>CC 1.2.1 — Carbon cycling</t>
        </is>
      </c>
      <c r="E18" s="15" t="inlineStr">
        <is>
          <t>Pacific oyster (Crassostrea / Magallana gigas)</t>
        </is>
      </c>
      <c r="F18" t="inlineStr">
        <is>
          <t>On-bottom cages</t>
        </is>
      </c>
      <c r="P18" s="21" t="inlineStr">
        <is>
          <t>Faecal coliforms / E. coli</t>
        </is>
      </c>
    </row>
    <row r="19">
      <c r="C19" s="15" t="inlineStr">
        <is>
          <t>CC 2.1.1 — pH / ocean acidification</t>
        </is>
      </c>
      <c r="E19" s="15" t="inlineStr">
        <is>
          <t>Eastern oyster (Crassostrea virginica)</t>
        </is>
      </c>
      <c r="F19" t="inlineStr">
        <is>
          <t>Suspended lantern net</t>
        </is>
      </c>
      <c r="P19" s="21" t="inlineStr">
        <is>
          <t>Continuous moored sensors</t>
        </is>
      </c>
    </row>
    <row r="20">
      <c r="C20" s="15" t="inlineStr">
        <is>
          <t>Cross-cutting / framework</t>
        </is>
      </c>
      <c r="E20" s="15" t="inlineStr">
        <is>
          <t>European flat oyster (Ostrea edulis)</t>
        </is>
      </c>
      <c r="F20" t="inlineStr">
        <is>
          <t>Suspended longline (mussel)</t>
        </is>
      </c>
      <c r="P20" s="21" t="inlineStr">
        <is>
          <t>Grain size / particle size</t>
        </is>
      </c>
    </row>
    <row r="21">
      <c r="C21" s="15" t="inlineStr">
        <is>
          <t>Not in MEL framework</t>
        </is>
      </c>
      <c r="E21" t="inlineStr">
        <is>
          <t>Olympia oyster (Ostrea lurida)</t>
        </is>
      </c>
      <c r="F21" t="inlineStr">
        <is>
          <t>Pearl net / spat collector</t>
        </is>
      </c>
      <c r="P21" s="21" t="inlineStr">
        <is>
          <t>Sediment chemistry (OC / TN / redox / AVS)</t>
        </is>
      </c>
    </row>
    <row r="22">
      <c r="E22" t="inlineStr">
        <is>
          <t>Sydney rock oyster (Saccostrea glomerata)</t>
        </is>
      </c>
      <c r="F22" t="inlineStr">
        <is>
          <t>Floating bag (oyster)</t>
        </is>
      </c>
      <c r="P22" s="21" t="inlineStr">
        <is>
          <t>Benthic infauna community</t>
        </is>
      </c>
    </row>
    <row r="23">
      <c r="E23" t="inlineStr">
        <is>
          <t>Native oyster — other / unspecified</t>
        </is>
      </c>
      <c r="F23" t="inlineStr">
        <is>
          <t>Mixed</t>
        </is>
      </c>
      <c r="P23" s="21" t="inlineStr">
        <is>
          <t>Sediment / benthic flux incubation</t>
        </is>
      </c>
    </row>
    <row r="24">
      <c r="E24" t="inlineStr">
        <is>
          <t>Blue mussel (Mytilus edulis)</t>
        </is>
      </c>
      <c r="F24" t="inlineStr">
        <is>
          <t>Not gear-specific</t>
        </is>
      </c>
      <c r="P24" s="21" t="inlineStr">
        <is>
          <t>Biodeposition traps</t>
        </is>
      </c>
    </row>
    <row r="25">
      <c r="E25" t="inlineStr">
        <is>
          <t>Mediterranean mussel (Mytilus galloprovincialis)</t>
        </is>
      </c>
      <c r="P25" s="21" t="inlineStr">
        <is>
          <t>Sediment-profile imaging (SPI)</t>
        </is>
      </c>
    </row>
    <row r="26">
      <c r="E26" t="inlineStr">
        <is>
          <t>Green-lipped mussel (Perna canaliculus)</t>
        </is>
      </c>
      <c r="P26" s="21" t="inlineStr">
        <is>
          <t>MOM-B condition survey</t>
        </is>
      </c>
    </row>
    <row r="27">
      <c r="E27" t="inlineStr">
        <is>
          <t>Manila clam (Ruditapes philippinarum)</t>
        </is>
      </c>
      <c r="P27" s="21" t="inlineStr">
        <is>
          <t>Bed stability / erosion</t>
        </is>
      </c>
    </row>
    <row r="28">
      <c r="E28" t="inlineStr">
        <is>
          <t>Native clam — other / unspecified</t>
        </is>
      </c>
      <c r="P28" s="21" t="inlineStr">
        <is>
          <t>Visual census / belt transects</t>
        </is>
      </c>
    </row>
    <row r="29">
      <c r="E29" t="inlineStr">
        <is>
          <t>Scallop (Pecten / Argopecten / Placopecten spp.)</t>
        </is>
      </c>
      <c r="P29" s="21" t="inlineStr">
        <is>
          <t>Baited remote underwater video (BRUV)</t>
        </is>
      </c>
    </row>
    <row r="30">
      <c r="E30" t="inlineStr">
        <is>
          <t>Abalone (Haliotis spp.)</t>
        </is>
      </c>
      <c r="P30" s="21" t="inlineStr">
        <is>
          <t>Time-lapse / GoPro cameras</t>
        </is>
      </c>
    </row>
    <row r="31">
      <c r="E31" t="inlineStr">
        <is>
          <t>Bay mussel (Mytilus trossulus)</t>
        </is>
      </c>
      <c r="P31" s="21" t="inlineStr">
        <is>
          <t>Towed video / ROV</t>
        </is>
      </c>
    </row>
    <row r="32">
      <c r="E32" t="inlineStr">
        <is>
          <t>Brown mussel (Perna perna)</t>
        </is>
      </c>
      <c r="P32" s="21" t="inlineStr">
        <is>
          <t>Epibiota on lines / structures</t>
        </is>
      </c>
    </row>
    <row r="33">
      <c r="E33" t="inlineStr">
        <is>
          <t>Chilean mussel (Mytilus chilensis)</t>
        </is>
      </c>
      <c r="P33" s="21" t="inlineStr">
        <is>
          <t>Epifauna on crop / rope</t>
        </is>
      </c>
    </row>
    <row r="34">
      <c r="E34" t="inlineStr">
        <is>
          <t>Chilean oyster (Tiostrea chilensis / Ostrea chilensis)</t>
        </is>
      </c>
      <c r="P34" s="21" t="inlineStr">
        <is>
          <t>Settlement plates / artificial substrata</t>
        </is>
      </c>
    </row>
    <row r="35">
      <c r="E35" t="inlineStr">
        <is>
          <t>Peruvian scallop (Argopecten purpuratus)</t>
        </is>
      </c>
      <c r="P35" s="21" t="inlineStr">
        <is>
          <t>Invertebrate collectors / fauna traps</t>
        </is>
      </c>
    </row>
    <row r="36">
      <c r="E36" t="inlineStr">
        <is>
          <t>Saucer scallop (Amusium / Ylistrum balloti)</t>
        </is>
      </c>
      <c r="P36" s="21" t="inlineStr">
        <is>
          <t>Nets &amp; baited traps</t>
        </is>
      </c>
    </row>
    <row r="37">
      <c r="E37" t="inlineStr">
        <is>
          <t>Multi-species / mixed</t>
        </is>
      </c>
      <c r="P37" s="21" t="inlineStr">
        <is>
          <t>Bird / shorebird counts</t>
        </is>
      </c>
    </row>
    <row r="38">
      <c r="E38" t="inlineStr">
        <is>
          <t>Not species-specific</t>
        </is>
      </c>
      <c r="P38" s="21" t="inlineStr">
        <is>
          <t>Water eDNA</t>
        </is>
      </c>
    </row>
    <row r="39">
      <c r="E39" t="inlineStr">
        <is>
          <t>Other</t>
        </is>
      </c>
      <c r="P39" s="21" t="inlineStr">
        <is>
          <t>Settlement-plate DNA metabarcoding</t>
        </is>
      </c>
    </row>
    <row r="40">
      <c r="P40" s="21" t="inlineStr">
        <is>
          <t>Tissue elemental (CHN) analysis</t>
        </is>
      </c>
    </row>
    <row r="41">
      <c r="P41" s="21" t="inlineStr">
        <is>
          <t>Stable isotopes (d13C / d15N)</t>
        </is>
      </c>
    </row>
    <row r="42">
      <c r="P42" s="21" t="inlineStr">
        <is>
          <t>Bivalve condition index / growth</t>
        </is>
      </c>
    </row>
    <row r="43">
      <c r="P43" s="21" t="inlineStr">
        <is>
          <t>Excretion (ammonium)</t>
        </is>
      </c>
    </row>
    <row r="44">
      <c r="P44" s="21" t="inlineStr">
        <is>
          <t>Biosensor / valve-gape tag</t>
        </is>
      </c>
    </row>
    <row r="45">
      <c r="P45" s="21" t="inlineStr">
        <is>
          <t>Phytoplankton community (microscopy)</t>
        </is>
      </c>
    </row>
    <row r="46">
      <c r="P46" s="21" t="inlineStr">
        <is>
          <t>Zooplankton net haul</t>
        </is>
      </c>
    </row>
    <row r="47">
      <c r="P47" s="21" t="inlineStr">
        <is>
          <t>Flow cytometry</t>
        </is>
      </c>
    </row>
    <row r="48">
      <c r="P48" s="21" t="inlineStr">
        <is>
          <t>Size-fractionated pigments (HPLC)</t>
        </is>
      </c>
    </row>
    <row r="49">
      <c r="P49" s="21" t="inlineStr">
        <is>
          <t>Clearance-rate / filtration assays</t>
        </is>
      </c>
    </row>
    <row r="50">
      <c r="P50" s="21" t="inlineStr">
        <is>
          <t>Satellite ocean colour (chl-a)</t>
        </is>
      </c>
    </row>
    <row r="51">
      <c r="P51" s="21" t="inlineStr">
        <is>
          <t>Drone / UAV imagery</t>
        </is>
      </c>
    </row>
    <row r="52">
      <c r="P52" s="21" t="inlineStr">
        <is>
          <t>Farm / bloom extent mapping</t>
        </is>
      </c>
    </row>
    <row r="53">
      <c r="P53" s="21" t="inlineStr">
        <is>
          <t>ADCP (currents / waves)</t>
        </is>
      </c>
    </row>
    <row r="54">
      <c r="P54" s="21" t="inlineStr">
        <is>
          <t>ADV (turbulent flow / bed shear)</t>
        </is>
      </c>
    </row>
    <row r="55">
      <c r="P55" s="21" t="inlineStr">
        <is>
          <t>Wave-tide recorder</t>
        </is>
      </c>
    </row>
    <row r="56">
      <c r="P56" s="21" t="inlineStr">
        <is>
          <t>Passive acoustic (marine mammals)</t>
        </is>
      </c>
    </row>
    <row r="57">
      <c r="P57" s="21" t="inlineStr">
        <is>
          <t>Site exposure characterisation</t>
        </is>
      </c>
    </row>
    <row r="58">
      <c r="P58" s="21" t="inlineStr">
        <is>
          <t>GIS siting / carrying capacity</t>
        </is>
      </c>
    </row>
    <row r="59">
      <c r="P59" s="21" t="inlineStr">
        <is>
          <t>Hydrodynamic + particle tracking</t>
        </is>
      </c>
    </row>
    <row r="60">
      <c r="P60" s="21" t="inlineStr">
        <is>
          <t>Coupled biogeochemical / DEB model</t>
        </is>
      </c>
    </row>
    <row r="61">
      <c r="P61" s="21" t="inlineStr">
        <is>
          <t>Wave-attenuation model</t>
        </is>
      </c>
    </row>
    <row r="62">
      <c r="P62" s="21" t="inlineStr">
        <is>
          <t>Nutrient mass-balance / budget</t>
        </is>
      </c>
    </row>
  </sheetData>
  <mergeCells count="2">
    <mergeCell ref="A1:K1"/>
    <mergeCell ref="A2:K4"/>
  </mergeCells>
  <pageMargins left="0.75" right="0.75" top="1" bottom="1" header="0.5" footer="0.5"/>
  <tableParts count="1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 xmlns:r="http://schemas.openxmlformats.org/officeDocument/2006/relationships" r:id="rId13"/>
    <tablePart xmlns:r="http://schemas.openxmlformats.org/officeDocument/2006/relationships" r:id="rId14"/>
  </tableParts>
</worksheet>
</file>

<file path=xl/worksheets/sheet3.xml><?xml version="1.0" encoding="utf-8"?>
<worksheet xmlns="http://schemas.openxmlformats.org/spreadsheetml/2006/main">
  <sheetPr>
    <outlinePr summaryBelow="1" summaryRight="1"/>
    <pageSetUpPr/>
  </sheetPr>
  <dimension ref="A1:L84"/>
  <sheetViews>
    <sheetView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44" customWidth="1" min="2" max="2"/>
    <col width="12" customWidth="1" min="3" max="3"/>
    <col width="11" customWidth="1" min="4" max="4"/>
    <col width="12" customWidth="1" min="5" max="5"/>
    <col width="10" customWidth="1" min="6" max="6"/>
    <col width="14" customWidth="1" min="7" max="7"/>
    <col width="10" customWidth="1" min="8" max="8"/>
    <col width="44" customWidth="1" min="9" max="9"/>
    <col width="40" customWidth="1" min="10" max="10"/>
    <col width="12" customWidth="1" min="11" max="11"/>
    <col width="52" customWidth="1" min="12" max="12"/>
  </cols>
  <sheetData>
    <row r="1">
      <c r="A1" s="13" t="inlineStr">
        <is>
          <t>COST REFERENCE — shared unit prices for Evaluator Rule 15 (column O)</t>
        </is>
      </c>
    </row>
    <row r="2" ht="45" customHeight="1">
      <c r="A2" s="16" t="inlineStr">
        <is>
          <t>Price every column-O value from this list so the same item costs the same in every row. Add a new item here (with source and date) before using it. Reference year 2026, US dollars. Where a lab lists tiers, the external/commercial rate is used. Prices exclude shipping, duties and taxes (VAT removed).</t>
        </is>
      </c>
    </row>
    <row r="3">
      <c r="A3" s="24" t="inlineStr">
        <is>
          <t>Tags: [list] catalogue price · [lab fee] published lab fee schedule · [paper] figure from a paper · [est] evaluator estimate (replace first)</t>
        </is>
      </c>
    </row>
    <row r="4">
      <c r="A4" s="25" t="inlineStr">
        <is>
          <t>EUR → USD</t>
        </is>
      </c>
      <c r="B4" s="26">
        <f>1/0.8726</f>
        <v/>
      </c>
      <c r="C4" s="27" t="inlineStr">
        <is>
          <t>ECB reference rate 18 Sep 2026 (USD→EUR 0.8726), via YCharts</t>
        </is>
      </c>
      <c r="I4" s="28" t="inlineStr">
        <is>
          <t>https://ycharts.com/indicators/euro_exchange_rate</t>
        </is>
      </c>
    </row>
    <row r="6">
      <c r="A6" s="29" t="inlineStr">
        <is>
          <t>Item ID</t>
        </is>
      </c>
      <c r="B6" s="29" t="inlineStr">
        <is>
          <t>Item (as written in cost cells)</t>
        </is>
      </c>
      <c r="C6" s="29" t="inlineStr">
        <is>
          <t>Category</t>
        </is>
      </c>
      <c r="D6" s="29" t="inlineStr">
        <is>
          <t>Unit</t>
        </is>
      </c>
      <c r="E6" s="29" t="inlineStr">
        <is>
          <t>Source price</t>
        </is>
      </c>
      <c r="F6" s="29" t="inlineStr">
        <is>
          <t>Source currency</t>
        </is>
      </c>
      <c r="G6" s="29" t="inlineStr">
        <is>
          <t>USD price (2026)</t>
        </is>
      </c>
      <c r="H6" s="29" t="inlineStr">
        <is>
          <t>Tag</t>
        </is>
      </c>
      <c r="I6" s="29" t="inlineStr">
        <is>
          <t>Source</t>
        </is>
      </c>
      <c r="J6" s="29" t="inlineStr">
        <is>
          <t>URL</t>
        </is>
      </c>
      <c r="K6" s="29" t="inlineStr">
        <is>
          <t>Date checked</t>
        </is>
      </c>
      <c r="L6" s="29" t="inlineStr">
        <is>
          <t>Notes</t>
        </is>
      </c>
    </row>
    <row r="7">
      <c r="A7" s="30" t="inlineStr">
        <is>
          <t>lab_chla</t>
        </is>
      </c>
      <c r="B7" s="30" t="inlineStr">
        <is>
          <t>Chlorophyll-a (filtered sample)</t>
        </is>
      </c>
      <c r="C7" s="30" t="inlineStr">
        <is>
          <t>Lab fee</t>
        </is>
      </c>
      <c r="D7" s="30" t="inlineStr">
        <is>
          <t>per sample</t>
        </is>
      </c>
      <c r="E7" s="31" t="n">
        <v>25.18</v>
      </c>
      <c r="F7" s="30" t="inlineStr">
        <is>
          <t>USD</t>
        </is>
      </c>
      <c r="G7" s="32">
        <f>IF(F7="EUR",E7*$B$4,E7)</f>
        <v/>
      </c>
      <c r="H7" s="30" t="inlineStr">
        <is>
          <t>[lab fee]</t>
        </is>
      </c>
      <c r="I7" s="30" t="inlineStr">
        <is>
          <t>UConn CESE Nutrients Lab — external rate, price list effective 1 Mar 2026</t>
        </is>
      </c>
      <c r="J7" s="33" t="inlineStr">
        <is>
          <t>https://environmental-sciences-engineering-center.media.uconn.edu/wp-content/uploads/sites/3703/2026/03/Nutrients-Lab-price-list-effective-3-1-2026.pdf</t>
        </is>
      </c>
      <c r="K7" s="30" t="inlineStr">
        <is>
          <t>2026-10-09</t>
        </is>
      </c>
      <c r="L7" s="30" t="inlineStr">
        <is>
          <t>Filter in the field (lab filtration costs extra). Other published rates: Red River Authority of Texas $51 (Oct 2025).</t>
        </is>
      </c>
    </row>
    <row r="8">
      <c r="A8" s="30" t="inlineStr">
        <is>
          <t>lab_nutr4</t>
        </is>
      </c>
      <c r="B8" s="30" t="inlineStr">
        <is>
          <t>Dissolved inorganic nutrients (NH4, NOx, NO2, PO4)</t>
        </is>
      </c>
      <c r="C8" s="30" t="inlineStr">
        <is>
          <t>Lab fee</t>
        </is>
      </c>
      <c r="D8" s="30" t="inlineStr">
        <is>
          <t>per sample</t>
        </is>
      </c>
      <c r="E8" s="31" t="n">
        <v>32.7</v>
      </c>
      <c r="F8" s="30" t="inlineStr">
        <is>
          <t>USD</t>
        </is>
      </c>
      <c r="G8" s="32">
        <f>IF(F8="EUR",E8*$B$4,E8)</f>
        <v/>
      </c>
      <c r="H8" s="30" t="inlineStr">
        <is>
          <t>[lab fee]</t>
        </is>
      </c>
      <c r="I8" s="30" t="inlineStr">
        <is>
          <t>UConn CESE — external rate, all four analytes</t>
        </is>
      </c>
      <c r="J8" s="33" t="inlineStr">
        <is>
          <t>https://environmental-sciences-engineering-center.media.uconn.edu/wp-content/uploads/sites/3703/2026/03/Nutrients-Lab-price-list-effective-3-1-2026.pdf</t>
        </is>
      </c>
      <c r="K8" s="30" t="inlineStr">
        <is>
          <t>2026-10-09</t>
        </is>
      </c>
      <c r="L8" s="30" t="inlineStr">
        <is>
          <t>Any single analyte $18.82.</t>
        </is>
      </c>
    </row>
    <row r="9">
      <c r="A9" s="30" t="inlineStr">
        <is>
          <t>lab_tntp</t>
        </is>
      </c>
      <c r="B9" s="30" t="inlineStr">
        <is>
          <t>Total N + total P (water)</t>
        </is>
      </c>
      <c r="C9" s="30" t="inlineStr">
        <is>
          <t>Lab fee</t>
        </is>
      </c>
      <c r="D9" s="30" t="inlineStr">
        <is>
          <t>per sample</t>
        </is>
      </c>
      <c r="E9" s="31" t="n">
        <v>27.02</v>
      </c>
      <c r="F9" s="30" t="inlineStr">
        <is>
          <t>USD</t>
        </is>
      </c>
      <c r="G9" s="32">
        <f>IF(F9="EUR",E9*$B$4,E9)</f>
        <v/>
      </c>
      <c r="H9" s="30" t="inlineStr">
        <is>
          <t>[lab fee]</t>
        </is>
      </c>
      <c r="I9" s="30" t="inlineStr">
        <is>
          <t>UConn CESE — external rate</t>
        </is>
      </c>
      <c r="J9" s="33" t="inlineStr">
        <is>
          <t>https://environmental-sciences-engineering-center.media.uconn.edu/wp-content/uploads/sites/3703/2026/03/Nutrients-Lab-price-list-effective-3-1-2026.pdf</t>
        </is>
      </c>
      <c r="K9" s="30" t="inlineStr">
        <is>
          <t>2026-10-09</t>
        </is>
      </c>
      <c r="L9" s="30" t="inlineStr"/>
    </row>
    <row r="10">
      <c r="A10" s="30" t="inlineStr">
        <is>
          <t>lab_tss</t>
        </is>
      </c>
      <c r="B10" s="30" t="inlineStr">
        <is>
          <t>Total suspended solids</t>
        </is>
      </c>
      <c r="C10" s="30" t="inlineStr">
        <is>
          <t>Lab fee</t>
        </is>
      </c>
      <c r="D10" s="30" t="inlineStr">
        <is>
          <t>per sample</t>
        </is>
      </c>
      <c r="E10" s="31" t="n">
        <v>16.79</v>
      </c>
      <c r="F10" s="30" t="inlineStr">
        <is>
          <t>USD</t>
        </is>
      </c>
      <c r="G10" s="32">
        <f>IF(F10="EUR",E10*$B$4,E10)</f>
        <v/>
      </c>
      <c r="H10" s="30" t="inlineStr">
        <is>
          <t>[lab fee]</t>
        </is>
      </c>
      <c r="I10" s="30" t="inlineStr">
        <is>
          <t>UConn CESE — external rate</t>
        </is>
      </c>
      <c r="J10" s="33" t="inlineStr">
        <is>
          <t>https://environmental-sciences-engineering-center.media.uconn.edu/wp-content/uploads/sites/3703/2026/03/Nutrients-Lab-price-list-effective-3-1-2026.pdf</t>
        </is>
      </c>
      <c r="K10" s="30" t="inlineStr">
        <is>
          <t>2026-10-09</t>
        </is>
      </c>
      <c r="L10" s="30" t="inlineStr"/>
    </row>
    <row r="11">
      <c r="A11" s="30" t="inlineStr">
        <is>
          <t>lab_tissue_np</t>
        </is>
      </c>
      <c r="B11" s="30" t="inlineStr">
        <is>
          <t>Tissue N + P (seaweed or shellfish tissue)</t>
        </is>
      </c>
      <c r="C11" s="30" t="inlineStr">
        <is>
          <t>Lab fee</t>
        </is>
      </c>
      <c r="D11" s="30" t="inlineStr">
        <is>
          <t>per sample</t>
        </is>
      </c>
      <c r="E11" s="31" t="n">
        <v>20</v>
      </c>
      <c r="F11" s="30" t="inlineStr">
        <is>
          <t>USD</t>
        </is>
      </c>
      <c r="G11" s="32">
        <f>IF(F11="EUR",E11*$B$4,E11)</f>
        <v/>
      </c>
      <c r="H11" s="30" t="inlineStr">
        <is>
          <t>[lab fee]</t>
        </is>
      </c>
      <c r="I11" s="30" t="inlineStr">
        <is>
          <t>Univ. of Missouri Soil &amp; Plant Testing Lab — plant tissue regular analysis (N, P, K, Ca, Mg; drying and grinding included)</t>
        </is>
      </c>
      <c r="J11" s="33" t="inlineStr">
        <is>
          <t>https://extension.missouri.edu/programs/soil-and-plant-testing-laboratory/spl-submit-samples/spl-tests-fees</t>
        </is>
      </c>
      <c r="K11" s="30" t="inlineStr">
        <is>
          <t>2026-10-09</t>
        </is>
      </c>
      <c r="L11" s="30" t="inlineStr">
        <is>
          <t>Plant-tissue package; confirm the lab accepts shellfish tissue.</t>
        </is>
      </c>
    </row>
    <row r="12">
      <c r="A12" s="30" t="inlineStr">
        <is>
          <t>lab_tissue_cn</t>
        </is>
      </c>
      <c r="B12" s="30" t="inlineStr">
        <is>
          <t>Tissue total C + N (combustion)</t>
        </is>
      </c>
      <c r="C12" s="30" t="inlineStr">
        <is>
          <t>Lab fee</t>
        </is>
      </c>
      <c r="D12" s="30" t="inlineStr">
        <is>
          <t>per sample</t>
        </is>
      </c>
      <c r="E12" s="31" t="n">
        <v>18</v>
      </c>
      <c r="F12" s="30" t="inlineStr">
        <is>
          <t>USD</t>
        </is>
      </c>
      <c r="G12" s="32">
        <f>IF(F12="EUR",E12*$B$4,E12)</f>
        <v/>
      </c>
      <c r="H12" s="30" t="inlineStr">
        <is>
          <t>[lab fee]</t>
        </is>
      </c>
      <c r="I12" s="30" t="inlineStr">
        <is>
          <t>Univ. of Missouri Soil &amp; Plant Testing Lab — plant tissue total C and N by combustion</t>
        </is>
      </c>
      <c r="J12" s="33" t="inlineStr">
        <is>
          <t>https://extension.missouri.edu/programs/soil-and-plant-testing-laboratory/spl-submit-samples/spl-tests-fees</t>
        </is>
      </c>
      <c r="K12" s="30" t="inlineStr">
        <is>
          <t>2026-10-09</t>
        </is>
      </c>
      <c r="L12" s="30" t="inlineStr">
        <is>
          <t>A grinding fee may be added.</t>
        </is>
      </c>
    </row>
    <row r="13">
      <c r="A13" s="30" t="inlineStr">
        <is>
          <t>lab_iso</t>
        </is>
      </c>
      <c r="B13" s="30" t="inlineStr">
        <is>
          <t>Tissue δ13C + δ15N with %C, %N (EA-IRMS)</t>
        </is>
      </c>
      <c r="C13" s="30" t="inlineStr">
        <is>
          <t>Lab fee</t>
        </is>
      </c>
      <c r="D13" s="30" t="inlineStr">
        <is>
          <t>per sample</t>
        </is>
      </c>
      <c r="E13" s="31" t="n">
        <v>20</v>
      </c>
      <c r="F13" s="30" t="inlineStr">
        <is>
          <t>USD</t>
        </is>
      </c>
      <c r="G13" s="32">
        <f>IF(F13="EUR",E13*$B$4,E13)</f>
        <v/>
      </c>
      <c r="H13" s="30" t="inlineStr">
        <is>
          <t>[lab fee]</t>
        </is>
      </c>
      <c r="I13" s="30" t="inlineStr">
        <is>
          <t>Univ. of Florida SWES Light Stable Isotope Lab — external rate (Spring 2025 schedule)</t>
        </is>
      </c>
      <c r="J13" s="33" t="inlineStr">
        <is>
          <t>https://soils.ifas.ufl.edu/media/soilsifasufledu/sws-main-site/pdf/research/SIMS-lab-pricing-Spring-2025.pdf</t>
        </is>
      </c>
      <c r="K13" s="30" t="inlineStr">
        <is>
          <t>2026-10-09</t>
        </is>
      </c>
      <c r="L13" s="30" t="inlineStr">
        <is>
          <t>Client dries and grinds samples; +$2/sample if the lab loads them. UC Berkeley CSIB external rate: $13, isotopes only (FY25–26).</t>
        </is>
      </c>
    </row>
    <row r="14">
      <c r="A14" s="30" t="inlineStr">
        <is>
          <t>lab_sed_loi</t>
        </is>
      </c>
      <c r="B14" s="30" t="inlineStr">
        <is>
          <t>Sediment organic matter (loss on ignition)</t>
        </is>
      </c>
      <c r="C14" s="30" t="inlineStr">
        <is>
          <t>Lab fee</t>
        </is>
      </c>
      <c r="D14" s="30" t="inlineStr">
        <is>
          <t>per sample</t>
        </is>
      </c>
      <c r="E14" s="34">
        <f>15+4</f>
        <v/>
      </c>
      <c r="F14" s="30" t="inlineStr">
        <is>
          <t>USD</t>
        </is>
      </c>
      <c r="G14" s="32">
        <f>IF(F14="EUR",E14*$B$4,E14)</f>
        <v/>
      </c>
      <c r="H14" s="30" t="inlineStr">
        <is>
          <t>[lab fee]</t>
        </is>
      </c>
      <c r="I14" s="30" t="inlineStr">
        <is>
          <t>BYU Environmental Analytical Lab — organic matter (LOI) $15 + $4 sample prep fee</t>
        </is>
      </c>
      <c r="J14" s="33" t="inlineStr">
        <is>
          <t>https://pws.byu.edu/eal/price-lists</t>
        </is>
      </c>
      <c r="K14" s="30" t="inlineStr">
        <is>
          <t>2026-10-09</t>
        </is>
      </c>
      <c r="L14" s="30" t="inlineStr"/>
    </row>
    <row r="15">
      <c r="A15" s="30" t="inlineStr">
        <is>
          <t>lab_sed_grain</t>
        </is>
      </c>
      <c r="B15" s="30" t="inlineStr">
        <is>
          <t>Sediment grain size (hydrometer + sand sieving)</t>
        </is>
      </c>
      <c r="C15" s="30" t="inlineStr">
        <is>
          <t>Lab fee</t>
        </is>
      </c>
      <c r="D15" s="30" t="inlineStr">
        <is>
          <t>per sample</t>
        </is>
      </c>
      <c r="E15" s="31" t="n">
        <v>30</v>
      </c>
      <c r="F15" s="30" t="inlineStr">
        <is>
          <t>USD</t>
        </is>
      </c>
      <c r="G15" s="32">
        <f>IF(F15="EUR",E15*$B$4,E15)</f>
        <v/>
      </c>
      <c r="H15" s="30" t="inlineStr">
        <is>
          <t>[lab fee]</t>
        </is>
      </c>
      <c r="I15" s="30" t="inlineStr">
        <is>
          <t>Utah State Univ. Analytical Labs — test S24</t>
        </is>
      </c>
      <c r="J15" s="33" t="inlineStr">
        <is>
          <t>https://www.usu.edu/analytical-laboratories/price-lists</t>
        </is>
      </c>
      <c r="K15" s="30" t="inlineStr">
        <is>
          <t>2026-10-09</t>
        </is>
      </c>
      <c r="L15" s="30" t="inlineStr">
        <is>
          <t>Excludes the sample prep/drying fee.</t>
        </is>
      </c>
    </row>
    <row r="16">
      <c r="A16" s="30" t="inlineStr">
        <is>
          <t>lab_sed_toc</t>
        </is>
      </c>
      <c r="B16" s="30" t="inlineStr">
        <is>
          <t>Sediment total organic carbon (combustion)</t>
        </is>
      </c>
      <c r="C16" s="30" t="inlineStr">
        <is>
          <t>Lab fee</t>
        </is>
      </c>
      <c r="D16" s="30" t="inlineStr">
        <is>
          <t>per sample</t>
        </is>
      </c>
      <c r="E16" s="34">
        <f>30+4</f>
        <v/>
      </c>
      <c r="F16" s="30" t="inlineStr">
        <is>
          <t>USD</t>
        </is>
      </c>
      <c r="G16" s="32">
        <f>IF(F16="EUR",E16*$B$4,E16)</f>
        <v/>
      </c>
      <c r="H16" s="30" t="inlineStr">
        <is>
          <t>[lab fee]</t>
        </is>
      </c>
      <c r="I16" s="30" t="inlineStr">
        <is>
          <t>BYU Environmental Analytical Lab — total organic C $30 + $4 sample prep fee</t>
        </is>
      </c>
      <c r="J16" s="33" t="inlineStr">
        <is>
          <t>https://pws.byu.edu/eal/price-lists</t>
        </is>
      </c>
      <c r="K16" s="30" t="inlineStr">
        <is>
          <t>2026-10-09</t>
        </is>
      </c>
      <c r="L16" s="30" t="inlineStr">
        <is>
          <t>Carbonate-rich sediments need acid pretreatment; confirm with the lab.</t>
        </is>
      </c>
    </row>
    <row r="17">
      <c r="A17" s="30" t="inlineStr">
        <is>
          <t>lab_phyto</t>
        </is>
      </c>
      <c r="B17" s="30" t="inlineStr">
        <is>
          <t>Phytoplankton community count + ID (no biovolume)</t>
        </is>
      </c>
      <c r="C17" s="30" t="inlineStr">
        <is>
          <t>Lab fee</t>
        </is>
      </c>
      <c r="D17" s="30" t="inlineStr">
        <is>
          <t>per sample</t>
        </is>
      </c>
      <c r="E17" s="31" t="n">
        <v>165</v>
      </c>
      <c r="F17" s="30" t="inlineStr">
        <is>
          <t>USD</t>
        </is>
      </c>
      <c r="G17" s="32">
        <f>IF(F17="EUR",E17*$B$4,E17)</f>
        <v/>
      </c>
      <c r="H17" s="30" t="inlineStr">
        <is>
          <t>[lab fee]</t>
        </is>
      </c>
      <c r="I17" s="30" t="inlineStr">
        <is>
          <t>Massachusetts contractor list (mass.gov): full community taxonomic analysis, no biovolume, $165–$195</t>
        </is>
      </c>
      <c r="J17" s="33" t="inlineStr">
        <is>
          <t>https://www.mass.gov/info-details/cyanobacteria-andor-cyanotoxins-contract-services-list</t>
        </is>
      </c>
      <c r="K17" s="30" t="inlineStr">
        <is>
          <t>2026-10-09</t>
        </is>
      </c>
      <c r="L17" s="30" t="inlineStr">
        <is>
          <t>Low end used (cheapest adequate). With biovolume: PhycoTech 2024 published price $337; another listed lab $440–$550.</t>
        </is>
      </c>
    </row>
    <row r="18">
      <c r="A18" s="30" t="inlineStr">
        <is>
          <t>lab_infauna</t>
        </is>
      </c>
      <c r="B18" s="30" t="inlineStr">
        <is>
          <t>Benthic macrofauna sorting + ID (per grab or core)</t>
        </is>
      </c>
      <c r="C18" s="30" t="inlineStr">
        <is>
          <t>Lab fee</t>
        </is>
      </c>
      <c r="D18" s="30" t="inlineStr">
        <is>
          <t>per sample</t>
        </is>
      </c>
      <c r="E18" s="34">
        <f>437.53/1.21</f>
        <v/>
      </c>
      <c r="F18" s="30" t="inlineStr">
        <is>
          <t>EUR</t>
        </is>
      </c>
      <c r="G18" s="32">
        <f>IF(F18="EUR",E18*$B$4,E18)</f>
        <v/>
      </c>
      <c r="H18" s="30" t="inlineStr">
        <is>
          <t>[lab fee]</t>
        </is>
      </c>
      <c r="I18" s="30" t="inlineStr">
        <is>
          <t>Latvian Institute of Aquatic Ecology 2025 price list — zoobenthos with wet weight, €437.53 incl. 21% VAT</t>
        </is>
      </c>
      <c r="J18" s="33" t="inlineStr">
        <is>
          <t>https://lhei.lv/en/?p=6082</t>
        </is>
      </c>
      <c r="K18" s="30" t="inlineStr">
        <is>
          <t>2026-10-09</t>
        </is>
      </c>
      <c r="L18" s="30" t="inlineStr">
        <is>
          <t>VAT removed; converted at the FX cell. High end: Cefas–APEM contract 2025, £29,577 ex VAT for 41 grabs (≈£721/sample; species level + biomass + external QA).</t>
        </is>
      </c>
    </row>
    <row r="19">
      <c r="A19" s="30" t="inlineStr">
        <is>
          <t>lab_epibiota</t>
        </is>
      </c>
      <c r="B19" s="30" t="inlineStr">
        <is>
          <t>Epibiota / fouling community sorting + ID</t>
        </is>
      </c>
      <c r="C19" s="30" t="inlineStr">
        <is>
          <t>Lab fee</t>
        </is>
      </c>
      <c r="D19" s="30" t="inlineStr">
        <is>
          <t>per sample</t>
        </is>
      </c>
      <c r="E19" s="34">
        <f>437.53/1.21</f>
        <v/>
      </c>
      <c r="F19" s="30" t="inlineStr">
        <is>
          <t>EUR</t>
        </is>
      </c>
      <c r="G19" s="32">
        <f>IF(F19="EUR",E19*$B$4,E19)</f>
        <v/>
      </c>
      <c r="H19" s="30" t="inlineStr">
        <is>
          <t>[est]</t>
        </is>
      </c>
      <c r="I19" s="30" t="inlineStr">
        <is>
          <t>Proxy: macrofauna sorting + ID rate (lab_infauna)</t>
        </is>
      </c>
      <c r="J19" s="33" t="inlineStr">
        <is>
          <t>https://lhei.lv/en/?p=6082</t>
        </is>
      </c>
      <c r="K19" s="30" t="inlineStr">
        <is>
          <t>2026-10-09</t>
        </is>
      </c>
      <c r="L19" s="30" t="inlineStr">
        <is>
          <t>No published per-sample fee found. Coarse-taxa ID is likely cheaper; get a quote.</t>
        </is>
      </c>
    </row>
    <row r="20">
      <c r="A20" s="30" t="inlineStr">
        <is>
          <t>lab_recruit</t>
        </is>
      </c>
      <c r="B20" s="30" t="inlineStr">
        <is>
          <t>Juvenile fish (recruit) sorting + ID</t>
        </is>
      </c>
      <c r="C20" s="30" t="inlineStr">
        <is>
          <t>Lab fee</t>
        </is>
      </c>
      <c r="D20" s="30" t="inlineStr">
        <is>
          <t>per sample</t>
        </is>
      </c>
      <c r="E20" s="31" t="n">
        <v>50</v>
      </c>
      <c r="F20" s="30" t="inlineStr">
        <is>
          <t>USD</t>
        </is>
      </c>
      <c r="G20" s="32">
        <f>IF(F20="EUR",E20*$B$4,E20)</f>
        <v/>
      </c>
      <c r="H20" s="30" t="inlineStr">
        <is>
          <t>[est]</t>
        </is>
      </c>
      <c r="I20" s="30" t="inlineStr">
        <is>
          <t>Evaluator estimate</t>
        </is>
      </c>
      <c r="J20" s="30" t="inlineStr"/>
      <c r="K20" s="30" t="inlineStr">
        <is>
          <t>2026-10-09</t>
        </is>
      </c>
      <c r="L20" s="30" t="inlineStr">
        <is>
          <t>No published fee found; usually few fish per collector.</t>
        </is>
      </c>
    </row>
    <row r="21">
      <c r="A21" s="30" t="inlineStr">
        <is>
          <t>lab_edna</t>
        </is>
      </c>
      <c r="B21" s="30" t="inlineStr">
        <is>
          <t>eDNA metabarcoding, one marker (kit, extraction, PCR, sequencing, bioinformatics)</t>
        </is>
      </c>
      <c r="C21" s="30" t="inlineStr">
        <is>
          <t>Lab fee</t>
        </is>
      </c>
      <c r="D21" s="30" t="inlineStr">
        <is>
          <t>per sample</t>
        </is>
      </c>
      <c r="E21" s="34">
        <f>3.5*30</f>
        <v/>
      </c>
      <c r="F21" s="30" t="inlineStr">
        <is>
          <t>USD</t>
        </is>
      </c>
      <c r="G21" s="32">
        <f>IF(F21="EUR",E21*$B$4,E21)</f>
        <v/>
      </c>
      <c r="H21" s="30" t="inlineStr">
        <is>
          <t>[paper]</t>
        </is>
      </c>
      <c r="I21" s="30" t="inlineStr">
        <is>
          <t>Lafferty 2024, PeerJ 12:e16847 — Jonah Ventures kit costed at 3.5 technician-hour equivalents × $30/h</t>
        </is>
      </c>
      <c r="J21" s="33" t="inlineStr">
        <is>
          <t>https://www.peerj.com/articles/16847/</t>
        </is>
      </c>
      <c r="K21" s="30" t="inlineStr">
        <is>
          <t>2026-10-09</t>
        </is>
      </c>
      <c r="L21" s="30" t="inlineStr">
        <is>
          <t>2023 USD, not inflation-adjusted. Vendors quote per project.</t>
        </is>
      </c>
    </row>
    <row r="22">
      <c r="A22" s="30" t="inlineStr">
        <is>
          <t>lab_ta_dic</t>
        </is>
      </c>
      <c r="B22" s="30" t="inlineStr">
        <is>
          <t>Seawater TA + DIC (OA-grade carbonate chemistry)</t>
        </is>
      </c>
      <c r="C22" s="30" t="inlineStr">
        <is>
          <t>Lab fee</t>
        </is>
      </c>
      <c r="D22" s="30" t="inlineStr">
        <is>
          <t>per sample</t>
        </is>
      </c>
      <c r="E22" s="34">
        <f>52+27</f>
        <v/>
      </c>
      <c r="F22" s="30" t="inlineStr">
        <is>
          <t>USD</t>
        </is>
      </c>
      <c r="G22" s="32">
        <f>IF(F22="EUR",E22*$B$4,E22)</f>
        <v/>
      </c>
      <c r="H22" s="30" t="inlineStr">
        <is>
          <t>[lab fee]</t>
        </is>
      </c>
      <c r="I22" s="30" t="inlineStr">
        <is>
          <t>Univ. of Hawaiʻi S-LAB — DIC $52 + alkalinity $27 (UH-user rates)</t>
        </is>
      </c>
      <c r="J22" s="33" t="inlineStr">
        <is>
          <t>https://www.soest.hawaii.edu/S-LAB/slab_prices.htm</t>
        </is>
      </c>
      <c r="K22" s="30" t="inlineStr">
        <is>
          <t>2026-10-09</t>
        </is>
      </c>
      <c r="L22" s="30" t="inlineStr">
        <is>
          <t>Non-UH and commercial users pay a surcharge (lists not published inline). Dalhousie CERC.OCEAN Jan 2026: TA CAD 37 (private/government).</t>
        </is>
      </c>
    </row>
    <row r="23">
      <c r="A23" s="30" t="inlineStr">
        <is>
          <t>eq_do_logger</t>
        </is>
      </c>
      <c r="B23" s="30" t="inlineStr">
        <is>
          <t>Optical DO logger (Onset HOBO U26-001)</t>
        </is>
      </c>
      <c r="C23" s="30" t="inlineStr">
        <is>
          <t>Equipment</t>
        </is>
      </c>
      <c r="D23" s="30" t="inlineStr">
        <is>
          <t>each</t>
        </is>
      </c>
      <c r="E23" s="31" t="n">
        <v>1395</v>
      </c>
      <c r="F23" s="30" t="inlineStr">
        <is>
          <t>USD</t>
        </is>
      </c>
      <c r="G23" s="32">
        <f>IF(F23="EUR",E23*$B$4,E23)</f>
        <v/>
      </c>
      <c r="H23" s="30" t="inlineStr">
        <is>
          <t>[list]</t>
        </is>
      </c>
      <c r="I23" s="30" t="inlineStr">
        <is>
          <t>Transcat</t>
        </is>
      </c>
      <c r="J23" s="33" t="inlineStr">
        <is>
          <t>https://transcat.com/onset-hobo-data-loggers-u26-001-u26-001-207141</t>
        </is>
      </c>
      <c r="K23" s="30" t="inlineStr">
        <is>
          <t>2026-10-09</t>
        </is>
      </c>
      <c r="L23" s="30" t="inlineStr">
        <is>
          <t>TEquipment and Fondriest list $1,439.</t>
        </is>
      </c>
    </row>
    <row r="24">
      <c r="A24" s="30" t="inlineStr">
        <is>
          <t>eq_do_cap</t>
        </is>
      </c>
      <c r="B24" s="30" t="inlineStr">
        <is>
          <t>Replacement DO sensor cap (U26-RDOB-1, ~6-month life)</t>
        </is>
      </c>
      <c r="C24" s="30" t="inlineStr">
        <is>
          <t>Equipment</t>
        </is>
      </c>
      <c r="D24" s="30" t="inlineStr">
        <is>
          <t>each</t>
        </is>
      </c>
      <c r="E24" s="31" t="n">
        <v>115</v>
      </c>
      <c r="F24" s="30" t="inlineStr">
        <is>
          <t>USD</t>
        </is>
      </c>
      <c r="G24" s="32">
        <f>IF(F24="EUR",E24*$B$4,E24)</f>
        <v/>
      </c>
      <c r="H24" s="30" t="inlineStr">
        <is>
          <t>[list]</t>
        </is>
      </c>
      <c r="I24" s="30" t="inlineStr">
        <is>
          <t>Transcat</t>
        </is>
      </c>
      <c r="J24" s="33" t="inlineStr">
        <is>
          <t>https://transcat.com/onset-hobo-data-loggers-u26-001-u26-001-207141</t>
        </is>
      </c>
      <c r="K24" s="30" t="inlineStr">
        <is>
          <t>2026-10-09</t>
        </is>
      </c>
      <c r="L24" s="30" t="inlineStr">
        <is>
          <t>Budget 2 per logger per year.</t>
        </is>
      </c>
    </row>
    <row r="25">
      <c r="A25" s="30" t="inlineStr">
        <is>
          <t>eq_do_base</t>
        </is>
      </c>
      <c r="B25" s="30" t="inlineStr">
        <is>
          <t>Optic USB base station for HOBO loggers (BASE-U-4)</t>
        </is>
      </c>
      <c r="C25" s="30" t="inlineStr">
        <is>
          <t>Equipment</t>
        </is>
      </c>
      <c r="D25" s="30" t="inlineStr">
        <is>
          <t>each</t>
        </is>
      </c>
      <c r="E25" s="31" t="n">
        <v>130</v>
      </c>
      <c r="F25" s="30" t="inlineStr">
        <is>
          <t>USD</t>
        </is>
      </c>
      <c r="G25" s="32">
        <f>IF(F25="EUR",E25*$B$4,E25)</f>
        <v/>
      </c>
      <c r="H25" s="30" t="inlineStr">
        <is>
          <t>[est]</t>
        </is>
      </c>
      <c r="I25" s="30" t="inlineStr">
        <is>
          <t>Evaluator estimate</t>
        </is>
      </c>
      <c r="J25" s="30" t="inlineStr"/>
      <c r="K25" s="30" t="inlineStr">
        <is>
          <t>2026-10-09</t>
        </is>
      </c>
      <c r="L25" s="30" t="inlineStr">
        <is>
          <t>Needed to offload HOBO loggers; price not captured.</t>
        </is>
      </c>
    </row>
    <row r="26">
      <c r="A26" s="30" t="inlineStr">
        <is>
          <t>eq_ph_oa</t>
        </is>
      </c>
      <c r="B26" s="30" t="inlineStr">
        <is>
          <t>OA-grade pH logger (Sea-Bird SeaFET V2)</t>
        </is>
      </c>
      <c r="C26" s="30" t="inlineStr">
        <is>
          <t>Equipment</t>
        </is>
      </c>
      <c r="D26" s="30" t="inlineStr">
        <is>
          <t>each</t>
        </is>
      </c>
      <c r="E26" s="31" t="n">
        <v>12000</v>
      </c>
      <c r="F26" s="30" t="inlineStr">
        <is>
          <t>USD</t>
        </is>
      </c>
      <c r="G26" s="32">
        <f>IF(F26="EUR",E26*$B$4,E26)</f>
        <v/>
      </c>
      <c r="H26" s="30" t="inlineStr">
        <is>
          <t>[est]</t>
        </is>
      </c>
      <c r="I26" s="30" t="inlineStr">
        <is>
          <t>Sea-Bird Scientific — quote only</t>
        </is>
      </c>
      <c r="J26" s="33" t="inlineStr">
        <is>
          <t>https://seabird.com/seafet</t>
        </is>
      </c>
      <c r="K26" s="30" t="inlineStr">
        <is>
          <t>2026-10-09</t>
        </is>
      </c>
      <c r="L26" s="30" t="inlineStr">
        <is>
          <t>No public price. Sea-Bird reports a production hold on Shallow SeaFET V2 units.</t>
        </is>
      </c>
    </row>
    <row r="27">
      <c r="A27" s="30" t="inlineStr">
        <is>
          <t>eq_water_sampler</t>
        </is>
      </c>
      <c r="B27" s="30" t="inlineStr">
        <is>
          <t>Horizontal water sampler, 2.2 L (Wildco Alpha, PVC)</t>
        </is>
      </c>
      <c r="C27" s="30" t="inlineStr">
        <is>
          <t>Equipment</t>
        </is>
      </c>
      <c r="D27" s="30" t="inlineStr">
        <is>
          <t>each</t>
        </is>
      </c>
      <c r="E27" s="31" t="n">
        <v>860</v>
      </c>
      <c r="F27" s="30" t="inlineStr">
        <is>
          <t>EUR</t>
        </is>
      </c>
      <c r="G27" s="32">
        <f>IF(F27="EUR",E27*$B$4,E27)</f>
        <v/>
      </c>
      <c r="H27" s="30" t="inlineStr">
        <is>
          <t>[list]</t>
        </is>
      </c>
      <c r="I27" s="30" t="inlineStr">
        <is>
          <t>Fisher Scientific Belgium (Cole-Parmer/Wildco)</t>
        </is>
      </c>
      <c r="J27" s="33" t="inlineStr">
        <is>
          <t>https://www.fishersci.be/shop/products/wildco-horizontal-alpha-water-sampler/p-7116310</t>
        </is>
      </c>
      <c r="K27" s="30" t="inlineStr">
        <is>
          <t>2026-10-09</t>
        </is>
      </c>
      <c r="L27" s="30" t="inlineStr">
        <is>
          <t>Acrylic version €985. Messenger and line sold separately. Surface-only protocols may need just a bottle.</t>
        </is>
      </c>
    </row>
    <row r="28">
      <c r="A28" s="30" t="inlineStr">
        <is>
          <t>eq_messenger_line</t>
        </is>
      </c>
      <c r="B28" s="30" t="inlineStr">
        <is>
          <t>Messenger + 30 m line for water sampler</t>
        </is>
      </c>
      <c r="C28" s="30" t="inlineStr">
        <is>
          <t>Equipment</t>
        </is>
      </c>
      <c r="D28" s="30" t="inlineStr">
        <is>
          <t>set</t>
        </is>
      </c>
      <c r="E28" s="31" t="n">
        <v>100</v>
      </c>
      <c r="F28" s="30" t="inlineStr">
        <is>
          <t>USD</t>
        </is>
      </c>
      <c r="G28" s="32">
        <f>IF(F28="EUR",E28*$B$4,E28)</f>
        <v/>
      </c>
      <c r="H28" s="30" t="inlineStr">
        <is>
          <t>[est]</t>
        </is>
      </c>
      <c r="I28" s="30" t="inlineStr">
        <is>
          <t>Evaluator estimate</t>
        </is>
      </c>
      <c r="J28" s="30" t="inlineStr"/>
      <c r="K28" s="30" t="inlineStr">
        <is>
          <t>2026-10-09</t>
        </is>
      </c>
      <c r="L28" s="30" t="inlineStr"/>
    </row>
    <row r="29">
      <c r="A29" s="30" t="inlineStr">
        <is>
          <t>eq_plankton_net</t>
        </is>
      </c>
      <c r="B29" s="30" t="inlineStr">
        <is>
          <t>Plankton tow net, 30 cm, 20 µm, with bucket (Wildco)</t>
        </is>
      </c>
      <c r="C29" s="30" t="inlineStr">
        <is>
          <t>Equipment</t>
        </is>
      </c>
      <c r="D29" s="30" t="inlineStr">
        <is>
          <t>each</t>
        </is>
      </c>
      <c r="E29" s="31" t="n">
        <v>323.05</v>
      </c>
      <c r="F29" s="30" t="inlineStr">
        <is>
          <t>USD</t>
        </is>
      </c>
      <c r="G29" s="32">
        <f>IF(F29="EUR",E29*$B$4,E29)</f>
        <v/>
      </c>
      <c r="H29" s="30" t="inlineStr">
        <is>
          <t>[list]</t>
        </is>
      </c>
      <c r="I29" s="30" t="inlineStr">
        <is>
          <t>Ward's Science</t>
        </is>
      </c>
      <c r="J29" s="33" t="inlineStr">
        <is>
          <t>https://www.wardsci.com/us/en/product/NA4683390/plank-tow-net-12in-20m</t>
        </is>
      </c>
      <c r="K29" s="30" t="inlineStr">
        <is>
          <t>2026-10-09</t>
        </is>
      </c>
      <c r="L29" s="30" t="inlineStr">
        <is>
          <t>Another Ward's listing: $407.55.</t>
        </is>
      </c>
    </row>
    <row r="30">
      <c r="A30" s="30" t="inlineStr">
        <is>
          <t>eq_grab</t>
        </is>
      </c>
      <c r="B30" s="30" t="inlineStr">
        <is>
          <t>Petite Ponar grab, all-stainless (hand line)</t>
        </is>
      </c>
      <c r="C30" s="30" t="inlineStr">
        <is>
          <t>Equipment</t>
        </is>
      </c>
      <c r="D30" s="30" t="inlineStr">
        <is>
          <t>each</t>
        </is>
      </c>
      <c r="E30" s="31" t="n">
        <v>1570.05</v>
      </c>
      <c r="F30" s="30" t="inlineStr">
        <is>
          <t>USD</t>
        </is>
      </c>
      <c r="G30" s="32">
        <f>IF(F30="EUR",E30*$B$4,E30)</f>
        <v/>
      </c>
      <c r="H30" s="30" t="inlineStr">
        <is>
          <t>[list]</t>
        </is>
      </c>
      <c r="I30" s="30" t="inlineStr">
        <is>
          <t>Ward's Science</t>
        </is>
      </c>
      <c r="J30" s="33" t="inlineStr">
        <is>
          <t>https://www.wardsci.com/us/en/product/BP0000673006/petite-ponar-grab-sampler</t>
        </is>
      </c>
      <c r="K30" s="30" t="inlineStr">
        <is>
          <t>2026-10-09</t>
        </is>
      </c>
      <c r="L30" s="30" t="inlineStr">
        <is>
          <t>Deploys by hand line from a small boat, no winch. Line sold separately.</t>
        </is>
      </c>
    </row>
    <row r="31">
      <c r="A31" s="30" t="inlineStr">
        <is>
          <t>eq_grab_line</t>
        </is>
      </c>
      <c r="B31" s="30" t="inlineStr">
        <is>
          <t>Grab line, 30 m</t>
        </is>
      </c>
      <c r="C31" s="30" t="inlineStr">
        <is>
          <t>Equipment</t>
        </is>
      </c>
      <c r="D31" s="30" t="inlineStr">
        <is>
          <t>each</t>
        </is>
      </c>
      <c r="E31" s="31" t="n">
        <v>50</v>
      </c>
      <c r="F31" s="30" t="inlineStr">
        <is>
          <t>USD</t>
        </is>
      </c>
      <c r="G31" s="32">
        <f>IF(F31="EUR",E31*$B$4,E31)</f>
        <v/>
      </c>
      <c r="H31" s="30" t="inlineStr">
        <is>
          <t>[est]</t>
        </is>
      </c>
      <c r="I31" s="30" t="inlineStr">
        <is>
          <t>Evaluator estimate</t>
        </is>
      </c>
      <c r="J31" s="30" t="inlineStr"/>
      <c r="K31" s="30" t="inlineStr">
        <is>
          <t>2026-10-09</t>
        </is>
      </c>
      <c r="L31" s="30" t="inlineStr"/>
    </row>
    <row r="32">
      <c r="A32" s="30" t="inlineStr">
        <is>
          <t>eq_sieve</t>
        </is>
      </c>
      <c r="B32" s="30" t="inlineStr">
        <is>
          <t>Sieve, 8 in, 500 µm, stainless</t>
        </is>
      </c>
      <c r="C32" s="30" t="inlineStr">
        <is>
          <t>Equipment</t>
        </is>
      </c>
      <c r="D32" s="30" t="inlineStr">
        <is>
          <t>each</t>
        </is>
      </c>
      <c r="E32" s="31" t="n">
        <v>150</v>
      </c>
      <c r="F32" s="30" t="inlineStr">
        <is>
          <t>USD</t>
        </is>
      </c>
      <c r="G32" s="32">
        <f>IF(F32="EUR",E32*$B$4,E32)</f>
        <v/>
      </c>
      <c r="H32" s="30" t="inlineStr">
        <is>
          <t>[est]</t>
        </is>
      </c>
      <c r="I32" s="30" t="inlineStr">
        <is>
          <t>Fisherbrand 04-881-10Q (price behind login)</t>
        </is>
      </c>
      <c r="J32" s="33" t="inlineStr">
        <is>
          <t>https://www.fishersci.com/shop/products/fisherbrand-u-s-standard-stainless-steel-sieves-8-in-dia-2-in-d/0488110A</t>
        </is>
      </c>
      <c r="K32" s="30" t="inlineStr">
        <is>
          <t>2026-10-09</t>
        </is>
      </c>
      <c r="L32" s="30" t="inlineStr"/>
    </row>
    <row r="33">
      <c r="A33" s="30" t="inlineStr">
        <is>
          <t>eq_corer</t>
        </is>
      </c>
      <c r="B33" s="30" t="inlineStr">
        <is>
          <t>Hand push corer (shallow sites)</t>
        </is>
      </c>
      <c r="C33" s="30" t="inlineStr">
        <is>
          <t>Equipment</t>
        </is>
      </c>
      <c r="D33" s="30" t="inlineStr">
        <is>
          <t>each</t>
        </is>
      </c>
      <c r="E33" s="31" t="n">
        <v>250</v>
      </c>
      <c r="F33" s="30" t="inlineStr">
        <is>
          <t>USD</t>
        </is>
      </c>
      <c r="G33" s="32">
        <f>IF(F33="EUR",E33*$B$4,E33)</f>
        <v/>
      </c>
      <c r="H33" s="30" t="inlineStr">
        <is>
          <t>[est]</t>
        </is>
      </c>
      <c r="I33" s="30" t="inlineStr">
        <is>
          <t>Evaluator estimate</t>
        </is>
      </c>
      <c r="J33" s="30" t="inlineStr"/>
      <c r="K33" s="30" t="inlineStr">
        <is>
          <t>2026-10-09</t>
        </is>
      </c>
      <c r="L33" s="30" t="inlineStr"/>
    </row>
    <row r="34">
      <c r="A34" s="30" t="inlineStr">
        <is>
          <t>eq_camera</t>
        </is>
      </c>
      <c r="B34" s="30" t="inlineStr">
        <is>
          <t>Action camera + 60 m housing + memory card (GoPro HERO13 Black Dive Bundle)</t>
        </is>
      </c>
      <c r="C34" s="30" t="inlineStr">
        <is>
          <t>Equipment</t>
        </is>
      </c>
      <c r="D34" s="30" t="inlineStr">
        <is>
          <t>each</t>
        </is>
      </c>
      <c r="E34" s="31" t="n">
        <v>429.99</v>
      </c>
      <c r="F34" s="30" t="inlineStr">
        <is>
          <t>USD</t>
        </is>
      </c>
      <c r="G34" s="32">
        <f>IF(F34="EUR",E34*$B$4,E34)</f>
        <v/>
      </c>
      <c r="H34" s="30" t="inlineStr">
        <is>
          <t>[list]</t>
        </is>
      </c>
      <c r="I34" s="30" t="inlineStr">
        <is>
          <t>DiveIn price tracker — lowest current price</t>
        </is>
      </c>
      <c r="J34" s="33" t="inlineStr">
        <is>
          <t>https://www.divein.com/product/gopro-hero13-black-dive-bundle-with-memory-card/</t>
        </is>
      </c>
      <c r="K34" s="30" t="inlineStr">
        <is>
          <t>2026-10-09</t>
        </is>
      </c>
      <c r="L34" s="30" t="inlineStr">
        <is>
          <t>Housing alone: $54.99 (Abt).</t>
        </is>
      </c>
    </row>
    <row r="35">
      <c r="A35" s="30" t="inlineStr">
        <is>
          <t>eq_bruv_frame</t>
        </is>
      </c>
      <c r="B35" s="30" t="inlineStr">
        <is>
          <t>BRUV drop frame + bait arm (DIY)</t>
        </is>
      </c>
      <c r="C35" s="30" t="inlineStr">
        <is>
          <t>Equipment</t>
        </is>
      </c>
      <c r="D35" s="30" t="inlineStr">
        <is>
          <t>each</t>
        </is>
      </c>
      <c r="E35" s="31" t="n">
        <v>100</v>
      </c>
      <c r="F35" s="30" t="inlineStr">
        <is>
          <t>USD</t>
        </is>
      </c>
      <c r="G35" s="32">
        <f>IF(F35="EUR",E35*$B$4,E35)</f>
        <v/>
      </c>
      <c r="H35" s="30" t="inlineStr">
        <is>
          <t>[est]</t>
        </is>
      </c>
      <c r="I35" s="30" t="inlineStr">
        <is>
          <t>Evaluator estimate</t>
        </is>
      </c>
      <c r="J35" s="30" t="inlineStr"/>
      <c r="K35" s="30" t="inlineStr">
        <is>
          <t>2026-10-09</t>
        </is>
      </c>
      <c r="L35" s="30" t="inlineStr"/>
    </row>
    <row r="36">
      <c r="A36" s="30" t="inlineStr">
        <is>
          <t>eq_rope_float</t>
        </is>
      </c>
      <c r="B36" s="30" t="inlineStr">
        <is>
          <t>Rope + surface float (BRUV)</t>
        </is>
      </c>
      <c r="C36" s="30" t="inlineStr">
        <is>
          <t>Equipment</t>
        </is>
      </c>
      <c r="D36" s="30" t="inlineStr">
        <is>
          <t>set</t>
        </is>
      </c>
      <c r="E36" s="31" t="n">
        <v>50</v>
      </c>
      <c r="F36" s="30" t="inlineStr">
        <is>
          <t>USD</t>
        </is>
      </c>
      <c r="G36" s="32">
        <f>IF(F36="EUR",E36*$B$4,E36)</f>
        <v/>
      </c>
      <c r="H36" s="30" t="inlineStr">
        <is>
          <t>[est]</t>
        </is>
      </c>
      <c r="I36" s="30" t="inlineStr">
        <is>
          <t>Evaluator estimate</t>
        </is>
      </c>
      <c r="J36" s="30" t="inlineStr"/>
      <c r="K36" s="30" t="inlineStr">
        <is>
          <t>2026-10-09</t>
        </is>
      </c>
      <c r="L36" s="30" t="inlineStr"/>
    </row>
    <row r="37">
      <c r="A37" s="30" t="inlineStr">
        <is>
          <t>eq_snorkel</t>
        </is>
      </c>
      <c r="B37" s="30" t="inlineStr">
        <is>
          <t>Snorkel set (mask, snorkel, fins)</t>
        </is>
      </c>
      <c r="C37" s="30" t="inlineStr">
        <is>
          <t>Equipment</t>
        </is>
      </c>
      <c r="D37" s="30" t="inlineStr">
        <is>
          <t>set</t>
        </is>
      </c>
      <c r="E37" s="31" t="n">
        <v>150</v>
      </c>
      <c r="F37" s="30" t="inlineStr">
        <is>
          <t>USD</t>
        </is>
      </c>
      <c r="G37" s="32">
        <f>IF(F37="EUR",E37*$B$4,E37)</f>
        <v/>
      </c>
      <c r="H37" s="30" t="inlineStr">
        <is>
          <t>[est]</t>
        </is>
      </c>
      <c r="I37" s="30" t="inlineStr">
        <is>
          <t>Evaluator estimate</t>
        </is>
      </c>
      <c r="J37" s="30" t="inlineStr"/>
      <c r="K37" s="30" t="inlineStr">
        <is>
          <t>2026-10-09</t>
        </is>
      </c>
      <c r="L37" s="30" t="inlineStr"/>
    </row>
    <row r="38">
      <c r="A38" s="30" t="inlineStr">
        <is>
          <t>eq_tape</t>
        </is>
      </c>
      <c r="B38" s="30" t="inlineStr">
        <is>
          <t>Transect tape, 30–50 m</t>
        </is>
      </c>
      <c r="C38" s="30" t="inlineStr">
        <is>
          <t>Equipment</t>
        </is>
      </c>
      <c r="D38" s="30" t="inlineStr">
        <is>
          <t>each</t>
        </is>
      </c>
      <c r="E38" s="31" t="n">
        <v>40</v>
      </c>
      <c r="F38" s="30" t="inlineStr">
        <is>
          <t>USD</t>
        </is>
      </c>
      <c r="G38" s="32">
        <f>IF(F38="EUR",E38*$B$4,E38)</f>
        <v/>
      </c>
      <c r="H38" s="30" t="inlineStr">
        <is>
          <t>[est]</t>
        </is>
      </c>
      <c r="I38" s="30" t="inlineStr">
        <is>
          <t>Evaluator estimate</t>
        </is>
      </c>
      <c r="J38" s="30" t="inlineStr"/>
      <c r="K38" s="30" t="inlineStr">
        <is>
          <t>2026-10-09</t>
        </is>
      </c>
      <c r="L38" s="30" t="inlineStr"/>
    </row>
    <row r="39">
      <c r="A39" s="30" t="inlineStr">
        <is>
          <t>eq_slate</t>
        </is>
      </c>
      <c r="B39" s="30" t="inlineStr">
        <is>
          <t>Dive slate + waterproof datasheets</t>
        </is>
      </c>
      <c r="C39" s="30" t="inlineStr">
        <is>
          <t>Equipment</t>
        </is>
      </c>
      <c r="D39" s="30" t="inlineStr">
        <is>
          <t>set</t>
        </is>
      </c>
      <c r="E39" s="31" t="n">
        <v>40</v>
      </c>
      <c r="F39" s="30" t="inlineStr">
        <is>
          <t>USD</t>
        </is>
      </c>
      <c r="G39" s="32">
        <f>IF(F39="EUR",E39*$B$4,E39)</f>
        <v/>
      </c>
      <c r="H39" s="30" t="inlineStr">
        <is>
          <t>[est]</t>
        </is>
      </c>
      <c r="I39" s="30" t="inlineStr">
        <is>
          <t>Evaluator estimate</t>
        </is>
      </c>
      <c r="J39" s="30" t="inlineStr"/>
      <c r="K39" s="30" t="inlineStr">
        <is>
          <t>2026-10-09</t>
        </is>
      </c>
      <c r="L39" s="30" t="inlineStr"/>
    </row>
    <row r="40">
      <c r="A40" s="30" t="inlineStr">
        <is>
          <t>eq_id_guide</t>
        </is>
      </c>
      <c r="B40" s="30" t="inlineStr">
        <is>
          <t>Regional fish ID guide</t>
        </is>
      </c>
      <c r="C40" s="30" t="inlineStr">
        <is>
          <t>Equipment</t>
        </is>
      </c>
      <c r="D40" s="30" t="inlineStr">
        <is>
          <t>each</t>
        </is>
      </c>
      <c r="E40" s="31" t="n">
        <v>30</v>
      </c>
      <c r="F40" s="30" t="inlineStr">
        <is>
          <t>USD</t>
        </is>
      </c>
      <c r="G40" s="32">
        <f>IF(F40="EUR",E40*$B$4,E40)</f>
        <v/>
      </c>
      <c r="H40" s="30" t="inlineStr">
        <is>
          <t>[est]</t>
        </is>
      </c>
      <c r="I40" s="30" t="inlineStr">
        <is>
          <t>Evaluator estimate</t>
        </is>
      </c>
      <c r="J40" s="30" t="inlineStr"/>
      <c r="K40" s="30" t="inlineStr">
        <is>
          <t>2026-10-09</t>
        </is>
      </c>
      <c r="L40" s="30" t="inlineStr"/>
    </row>
    <row r="41">
      <c r="A41" s="30" t="inlineStr">
        <is>
          <t>eq_smurf</t>
        </is>
      </c>
      <c r="B41" s="30" t="inlineStr">
        <is>
          <t>SMURF recruitment collector (DIY plastic mesh)</t>
        </is>
      </c>
      <c r="C41" s="30" t="inlineStr">
        <is>
          <t>Equipment</t>
        </is>
      </c>
      <c r="D41" s="30" t="inlineStr">
        <is>
          <t>each</t>
        </is>
      </c>
      <c r="E41" s="31" t="n">
        <v>60</v>
      </c>
      <c r="F41" s="30" t="inlineStr">
        <is>
          <t>USD</t>
        </is>
      </c>
      <c r="G41" s="32">
        <f>IF(F41="EUR",E41*$B$4,E41)</f>
        <v/>
      </c>
      <c r="H41" s="30" t="inlineStr">
        <is>
          <t>[est]</t>
        </is>
      </c>
      <c r="I41" s="30" t="inlineStr">
        <is>
          <t>Materials per BCO-DMO SMURF description (Ammann 2004 design)</t>
        </is>
      </c>
      <c r="J41" s="33" t="inlineStr">
        <is>
          <t>https://www.bco-dmo.org/instrument/684481</t>
        </is>
      </c>
      <c r="K41" s="30" t="inlineStr">
        <is>
          <t>2026-10-09</t>
        </is>
      </c>
      <c r="L41" s="30" t="inlineStr"/>
    </row>
    <row r="42">
      <c r="A42" s="30" t="inlineStr">
        <is>
          <t>eq_mooring</t>
        </is>
      </c>
      <c r="B42" s="30" t="inlineStr">
        <is>
          <t>Mooring (anchor, line, float)</t>
        </is>
      </c>
      <c r="C42" s="30" t="inlineStr">
        <is>
          <t>Equipment</t>
        </is>
      </c>
      <c r="D42" s="30" t="inlineStr">
        <is>
          <t>each</t>
        </is>
      </c>
      <c r="E42" s="31" t="n">
        <v>100</v>
      </c>
      <c r="F42" s="30" t="inlineStr">
        <is>
          <t>USD</t>
        </is>
      </c>
      <c r="G42" s="32">
        <f>IF(F42="EUR",E42*$B$4,E42)</f>
        <v/>
      </c>
      <c r="H42" s="30" t="inlineStr">
        <is>
          <t>[est]</t>
        </is>
      </c>
      <c r="I42" s="30" t="inlineStr">
        <is>
          <t>Evaluator estimate</t>
        </is>
      </c>
      <c r="J42" s="30" t="inlineStr"/>
      <c r="K42" s="30" t="inlineStr">
        <is>
          <t>2026-10-09</t>
        </is>
      </c>
      <c r="L42" s="30" t="inlineStr"/>
    </row>
    <row r="43">
      <c r="A43" s="30" t="inlineStr">
        <is>
          <t>eq_scoop</t>
        </is>
      </c>
      <c r="B43" s="30" t="inlineStr">
        <is>
          <t>Scoop net + sieve (collector retrieval)</t>
        </is>
      </c>
      <c r="C43" s="30" t="inlineStr">
        <is>
          <t>Equipment</t>
        </is>
      </c>
      <c r="D43" s="30" t="inlineStr">
        <is>
          <t>set</t>
        </is>
      </c>
      <c r="E43" s="31" t="n">
        <v>50</v>
      </c>
      <c r="F43" s="30" t="inlineStr">
        <is>
          <t>USD</t>
        </is>
      </c>
      <c r="G43" s="32">
        <f>IF(F43="EUR",E43*$B$4,E43)</f>
        <v/>
      </c>
      <c r="H43" s="30" t="inlineStr">
        <is>
          <t>[est]</t>
        </is>
      </c>
      <c r="I43" s="30" t="inlineStr">
        <is>
          <t>Evaluator estimate</t>
        </is>
      </c>
      <c r="J43" s="30" t="inlineStr"/>
      <c r="K43" s="30" t="inlineStr">
        <is>
          <t>2026-10-09</t>
        </is>
      </c>
      <c r="L43" s="30" t="inlineStr"/>
    </row>
    <row r="44">
      <c r="A44" s="30" t="inlineStr">
        <is>
          <t>cons_bait</t>
        </is>
      </c>
      <c r="B44" s="30" t="inlineStr">
        <is>
          <t>Bait</t>
        </is>
      </c>
      <c r="C44" s="30" t="inlineStr">
        <is>
          <t>Consumable</t>
        </is>
      </c>
      <c r="D44" s="30" t="inlineStr">
        <is>
          <t>per drop</t>
        </is>
      </c>
      <c r="E44" s="31" t="n">
        <v>3</v>
      </c>
      <c r="F44" s="30" t="inlineStr">
        <is>
          <t>USD</t>
        </is>
      </c>
      <c r="G44" s="32">
        <f>IF(F44="EUR",E44*$B$4,E44)</f>
        <v/>
      </c>
      <c r="H44" s="30" t="inlineStr">
        <is>
          <t>[est]</t>
        </is>
      </c>
      <c r="I44" s="30" t="inlineStr">
        <is>
          <t>Evaluator estimate</t>
        </is>
      </c>
      <c r="J44" s="30" t="inlineStr"/>
      <c r="K44" s="30" t="inlineStr">
        <is>
          <t>2026-10-09</t>
        </is>
      </c>
      <c r="L44" s="30" t="inlineStr"/>
    </row>
    <row r="45">
      <c r="A45" s="30" t="inlineStr">
        <is>
          <t>cons_bags_pres</t>
        </is>
      </c>
      <c r="B45" s="30" t="inlineStr">
        <is>
          <t>Sample bags + preservative</t>
        </is>
      </c>
      <c r="C45" s="30" t="inlineStr">
        <is>
          <t>Consumable</t>
        </is>
      </c>
      <c r="D45" s="30" t="inlineStr">
        <is>
          <t>per year</t>
        </is>
      </c>
      <c r="E45" s="31" t="n">
        <v>100</v>
      </c>
      <c r="F45" s="30" t="inlineStr">
        <is>
          <t>USD</t>
        </is>
      </c>
      <c r="G45" s="32">
        <f>IF(F45="EUR",E45*$B$4,E45)</f>
        <v/>
      </c>
      <c r="H45" s="30" t="inlineStr">
        <is>
          <t>[est]</t>
        </is>
      </c>
      <c r="I45" s="30" t="inlineStr">
        <is>
          <t>Evaluator estimate</t>
        </is>
      </c>
      <c r="J45" s="30" t="inlineStr"/>
      <c r="K45" s="30" t="inlineStr">
        <is>
          <t>2026-10-09</t>
        </is>
      </c>
      <c r="L45" s="30" t="inlineStr"/>
    </row>
    <row r="46">
      <c r="A46" s="30" t="inlineStr">
        <is>
          <t>cons_jars</t>
        </is>
      </c>
      <c r="B46" s="30" t="inlineStr">
        <is>
          <t>Sample jars</t>
        </is>
      </c>
      <c r="C46" s="30" t="inlineStr">
        <is>
          <t>Consumable</t>
        </is>
      </c>
      <c r="D46" s="30" t="inlineStr">
        <is>
          <t>per year</t>
        </is>
      </c>
      <c r="E46" s="31" t="n">
        <v>50</v>
      </c>
      <c r="F46" s="30" t="inlineStr">
        <is>
          <t>USD</t>
        </is>
      </c>
      <c r="G46" s="32">
        <f>IF(F46="EUR",E46*$B$4,E46)</f>
        <v/>
      </c>
      <c r="H46" s="30" t="inlineStr">
        <is>
          <t>[est]</t>
        </is>
      </c>
      <c r="I46" s="30" t="inlineStr">
        <is>
          <t>Evaluator estimate</t>
        </is>
      </c>
      <c r="J46" s="30" t="inlineStr"/>
      <c r="K46" s="30" t="inlineStr">
        <is>
          <t>2026-10-09</t>
        </is>
      </c>
      <c r="L46" s="30" t="inlineStr"/>
    </row>
    <row r="47">
      <c r="A47" s="30" t="inlineStr">
        <is>
          <t>cons_lugols</t>
        </is>
      </c>
      <c r="B47" s="30" t="inlineStr">
        <is>
          <t>Bottles + Lugol's preservative</t>
        </is>
      </c>
      <c r="C47" s="30" t="inlineStr">
        <is>
          <t>Consumable</t>
        </is>
      </c>
      <c r="D47" s="30" t="inlineStr">
        <is>
          <t>per year</t>
        </is>
      </c>
      <c r="E47" s="31" t="n">
        <v>150</v>
      </c>
      <c r="F47" s="30" t="inlineStr">
        <is>
          <t>USD</t>
        </is>
      </c>
      <c r="G47" s="32">
        <f>IF(F47="EUR",E47*$B$4,E47)</f>
        <v/>
      </c>
      <c r="H47" s="30" t="inlineStr">
        <is>
          <t>[est]</t>
        </is>
      </c>
      <c r="I47" s="30" t="inlineStr">
        <is>
          <t>Evaluator estimate</t>
        </is>
      </c>
      <c r="J47" s="30" t="inlineStr"/>
      <c r="K47" s="30" t="inlineStr">
        <is>
          <t>2026-10-09</t>
        </is>
      </c>
      <c r="L47" s="30" t="inlineStr"/>
    </row>
    <row r="48">
      <c r="A48" s="30" t="inlineStr">
        <is>
          <t>cons_ethanol</t>
        </is>
      </c>
      <c r="B48" s="30" t="inlineStr">
        <is>
          <t>Ethanol + jars</t>
        </is>
      </c>
      <c r="C48" s="30" t="inlineStr">
        <is>
          <t>Consumable</t>
        </is>
      </c>
      <c r="D48" s="30" t="inlineStr">
        <is>
          <t>per year</t>
        </is>
      </c>
      <c r="E48" s="31" t="n">
        <v>50</v>
      </c>
      <c r="F48" s="30" t="inlineStr">
        <is>
          <t>USD</t>
        </is>
      </c>
      <c r="G48" s="32">
        <f>IF(F48="EUR",E48*$B$4,E48)</f>
        <v/>
      </c>
      <c r="H48" s="30" t="inlineStr">
        <is>
          <t>[est]</t>
        </is>
      </c>
      <c r="I48" s="30" t="inlineStr">
        <is>
          <t>Evaluator estimate</t>
        </is>
      </c>
      <c r="J48" s="30" t="inlineStr"/>
      <c r="K48" s="30" t="inlineStr">
        <is>
          <t>2026-10-09</t>
        </is>
      </c>
      <c r="L48" s="30" t="inlineStr"/>
    </row>
    <row r="49">
      <c r="A49" s="30" t="inlineStr">
        <is>
          <t>cons_calib</t>
        </is>
      </c>
      <c r="B49" s="30" t="inlineStr">
        <is>
          <t>Logger calibration consumables</t>
        </is>
      </c>
      <c r="C49" s="30" t="inlineStr">
        <is>
          <t>Consumable</t>
        </is>
      </c>
      <c r="D49" s="30" t="inlineStr">
        <is>
          <t>per year</t>
        </is>
      </c>
      <c r="E49" s="31" t="n">
        <v>50</v>
      </c>
      <c r="F49" s="30" t="inlineStr">
        <is>
          <t>USD</t>
        </is>
      </c>
      <c r="G49" s="32">
        <f>IF(F49="EUR",E49*$B$4,E49)</f>
        <v/>
      </c>
      <c r="H49" s="30" t="inlineStr">
        <is>
          <t>[est]</t>
        </is>
      </c>
      <c r="I49" s="30" t="inlineStr">
        <is>
          <t>Evaluator estimate</t>
        </is>
      </c>
      <c r="J49" s="30" t="inlineStr"/>
      <c r="K49" s="30" t="inlineStr">
        <is>
          <t>2026-10-09</t>
        </is>
      </c>
      <c r="L49" s="30" t="inlineStr"/>
    </row>
    <row r="50">
      <c r="A50" s="30" t="inlineStr">
        <is>
          <t>cons_bags</t>
        </is>
      </c>
      <c r="B50" s="30" t="inlineStr">
        <is>
          <t>Sample bags (tissue)</t>
        </is>
      </c>
      <c r="C50" s="30" t="inlineStr">
        <is>
          <t>Consumable</t>
        </is>
      </c>
      <c r="D50" s="30" t="inlineStr">
        <is>
          <t>per year</t>
        </is>
      </c>
      <c r="E50" s="31" t="n">
        <v>20</v>
      </c>
      <c r="F50" s="30" t="inlineStr">
        <is>
          <t>USD</t>
        </is>
      </c>
      <c r="G50" s="32">
        <f>IF(F50="EUR",E50*$B$4,E50)</f>
        <v/>
      </c>
      <c r="H50" s="30" t="inlineStr">
        <is>
          <t>[est]</t>
        </is>
      </c>
      <c r="I50" s="30" t="inlineStr">
        <is>
          <t>Evaluator estimate</t>
        </is>
      </c>
      <c r="J50" s="30" t="inlineStr"/>
      <c r="K50" s="30" t="inlineStr">
        <is>
          <t>2026-10-09</t>
        </is>
      </c>
      <c r="L50" s="30" t="inlineStr"/>
    </row>
    <row r="51">
      <c r="A51" s="30" t="inlineStr">
        <is>
          <t>cons_pres_jars</t>
        </is>
      </c>
      <c r="B51" s="30" t="inlineStr">
        <is>
          <t>Preservative + jars (infauna)</t>
        </is>
      </c>
      <c r="C51" s="30" t="inlineStr">
        <is>
          <t>Consumable</t>
        </is>
      </c>
      <c r="D51" s="30" t="inlineStr">
        <is>
          <t>per year</t>
        </is>
      </c>
      <c r="E51" s="31" t="n">
        <v>150</v>
      </c>
      <c r="F51" s="30" t="inlineStr">
        <is>
          <t>USD</t>
        </is>
      </c>
      <c r="G51" s="32">
        <f>IF(F51="EUR",E51*$B$4,E51)</f>
        <v/>
      </c>
      <c r="H51" s="30" t="inlineStr">
        <is>
          <t>[est]</t>
        </is>
      </c>
      <c r="I51" s="30" t="inlineStr">
        <is>
          <t>Evaluator estimate</t>
        </is>
      </c>
      <c r="J51" s="30" t="inlineStr"/>
      <c r="K51" s="30" t="inlineStr">
        <is>
          <t>2026-10-09</t>
        </is>
      </c>
      <c r="L51" s="30" t="inlineStr"/>
    </row>
    <row r="52">
      <c r="A52" s="30" t="inlineStr">
        <is>
          <t>eq_quadrat</t>
        </is>
      </c>
      <c r="B52" s="30" t="inlineStr">
        <is>
          <t>Quadrat, 0.25 m² (PVC)</t>
        </is>
      </c>
      <c r="C52" s="30" t="inlineStr">
        <is>
          <t>Equipment</t>
        </is>
      </c>
      <c r="D52" s="30" t="inlineStr">
        <is>
          <t>each</t>
        </is>
      </c>
      <c r="E52" s="31" t="n">
        <v>30</v>
      </c>
      <c r="F52" s="30" t="inlineStr">
        <is>
          <t>USD</t>
        </is>
      </c>
      <c r="G52" s="32">
        <f>IF(F52="EUR",E52*$B$4,E52)</f>
        <v/>
      </c>
      <c r="H52" s="30" t="inlineStr">
        <is>
          <t>[est]</t>
        </is>
      </c>
      <c r="I52" s="30" t="inlineStr">
        <is>
          <t>Evaluator estimate</t>
        </is>
      </c>
      <c r="J52" s="30" t="inlineStr"/>
      <c r="K52" s="30" t="inlineStr">
        <is>
          <t>2026-10-09</t>
        </is>
      </c>
      <c r="L52" s="30" t="inlineStr"/>
    </row>
    <row r="53">
      <c r="A53" s="30" t="inlineStr">
        <is>
          <t>eq_sieve_1mm</t>
        </is>
      </c>
      <c r="B53" s="30" t="inlineStr">
        <is>
          <t>Sieve, 1 mm mesh</t>
        </is>
      </c>
      <c r="C53" s="30" t="inlineStr">
        <is>
          <t>Equipment</t>
        </is>
      </c>
      <c r="D53" s="30" t="inlineStr">
        <is>
          <t>each</t>
        </is>
      </c>
      <c r="E53" s="31" t="n">
        <v>150</v>
      </c>
      <c r="F53" s="30" t="inlineStr">
        <is>
          <t>USD</t>
        </is>
      </c>
      <c r="G53" s="32">
        <f>IF(F53="EUR",E53*$B$4,E53)</f>
        <v/>
      </c>
      <c r="H53" s="30" t="inlineStr">
        <is>
          <t>[est]</t>
        </is>
      </c>
      <c r="I53" s="30" t="inlineStr">
        <is>
          <t>Evaluator estimate (same basis as eq_sieve)</t>
        </is>
      </c>
      <c r="J53" s="30" t="inlineStr"/>
      <c r="K53" s="30" t="inlineStr">
        <is>
          <t>2026-10-09</t>
        </is>
      </c>
      <c r="L53" s="30" t="inlineStr"/>
    </row>
    <row r="54">
      <c r="A54" s="30" t="inlineStr">
        <is>
          <t>eq_fish_trap</t>
        </is>
      </c>
      <c r="B54" s="30" t="inlineStr">
        <is>
          <t>Collapsible fish trap, 24 × 18 × 8 in, ½ in mesh</t>
        </is>
      </c>
      <c r="C54" s="30" t="inlineStr">
        <is>
          <t>Equipment</t>
        </is>
      </c>
      <c r="D54" s="30" t="inlineStr">
        <is>
          <t>each</t>
        </is>
      </c>
      <c r="E54" s="31" t="n">
        <v>74.3</v>
      </c>
      <c r="F54" s="30" t="inlineStr">
        <is>
          <t>USD</t>
        </is>
      </c>
      <c r="G54" s="32">
        <f>IF(F54="EUR",E54*$B$4,E54)</f>
        <v/>
      </c>
      <c r="H54" s="30" t="inlineStr">
        <is>
          <t>[list]</t>
        </is>
      </c>
      <c r="I54" s="30" t="inlineStr">
        <is>
          <t>Memphis Net &amp; Twine — price for 6 or more ($80.95 single)</t>
        </is>
      </c>
      <c r="J54" s="33" t="inlineStr">
        <is>
          <t>https://www.memphisnet.net/product/Eel-Crawfish-Flounder-Trap-1-2in-Sq-Mesh-24in-by-18in-by-8in</t>
        </is>
      </c>
      <c r="K54" s="30" t="inlineStr">
        <is>
          <t>2026-10-09</t>
        </is>
      </c>
      <c r="L54" s="30" t="inlineStr">
        <is>
          <t>Marketed for commercial fishers and scientific/government survey groups.</t>
        </is>
      </c>
    </row>
    <row r="55">
      <c r="A55" s="30" t="inlineStr">
        <is>
          <t>eq_seine</t>
        </is>
      </c>
      <c r="B55" s="30" t="inlineStr">
        <is>
          <t>Beach seine with bag, ~10 m, ¼ in mesh</t>
        </is>
      </c>
      <c r="C55" s="30" t="inlineStr">
        <is>
          <t>Equipment</t>
        </is>
      </c>
      <c r="D55" s="30" t="inlineStr">
        <is>
          <t>each</t>
        </is>
      </c>
      <c r="E55" s="31" t="n">
        <v>300</v>
      </c>
      <c r="F55" s="30" t="inlineStr">
        <is>
          <t>USD</t>
        </is>
      </c>
      <c r="G55" s="32">
        <f>IF(F55="EUR",E55*$B$4,E55)</f>
        <v/>
      </c>
      <c r="H55" s="30" t="inlineStr">
        <is>
          <t>[est]</t>
        </is>
      </c>
      <c r="I55" s="30" t="inlineStr">
        <is>
          <t>Evaluator estimate</t>
        </is>
      </c>
      <c r="J55" s="33" t="inlineStr">
        <is>
          <t>https://www.walmart.com/c/kp/seines</t>
        </is>
      </c>
      <c r="K55" s="30" t="inlineStr">
        <is>
          <t>2026-10-09</t>
        </is>
      </c>
      <c r="L55" s="30" t="inlineStr">
        <is>
          <t>Consumer drag seines list at $45–$100; a research-grade seine with bag runs about $300+.</t>
        </is>
      </c>
    </row>
    <row r="56">
      <c r="A56" s="30" t="inlineStr">
        <is>
          <t>eq_measuring_board</t>
        </is>
      </c>
      <c r="B56" s="30" t="inlineStr">
        <is>
          <t>Fish measuring board</t>
        </is>
      </c>
      <c r="C56" s="30" t="inlineStr">
        <is>
          <t>Equipment</t>
        </is>
      </c>
      <c r="D56" s="30" t="inlineStr">
        <is>
          <t>each</t>
        </is>
      </c>
      <c r="E56" s="31" t="n">
        <v>50</v>
      </c>
      <c r="F56" s="30" t="inlineStr">
        <is>
          <t>USD</t>
        </is>
      </c>
      <c r="G56" s="32">
        <f>IF(F56="EUR",E56*$B$4,E56)</f>
        <v/>
      </c>
      <c r="H56" s="30" t="inlineStr">
        <is>
          <t>[est]</t>
        </is>
      </c>
      <c r="I56" s="30" t="inlineStr">
        <is>
          <t>Evaluator estimate</t>
        </is>
      </c>
      <c r="J56" s="30" t="inlineStr"/>
      <c r="K56" s="30" t="inlineStr">
        <is>
          <t>2026-10-09</t>
        </is>
      </c>
      <c r="L56" s="30" t="inlineStr"/>
    </row>
    <row r="57">
      <c r="A57" s="30" t="inlineStr">
        <is>
          <t>eq_hanging_scale</t>
        </is>
      </c>
      <c r="B57" s="30" t="inlineStr">
        <is>
          <t>Hanging scale (catch weight)</t>
        </is>
      </c>
      <c r="C57" s="30" t="inlineStr">
        <is>
          <t>Equipment</t>
        </is>
      </c>
      <c r="D57" s="30" t="inlineStr">
        <is>
          <t>each</t>
        </is>
      </c>
      <c r="E57" s="31" t="n">
        <v>30</v>
      </c>
      <c r="F57" s="30" t="inlineStr">
        <is>
          <t>USD</t>
        </is>
      </c>
      <c r="G57" s="32">
        <f>IF(F57="EUR",E57*$B$4,E57)</f>
        <v/>
      </c>
      <c r="H57" s="30" t="inlineStr">
        <is>
          <t>[est]</t>
        </is>
      </c>
      <c r="I57" s="30" t="inlineStr">
        <is>
          <t>Evaluator estimate</t>
        </is>
      </c>
      <c r="J57" s="30" t="inlineStr"/>
      <c r="K57" s="30" t="inlineStr">
        <is>
          <t>2026-10-09</t>
        </is>
      </c>
      <c r="L57" s="30" t="inlineStr"/>
    </row>
    <row r="58">
      <c r="A58" s="30" t="inlineStr">
        <is>
          <t>eq_buckets</t>
        </is>
      </c>
      <c r="B58" s="30" t="inlineStr">
        <is>
          <t>Buckets (set)</t>
        </is>
      </c>
      <c r="C58" s="30" t="inlineStr">
        <is>
          <t>Equipment</t>
        </is>
      </c>
      <c r="D58" s="30" t="inlineStr">
        <is>
          <t>set</t>
        </is>
      </c>
      <c r="E58" s="31" t="n">
        <v>30</v>
      </c>
      <c r="F58" s="30" t="inlineStr">
        <is>
          <t>USD</t>
        </is>
      </c>
      <c r="G58" s="32">
        <f>IF(F58="EUR",E58*$B$4,E58)</f>
        <v/>
      </c>
      <c r="H58" s="30" t="inlineStr">
        <is>
          <t>[est]</t>
        </is>
      </c>
      <c r="I58" s="30" t="inlineStr">
        <is>
          <t>Evaluator estimate</t>
        </is>
      </c>
      <c r="J58" s="30" t="inlineStr"/>
      <c r="K58" s="30" t="inlineStr">
        <is>
          <t>2026-10-09</t>
        </is>
      </c>
      <c r="L58" s="30" t="inlineStr"/>
    </row>
    <row r="59">
      <c r="A59" s="30" t="inlineStr">
        <is>
          <t>cons_sponge_coll</t>
        </is>
      </c>
      <c r="B59" s="30" t="inlineStr">
        <is>
          <t>Sponge invertebrate collector (scrubber sponges in mesh bag, DIY)</t>
        </is>
      </c>
      <c r="C59" s="30" t="inlineStr">
        <is>
          <t>Consumable</t>
        </is>
      </c>
      <c r="D59" s="30" t="inlineStr">
        <is>
          <t>each</t>
        </is>
      </c>
      <c r="E59" s="31" t="n">
        <v>5</v>
      </c>
      <c r="F59" s="30" t="inlineStr">
        <is>
          <t>USD</t>
        </is>
      </c>
      <c r="G59" s="32">
        <f>IF(F59="EUR",E59*$B$4,E59)</f>
        <v/>
      </c>
      <c r="H59" s="30" t="inlineStr">
        <is>
          <t>[est]</t>
        </is>
      </c>
      <c r="I59" s="30" t="inlineStr">
        <is>
          <t>Evaluator estimate; collector design per Schutt et al. 2023</t>
        </is>
      </c>
      <c r="J59" s="30" t="inlineStr">
        <is>
          <t>https://www.aquaculturescience.org/content/dam/tnc/nature/en/documents/aquaculture/SeaweedHabitatEcosystemServices.pdf</t>
        </is>
      </c>
      <c r="K59" s="30" t="inlineStr">
        <is>
          <t>2026-10-09</t>
        </is>
      </c>
      <c r="L59" s="30" t="inlineStr">
        <is>
          <t>One collector is retrieved per sample. The prior database note put sponges at under $50 per kit.</t>
        </is>
      </c>
    </row>
    <row r="60">
      <c r="A60" s="30" t="inlineStr">
        <is>
          <t>eq_binoculars</t>
        </is>
      </c>
      <c r="B60" s="30" t="inlineStr">
        <is>
          <t>Binoculars, 8×42, waterproof (entry-level birding)</t>
        </is>
      </c>
      <c r="C60" s="30" t="inlineStr">
        <is>
          <t>Equipment</t>
        </is>
      </c>
      <c r="D60" s="30" t="inlineStr">
        <is>
          <t>each</t>
        </is>
      </c>
      <c r="E60" s="31" t="n">
        <v>150</v>
      </c>
      <c r="F60" s="30" t="inlineStr">
        <is>
          <t>USD</t>
        </is>
      </c>
      <c r="G60" s="32">
        <f>IF(F60="EUR",E60*$B$4,E60)</f>
        <v/>
      </c>
      <c r="H60" s="30" t="inlineStr">
        <is>
          <t>[est]</t>
        </is>
      </c>
      <c r="I60" s="30" t="inlineStr">
        <is>
          <t>Evaluator estimate</t>
        </is>
      </c>
      <c r="J60" s="30" t="n"/>
      <c r="K60" s="30" t="inlineStr">
        <is>
          <t>2026-10-09</t>
        </is>
      </c>
      <c r="L60" s="30" t="inlineStr">
        <is>
          <t>A spotting scope, if a protocol needs one, costs more.</t>
        </is>
      </c>
    </row>
    <row r="61">
      <c r="A61" s="30" t="inlineStr">
        <is>
          <t>eq_bird_guide</t>
        </is>
      </c>
      <c r="B61" s="30" t="inlineStr">
        <is>
          <t>Regional bird field guide</t>
        </is>
      </c>
      <c r="C61" s="30" t="inlineStr">
        <is>
          <t>Equipment</t>
        </is>
      </c>
      <c r="D61" s="30" t="inlineStr">
        <is>
          <t>each</t>
        </is>
      </c>
      <c r="E61" s="31" t="n">
        <v>30</v>
      </c>
      <c r="F61" s="30" t="inlineStr">
        <is>
          <t>USD</t>
        </is>
      </c>
      <c r="G61" s="32">
        <f>IF(F61="EUR",E61*$B$4,E61)</f>
        <v/>
      </c>
      <c r="H61" s="30" t="inlineStr">
        <is>
          <t>[est]</t>
        </is>
      </c>
      <c r="I61" s="30" t="inlineStr">
        <is>
          <t>Evaluator estimate</t>
        </is>
      </c>
      <c r="J61" s="30" t="n"/>
      <c r="K61" s="30" t="inlineStr">
        <is>
          <t>2026-10-09</t>
        </is>
      </c>
      <c r="L61" s="30" t="n"/>
    </row>
    <row r="62">
      <c r="A62" s="30" t="inlineStr">
        <is>
          <t>eq_gillnet</t>
        </is>
      </c>
      <c r="B62" s="30" t="inlineStr">
        <is>
          <t>Multi-mesh survey gill net (benthic Nordic type, 30 × 1.5 m, 12 panels, 5–55 mm)</t>
        </is>
      </c>
      <c r="C62" s="30" t="inlineStr">
        <is>
          <t>Equipment</t>
        </is>
      </c>
      <c r="D62" s="30" t="inlineStr">
        <is>
          <t>each</t>
        </is>
      </c>
      <c r="E62" s="31" t="n">
        <v>500</v>
      </c>
      <c r="F62" s="30" t="inlineStr">
        <is>
          <t>USD</t>
        </is>
      </c>
      <c r="G62" s="32">
        <f>IF(F62="EUR",E62*$B$4,E62)</f>
        <v/>
      </c>
      <c r="H62" s="30" t="inlineStr">
        <is>
          <t>[est]</t>
        </is>
      </c>
      <c r="I62" s="30" t="inlineStr">
        <is>
          <t>Ontario MNR NORDIC index netting manual: Lundgrens Nordic net approx. CAD 700 each (undated); about USD 500 at ~0.72 USD/CAD, rounded</t>
        </is>
      </c>
      <c r="J62" s="30" t="inlineStr">
        <is>
          <t>https://www.ontario.ca/page/nordic-index-netting-manual</t>
        </is>
      </c>
      <c r="K62" s="30" t="inlineStr">
        <is>
          <t>2026-10-09</t>
        </is>
      </c>
      <c r="L62" s="30" t="inlineStr">
        <is>
          <t>No current list price found. Get a quote (Lundgrens Fiskredskapsfabrik, Stockholm).</t>
        </is>
      </c>
    </row>
    <row r="63">
      <c r="A63" s="30" t="inlineStr">
        <is>
          <t>eq_net_rig</t>
        </is>
      </c>
      <c r="B63" s="30" t="inlineStr">
        <is>
          <t>Gill-net anchors + buoy lines (one net)</t>
        </is>
      </c>
      <c r="C63" s="30" t="inlineStr">
        <is>
          <t>Equipment</t>
        </is>
      </c>
      <c r="D63" s="30" t="inlineStr">
        <is>
          <t>set</t>
        </is>
      </c>
      <c r="E63" s="31" t="n">
        <v>50</v>
      </c>
      <c r="F63" s="30" t="inlineStr">
        <is>
          <t>USD</t>
        </is>
      </c>
      <c r="G63" s="32">
        <f>IF(F63="EUR",E63*$B$4,E63)</f>
        <v/>
      </c>
      <c r="H63" s="30" t="inlineStr">
        <is>
          <t>[est]</t>
        </is>
      </c>
      <c r="I63" s="30" t="inlineStr">
        <is>
          <t>Evaluator estimate</t>
        </is>
      </c>
      <c r="J63" s="30" t="n"/>
      <c r="K63" s="30" t="inlineStr">
        <is>
          <t>2026-10-09</t>
        </is>
      </c>
      <c r="L63" s="30" t="n"/>
    </row>
    <row r="64">
      <c r="A64" s="30" t="inlineStr">
        <is>
          <t>eq_chla_filt</t>
        </is>
      </c>
      <c r="B64" s="30" t="inlineStr">
        <is>
          <t>Chl-a field filtration kit (hand vacuum pump, filter funnel + flask, forceps)</t>
        </is>
      </c>
      <c r="C64" s="30" t="inlineStr">
        <is>
          <t>Equipment</t>
        </is>
      </c>
      <c r="D64" s="30" t="inlineStr">
        <is>
          <t>set</t>
        </is>
      </c>
      <c r="E64" s="31" t="n">
        <v>250</v>
      </c>
      <c r="F64" s="30" t="inlineStr">
        <is>
          <t>USD</t>
        </is>
      </c>
      <c r="G64" s="32">
        <f>IF(F64="EUR",E64*$B$4,E64)</f>
        <v/>
      </c>
      <c r="H64" s="30" t="inlineStr">
        <is>
          <t>[est]</t>
        </is>
      </c>
      <c r="I64" s="30" t="inlineStr">
        <is>
          <t>Evaluator estimate</t>
        </is>
      </c>
      <c r="J64" s="30" t="n"/>
      <c r="K64" s="30" t="inlineStr">
        <is>
          <t>2026-10-09</t>
        </is>
      </c>
      <c r="L64" s="30" t="inlineStr">
        <is>
          <t>Needed because the chl-a lab fee assumes samples filtered in the field.</t>
        </is>
      </c>
    </row>
    <row r="65">
      <c r="A65" s="30" t="inlineStr">
        <is>
          <t>cons_chla_filters</t>
        </is>
      </c>
      <c r="B65" s="30" t="inlineStr">
        <is>
          <t>GF/F filters, foil, tubes and dark sample bottles (chl-a)</t>
        </is>
      </c>
      <c r="C65" s="30" t="inlineStr">
        <is>
          <t>Consumable</t>
        </is>
      </c>
      <c r="D65" s="30" t="inlineStr">
        <is>
          <t>per year</t>
        </is>
      </c>
      <c r="E65" s="31" t="n">
        <v>100</v>
      </c>
      <c r="F65" s="30" t="inlineStr">
        <is>
          <t>USD</t>
        </is>
      </c>
      <c r="G65" s="32">
        <f>IF(F65="EUR",E65*$B$4,E65)</f>
        <v/>
      </c>
      <c r="H65" s="30" t="inlineStr">
        <is>
          <t>[est]</t>
        </is>
      </c>
      <c r="I65" s="30" t="inlineStr">
        <is>
          <t>Evaluator estimate</t>
        </is>
      </c>
      <c r="J65" s="30" t="n"/>
      <c r="K65" s="30" t="inlineStr">
        <is>
          <t>2026-10-09</t>
        </is>
      </c>
      <c r="L65" s="30" t="n"/>
    </row>
    <row r="66">
      <c r="A66" s="30" t="inlineStr">
        <is>
          <t>lab_avs</t>
        </is>
      </c>
      <c r="B66" s="30" t="inlineStr">
        <is>
          <t>Sediment acid-volatile sulfide (AVS)</t>
        </is>
      </c>
      <c r="C66" s="30" t="inlineStr">
        <is>
          <t>Lab fee</t>
        </is>
      </c>
      <c r="D66" s="30" t="inlineStr">
        <is>
          <t>per sample</t>
        </is>
      </c>
      <c r="E66" s="31" t="n">
        <v>75</v>
      </c>
      <c r="F66" s="30" t="inlineStr">
        <is>
          <t>USD</t>
        </is>
      </c>
      <c r="G66" s="32">
        <f>IF(F66="EUR",E66*$B$4,E66)</f>
        <v/>
      </c>
      <c r="H66" s="30" t="inlineStr">
        <is>
          <t>[est]</t>
        </is>
      </c>
      <c r="I66" s="30" t="inlineStr">
        <is>
          <t>Public Services and Procurement Canada average lab-cost guide: hydrogen sulfide in soil CAD 50–100 per sample; upper end used for AVS (cold-acid distillation), about USD 75 at ~0.72 USD/CAD, rounded</t>
        </is>
      </c>
      <c r="J66" s="30" t="inlineStr">
        <is>
          <t>https://gost.pwgsc-tpsgc.gc.ca/fld_cst.aspx?lang=eng</t>
        </is>
      </c>
      <c r="K66" s="30" t="inlineStr">
        <is>
          <t>2026-10-09</t>
        </is>
      </c>
      <c r="L66" s="30" t="inlineStr">
        <is>
          <t>No published per-sample AVS fee found (Eurofins quotes per project). Get a quote. Keep samples oxygen-free.</t>
        </is>
      </c>
    </row>
    <row r="67">
      <c r="A67" s="30" t="inlineStr">
        <is>
          <t>eq_lift_net</t>
        </is>
      </c>
      <c r="B67" s="30" t="inlineStr">
        <is>
          <t>Lift net, 2 mm mesh, sized to one cage (DIY)</t>
        </is>
      </c>
      <c r="C67" s="30" t="inlineStr">
        <is>
          <t>Equipment</t>
        </is>
      </c>
      <c r="D67" s="30" t="inlineStr">
        <is>
          <t>each</t>
        </is>
      </c>
      <c r="E67" s="31" t="n">
        <v>75</v>
      </c>
      <c r="F67" s="30" t="inlineStr">
        <is>
          <t>USD</t>
        </is>
      </c>
      <c r="G67" s="32">
        <f>IF(F67="EUR",E67*$B$4,E67)</f>
        <v/>
      </c>
      <c r="H67" s="30" t="inlineStr">
        <is>
          <t>[est]</t>
        </is>
      </c>
      <c r="I67" s="30" t="inlineStr">
        <is>
          <t>Evaluator estimate</t>
        </is>
      </c>
      <c r="J67" s="30" t="n"/>
      <c r="K67" s="30" t="inlineStr">
        <is>
          <t>2026-10-09</t>
        </is>
      </c>
      <c r="L67" s="30" t="n"/>
    </row>
    <row r="68">
      <c r="A68" s="30" t="inlineStr">
        <is>
          <t>eq_drop_suction</t>
        </is>
      </c>
      <c r="B68" s="30" t="inlineStr">
        <is>
          <t>Drop net (1 m²) + suction sampler with small engine pump (DIY)</t>
        </is>
      </c>
      <c r="C68" s="30" t="inlineStr">
        <is>
          <t>Equipment</t>
        </is>
      </c>
      <c r="D68" s="30" t="inlineStr">
        <is>
          <t>set</t>
        </is>
      </c>
      <c r="E68" s="31" t="n">
        <v>500</v>
      </c>
      <c r="F68" s="30" t="inlineStr">
        <is>
          <t>USD</t>
        </is>
      </c>
      <c r="G68" s="32">
        <f>IF(F68="EUR",E68*$B$4,E68)</f>
        <v/>
      </c>
      <c r="H68" s="30" t="inlineStr">
        <is>
          <t>[est]</t>
        </is>
      </c>
      <c r="I68" s="30" t="inlineStr">
        <is>
          <t>Evaluator estimate</t>
        </is>
      </c>
      <c r="J68" s="30" t="n"/>
      <c r="K68" s="30" t="inlineStr">
        <is>
          <t>2026-10-09</t>
        </is>
      </c>
      <c r="L68" s="30" t="inlineStr">
        <is>
          <t>Not a sundry: get a build or purchase quote. Snorkel-operable in shallow water; deeper sites need divers.</t>
        </is>
      </c>
    </row>
    <row r="69">
      <c r="A69" s="30" t="inlineStr">
        <is>
          <t>eq_ph_orp_meter</t>
        </is>
      </c>
      <c r="B69" s="30" t="inlineStr">
        <is>
          <t>Portable pH/ORP meter with pH electrode (Hanna HI98191)</t>
        </is>
      </c>
      <c r="C69" s="30" t="inlineStr">
        <is>
          <t>Equipment</t>
        </is>
      </c>
      <c r="D69" s="30" t="inlineStr">
        <is>
          <t>each</t>
        </is>
      </c>
      <c r="E69" s="31" t="n">
        <v>760</v>
      </c>
      <c r="F69" s="30" t="inlineStr">
        <is>
          <t>USD</t>
        </is>
      </c>
      <c r="G69" s="32">
        <f>IF(F69="EUR",E69*$B$4,E69)</f>
        <v/>
      </c>
      <c r="H69" s="30" t="inlineStr">
        <is>
          <t>[list]</t>
        </is>
      </c>
      <c r="I69" s="30" t="inlineStr">
        <is>
          <t>MedicalExpo Hanna catalogue, indicative price excl. tax</t>
        </is>
      </c>
      <c r="J69" s="30" t="inlineStr">
        <is>
          <t>https://www.medicalexpo.com/prod/hanna-instruments-80622.html</t>
        </is>
      </c>
      <c r="K69" s="30" t="inlineStr">
        <is>
          <t>2026-10-09</t>
        </is>
      </c>
      <c r="L69" s="30" t="n"/>
    </row>
    <row r="70">
      <c r="A70" s="30" t="inlineStr">
        <is>
          <t>eq_orp_electrode</t>
        </is>
      </c>
      <c r="B70" s="30" t="inlineStr">
        <is>
          <t>Platinum ORP electrode (Hanna HI36180)</t>
        </is>
      </c>
      <c r="C70" s="30" t="inlineStr">
        <is>
          <t>Equipment</t>
        </is>
      </c>
      <c r="D70" s="30" t="inlineStr">
        <is>
          <t>each</t>
        </is>
      </c>
      <c r="E70" s="31" t="n">
        <v>220</v>
      </c>
      <c r="F70" s="30" t="inlineStr">
        <is>
          <t>USD</t>
        </is>
      </c>
      <c r="G70" s="32">
        <f>IF(F70="EUR",E70*$B$4,E70)</f>
        <v/>
      </c>
      <c r="H70" s="30" t="inlineStr">
        <is>
          <t>[list]</t>
        </is>
      </c>
      <c r="I70" s="30" t="inlineStr">
        <is>
          <t>MedicalExpo Hanna catalogue, indicative price excl. tax</t>
        </is>
      </c>
      <c r="J70" s="30" t="inlineStr">
        <is>
          <t>https://www.medicalexpo.com/prod/hanna-instruments-80622.html</t>
        </is>
      </c>
      <c r="K70" s="30" t="inlineStr">
        <is>
          <t>2026-10-09</t>
        </is>
      </c>
      <c r="L70" s="30" t="inlineStr">
        <is>
          <t>Needed for sediment Eh (MOM-B).</t>
        </is>
      </c>
    </row>
    <row r="71">
      <c r="A71" s="30" t="inlineStr">
        <is>
          <t>eq_spotting_scope</t>
        </is>
      </c>
      <c r="B71" s="30" t="inlineStr">
        <is>
          <t>Spotting scope with tripod (Vortex Crossfire HD, angled)</t>
        </is>
      </c>
      <c r="C71" s="30" t="inlineStr">
        <is>
          <t>Equipment</t>
        </is>
      </c>
      <c r="D71" s="30" t="inlineStr">
        <is>
          <t>each</t>
        </is>
      </c>
      <c r="E71" s="31" t="n">
        <v>299.99</v>
      </c>
      <c r="F71" s="30" t="inlineStr">
        <is>
          <t>USD</t>
        </is>
      </c>
      <c r="G71" s="32">
        <f>IF(F71="EUR",E71*$B$4,E71)</f>
        <v/>
      </c>
      <c r="H71" s="30" t="inlineStr">
        <is>
          <t>[list]</t>
        </is>
      </c>
      <c r="I71" s="30" t="inlineStr">
        <is>
          <t>Cabela's</t>
        </is>
      </c>
      <c r="J71" s="30" t="inlineStr">
        <is>
          <t>https://www.cabelas.com/shop/en/vortex-crossfire-hd-spotting-scope-16-48x65mm-4038502</t>
        </is>
      </c>
      <c r="K71" s="30" t="inlineStr">
        <is>
          <t>2026-10-09</t>
        </is>
      </c>
      <c r="L71" s="30" t="inlineStr">
        <is>
          <t>Listed $199.99–$299.99 by size, tripod included; top of range used.</t>
        </is>
      </c>
    </row>
    <row r="72">
      <c r="A72" s="30" t="inlineStr">
        <is>
          <t>eq_pvc_poles</t>
        </is>
      </c>
      <c r="B72" s="30" t="inlineStr">
        <is>
          <t>PVC camera poles + field-of-view markers (DIY)</t>
        </is>
      </c>
      <c r="C72" s="30" t="inlineStr">
        <is>
          <t>Equipment</t>
        </is>
      </c>
      <c r="D72" s="30" t="inlineStr">
        <is>
          <t>set</t>
        </is>
      </c>
      <c r="E72" s="31" t="n">
        <v>50</v>
      </c>
      <c r="F72" s="30" t="inlineStr">
        <is>
          <t>USD</t>
        </is>
      </c>
      <c r="G72" s="32">
        <f>IF(F72="EUR",E72*$B$4,E72)</f>
        <v/>
      </c>
      <c r="H72" s="30" t="inlineStr">
        <is>
          <t>[est]</t>
        </is>
      </c>
      <c r="I72" s="30" t="inlineStr">
        <is>
          <t>Evaluator estimate</t>
        </is>
      </c>
      <c r="J72" s="30" t="n"/>
      <c r="K72" s="30" t="inlineStr">
        <is>
          <t>2026-10-09</t>
        </is>
      </c>
      <c r="L72" s="30" t="n"/>
    </row>
    <row r="73">
      <c r="A73" s="30" t="inlineStr">
        <is>
          <t>cons_settle_plate</t>
        </is>
      </c>
      <c r="B73" s="30" t="inlineStr">
        <is>
          <t>Settlement plate, PVC 15 × 15 cm, with line and weight (DIY)</t>
        </is>
      </c>
      <c r="C73" s="30" t="inlineStr">
        <is>
          <t>Consumable</t>
        </is>
      </c>
      <c r="D73" s="30" t="inlineStr">
        <is>
          <t>each</t>
        </is>
      </c>
      <c r="E73" s="31" t="n">
        <v>10</v>
      </c>
      <c r="F73" s="30" t="inlineStr">
        <is>
          <t>USD</t>
        </is>
      </c>
      <c r="G73" s="32">
        <f>IF(F73="EUR",E73*$B$4,E73)</f>
        <v/>
      </c>
      <c r="H73" s="30" t="inlineStr">
        <is>
          <t>[est]</t>
        </is>
      </c>
      <c r="I73" s="30" t="inlineStr">
        <is>
          <t>Evaluator estimate</t>
        </is>
      </c>
      <c r="J73" s="30" t="n"/>
      <c r="K73" s="30" t="inlineStr">
        <is>
          <t>2026-10-09</t>
        </is>
      </c>
      <c r="L73" s="30" t="inlineStr">
        <is>
          <t>One plate retrieved per sample.</t>
        </is>
      </c>
    </row>
    <row r="74">
      <c r="A74" s="30" t="inlineStr">
        <is>
          <t>eq_field_id_kit</t>
        </is>
      </c>
      <c r="B74" s="30" t="inlineStr">
        <is>
          <t>Field ID kit (regional marine invertebrate guide, hand lens, sorting tray, forceps)</t>
        </is>
      </c>
      <c r="C74" s="30" t="inlineStr">
        <is>
          <t>Equipment</t>
        </is>
      </c>
      <c r="D74" s="30" t="inlineStr">
        <is>
          <t>set</t>
        </is>
      </c>
      <c r="E74" s="31" t="n">
        <v>80</v>
      </c>
      <c r="F74" s="30" t="inlineStr">
        <is>
          <t>USD</t>
        </is>
      </c>
      <c r="G74" s="32">
        <f>IF(F74="EUR",E74*$B$4,E74)</f>
        <v/>
      </c>
      <c r="H74" s="30" t="inlineStr">
        <is>
          <t>[est]</t>
        </is>
      </c>
      <c r="I74" s="30" t="inlineStr">
        <is>
          <t>Evaluator estimate</t>
        </is>
      </c>
      <c r="J74" s="30" t="n"/>
      <c r="K74" s="30" t="inlineStr">
        <is>
          <t>2026-10-13</t>
        </is>
      </c>
      <c r="L74" s="30" t="inlineStr">
        <is>
          <t>For counts identified in the field under the lab-fee waiver (Peter, 2026-10-13).</t>
        </is>
      </c>
    </row>
    <row r="75">
      <c r="A75" s="30" t="inlineStr">
        <is>
          <t>eq_wave_gauge</t>
        </is>
      </c>
      <c r="B75" s="30" t="inlineStr">
        <is>
          <t>Wave-resolving pressure logger (e.g. RBRsolo³ D | wave)</t>
        </is>
      </c>
      <c r="C75" s="30" t="inlineStr">
        <is>
          <t>Equipment</t>
        </is>
      </c>
      <c r="D75" s="30" t="inlineStr">
        <is>
          <t>each</t>
        </is>
      </c>
      <c r="E75" s="31" t="n">
        <v>2000</v>
      </c>
      <c r="F75" s="30" t="inlineStr">
        <is>
          <t>USD</t>
        </is>
      </c>
      <c r="G75" s="32">
        <f>IF(F75="EUR",E75*$B$4,E75)</f>
        <v/>
      </c>
      <c r="H75" s="30" t="inlineStr">
        <is>
          <t>[est]</t>
        </is>
      </c>
      <c r="I75" s="30" t="inlineStr">
        <is>
          <t>Mississippi State Univ. (MAFES): commercial wave gauges range $1,500–$30,000; the MSU DIY gauge ($160 parts) is 10–14× cheaper than its commercial counterpart (RBRsolo D), i.e. about $1.6K–2.2K</t>
        </is>
      </c>
      <c r="J75" s="30" t="inlineStr">
        <is>
          <t>https://www.mafes.msstate.edu/discovers/article.asp?id=149</t>
        </is>
      </c>
      <c r="K75" s="30" t="inlineStr">
        <is>
          <t>2026-10-13</t>
        </is>
      </c>
      <c r="L75" s="30" t="inlineStr">
        <is>
          <t>No public list price; get a quote (RBR). Must sample ≥2 Hz; HOBO U20L water-level loggers are not wave-resolving.</t>
        </is>
      </c>
    </row>
    <row r="76">
      <c r="A76" s="30" t="inlineStr">
        <is>
          <t>eq_do_meter</t>
        </is>
      </c>
      <c r="B76" s="30" t="inlineStr">
        <is>
          <t>Handheld DO meter with 4 m cable probe (Hanna HI98193/4)</t>
        </is>
      </c>
      <c r="C76" s="30" t="inlineStr">
        <is>
          <t>Equipment</t>
        </is>
      </c>
      <c r="D76" s="30" t="inlineStr">
        <is>
          <t>each</t>
        </is>
      </c>
      <c r="E76" s="31" t="n">
        <v>620</v>
      </c>
      <c r="F76" s="30" t="inlineStr">
        <is>
          <t>USD</t>
        </is>
      </c>
      <c r="G76" s="32">
        <f>IF(F76="EUR",E76*$B$4,E76)</f>
        <v/>
      </c>
      <c r="H76" s="30" t="inlineStr">
        <is>
          <t>[est]</t>
        </is>
      </c>
      <c r="I76" s="30" t="inlineStr">
        <is>
          <t>Instrument Choice (AU): AUD 945 + GST; about USD 620 at ~0.66 USD/AUD, rounded</t>
        </is>
      </c>
      <c r="J76" s="30" t="inlineStr">
        <is>
          <t>https://instrumentchoice.com.au/shop-by-brand/hanna-instruments</t>
        </is>
      </c>
      <c r="K76" s="30" t="inlineStr">
        <is>
          <t>2026-10-13</t>
        </is>
      </c>
      <c r="L76" s="30" t="inlineStr">
        <is>
          <t>Ships with 2 membrane caps and electrolyte. No current USD list price found.</t>
        </is>
      </c>
    </row>
    <row r="77">
      <c r="A77" s="30" t="inlineStr">
        <is>
          <t>cons_do_membrane</t>
        </is>
      </c>
      <c r="B77" s="30" t="inlineStr">
        <is>
          <t>DO membrane caps + electrolyte (polarographic probe)</t>
        </is>
      </c>
      <c r="C77" s="30" t="inlineStr">
        <is>
          <t>Consumable</t>
        </is>
      </c>
      <c r="D77" s="30" t="inlineStr">
        <is>
          <t>per year</t>
        </is>
      </c>
      <c r="E77" s="31" t="n">
        <v>50</v>
      </c>
      <c r="F77" s="30" t="inlineStr">
        <is>
          <t>USD</t>
        </is>
      </c>
      <c r="G77" s="32">
        <f>IF(F77="EUR",E77*$B$4,E77)</f>
        <v/>
      </c>
      <c r="H77" s="30" t="inlineStr">
        <is>
          <t>[est]</t>
        </is>
      </c>
      <c r="I77" s="30" t="inlineStr">
        <is>
          <t>Evaluator estimate</t>
        </is>
      </c>
      <c r="J77" s="30" t="n"/>
      <c r="K77" s="30" t="inlineStr">
        <is>
          <t>2026-10-13</t>
        </is>
      </c>
      <c r="L77" s="30" t="n"/>
    </row>
    <row r="78">
      <c r="A78" s="30" t="inlineStr">
        <is>
          <t>eq_calipers</t>
        </is>
      </c>
      <c r="B78" s="30" t="inlineStr">
        <is>
          <t>Calipers, 150 mm (shell size)</t>
        </is>
      </c>
      <c r="C78" s="30" t="inlineStr">
        <is>
          <t>Equipment</t>
        </is>
      </c>
      <c r="D78" s="30" t="inlineStr">
        <is>
          <t>each</t>
        </is>
      </c>
      <c r="E78" s="31" t="n">
        <v>30</v>
      </c>
      <c r="F78" s="30" t="inlineStr">
        <is>
          <t>USD</t>
        </is>
      </c>
      <c r="G78" s="32">
        <f>IF(F78="EUR",E78*$B$4,E78)</f>
        <v/>
      </c>
      <c r="H78" s="30" t="inlineStr">
        <is>
          <t>[est]</t>
        </is>
      </c>
      <c r="I78" s="30" t="inlineStr">
        <is>
          <t>Evaluator estimate</t>
        </is>
      </c>
      <c r="J78" s="30" t="n"/>
      <c r="K78" s="30" t="inlineStr">
        <is>
          <t>2026-10-13</t>
        </is>
      </c>
      <c r="L78" s="30" t="n"/>
    </row>
    <row r="79">
      <c r="A79" s="30" t="inlineStr">
        <is>
          <t>cons_sisal_trap</t>
        </is>
      </c>
      <c r="B79" s="30" t="inlineStr">
        <is>
          <t>Sisal-rope fauna trap, 1 m, untwisted (DIY, one per sample)</t>
        </is>
      </c>
      <c r="C79" s="30" t="inlineStr">
        <is>
          <t>Consumable</t>
        </is>
      </c>
      <c r="D79" s="30" t="inlineStr">
        <is>
          <t>each</t>
        </is>
      </c>
      <c r="E79" s="31" t="n">
        <v>5</v>
      </c>
      <c r="F79" s="30" t="inlineStr">
        <is>
          <t>USD</t>
        </is>
      </c>
      <c r="G79" s="32">
        <f>IF(F79="EUR",E79*$B$4,E79)</f>
        <v/>
      </c>
      <c r="H79" s="30" t="inlineStr">
        <is>
          <t>[est]</t>
        </is>
      </c>
      <c r="I79" s="30" t="inlineStr">
        <is>
          <t>Evaluator estimate; trap design per Bekkby et al. 2023</t>
        </is>
      </c>
      <c r="J79" s="30" t="n"/>
      <c r="K79" s="30" t="inlineStr">
        <is>
          <t>2026-10-13</t>
        </is>
      </c>
      <c r="L79" s="30" t="n"/>
    </row>
    <row r="80">
      <c r="A80" s="30" t="inlineStr">
        <is>
          <t>eq_chl_logger</t>
        </is>
      </c>
      <c r="B80" s="30" t="inlineStr">
        <is>
          <t>Chlorophyll fluorescence logger (e.g. Turner Cyclops-7F in a self-logging housing such as the PME Cyclops-7 Logger)</t>
        </is>
      </c>
      <c r="C80" s="30" t="inlineStr">
        <is>
          <t>Equipment</t>
        </is>
      </c>
      <c r="D80" s="30" t="inlineStr">
        <is>
          <t>each</t>
        </is>
      </c>
      <c r="E80" s="31" t="n">
        <v>4000</v>
      </c>
      <c r="F80" s="30" t="inlineStr">
        <is>
          <t>USD</t>
        </is>
      </c>
      <c r="G80" s="32">
        <f>IF(F80="EUR",E80*$B$4,E80)</f>
        <v/>
      </c>
      <c r="H80" s="30" t="inlineStr">
        <is>
          <t>[est]</t>
        </is>
      </c>
      <c r="I80" s="30" t="inlineStr">
        <is>
          <t>Evaluator estimate (sensor + self-logging housing); no public list price found — Turner Designs and PME quote on request</t>
        </is>
      </c>
      <c r="J80" s="30" t="inlineStr">
        <is>
          <t>https://fondriest.com/turner-designs-cyclops-7f-submersible-sensors.htm</t>
        </is>
      </c>
      <c r="K80" s="30" t="inlineStr">
        <is>
          <t>2026-10-13</t>
        </is>
      </c>
      <c r="L80" s="30" t="inlineStr">
        <is>
          <t>Peter asked for an estimate so the sensor chl-a rows can be costed (2026-10-13). Three loggers drop to Medium below about $3,200 a unit. Get a quote.</t>
        </is>
      </c>
    </row>
    <row r="81">
      <c r="A81" s="30" t="inlineStr">
        <is>
          <t>lab_hplc</t>
        </is>
      </c>
      <c r="B81" s="30" t="inlineStr">
        <is>
          <t>Phytoplankton pigments by HPLC, full suite (20+ pigments)</t>
        </is>
      </c>
      <c r="C81" s="30" t="inlineStr">
        <is>
          <t>Lab fee</t>
        </is>
      </c>
      <c r="D81" s="30" t="inlineStr">
        <is>
          <t>per sample</t>
        </is>
      </c>
      <c r="E81" s="31" t="n">
        <v>83.5</v>
      </c>
      <c r="F81" s="30" t="inlineStr">
        <is>
          <t>USD</t>
        </is>
      </c>
      <c r="G81" s="32">
        <f>IF(F81="EUR",E81*$B$4,E81)</f>
        <v/>
      </c>
      <c r="H81" s="30" t="inlineStr">
        <is>
          <t>[lab fee]</t>
        </is>
      </c>
      <c r="I81" s="30" t="inlineStr">
        <is>
          <t>UMCES Horn Point Laboratory Analytical Services — off-campus price list, effective 1 Feb 2019</t>
        </is>
      </c>
      <c r="J81" s="30" t="inlineStr">
        <is>
          <t>https://www.umces.edu/sites/default/files/Analytical%20Services%20-%20Out%20of%20house%20price%20list%202019.pdf</t>
        </is>
      </c>
      <c r="K81" s="30" t="inlineStr">
        <is>
          <t>2026-10-13</t>
        </is>
      </c>
      <c r="L81" s="30" t="inlineStr">
        <is>
          <t>2019 price, not inflation-adjusted; field-filtered (lab filtration +$6.20). Florence univ. lab: €130.</t>
        </is>
      </c>
    </row>
    <row r="82">
      <c r="A82" s="30" t="inlineStr">
        <is>
          <t>lab_dry_mass</t>
        </is>
      </c>
      <c r="B82" s="30" t="inlineStr">
        <is>
          <t>Dry mass of a biological sample (oven-dry to constant weight + weigh)</t>
        </is>
      </c>
      <c r="C82" s="30" t="inlineStr">
        <is>
          <t>Lab fee</t>
        </is>
      </c>
      <c r="D82" s="30" t="inlineStr">
        <is>
          <t>per sample</t>
        </is>
      </c>
      <c r="E82" s="31" t="n">
        <v>15</v>
      </c>
      <c r="F82" s="30" t="inlineStr">
        <is>
          <t>USD</t>
        </is>
      </c>
      <c r="G82" s="32">
        <f>IF(F82="EUR",E82*$B$4,E82)</f>
        <v/>
      </c>
      <c r="H82" s="30" t="inlineStr">
        <is>
          <t>[est]</t>
        </is>
      </c>
      <c r="I82" s="30" t="inlineStr">
        <is>
          <t>Evaluator estimate</t>
        </is>
      </c>
      <c r="J82" s="30" t="n"/>
      <c r="K82" s="30" t="inlineStr">
        <is>
          <t>2026-10-13</t>
        </is>
      </c>
      <c r="L82" s="30" t="inlineStr">
        <is>
          <t>Added for powers_2007_hb111 (epibiota dry biomass). No published per-sample fee captured; get a quote.</t>
        </is>
      </c>
    </row>
    <row r="83">
      <c r="A83" s="30" t="inlineStr">
        <is>
          <t>eq_benthic_chamber</t>
        </is>
      </c>
      <c r="B83" s="30" t="inlineStr">
        <is>
          <t>Benthic incubation chamber, open-bottomed with stirrer and frame (DIY)</t>
        </is>
      </c>
      <c r="C83" s="30" t="inlineStr">
        <is>
          <t>Equipment</t>
        </is>
      </c>
      <c r="D83" s="30" t="inlineStr">
        <is>
          <t>each</t>
        </is>
      </c>
      <c r="E83" s="31" t="n">
        <v>300</v>
      </c>
      <c r="F83" s="30" t="inlineStr">
        <is>
          <t>USD</t>
        </is>
      </c>
      <c r="G83" s="32">
        <f>IF(F83="EUR",E83*$B$4,E83)</f>
        <v/>
      </c>
      <c r="H83" s="30" t="inlineStr">
        <is>
          <t>[est]</t>
        </is>
      </c>
      <c r="I83" s="30" t="inlineStr">
        <is>
          <t>Evaluator estimate</t>
        </is>
      </c>
      <c r="J83" s="30" t="n"/>
      <c r="K83" s="30" t="inlineStr">
        <is>
          <t>2026-10-13</t>
        </is>
      </c>
      <c r="L83" s="30" t="inlineStr">
        <is>
          <t>Added for visch_2020_hb141 (sediment oxygen flux). Get a quote or build cost.</t>
        </is>
      </c>
    </row>
    <row r="84">
      <c r="A84" s="30" t="inlineStr">
        <is>
          <t>eq_sieve_2mm</t>
        </is>
      </c>
      <c r="B84" s="30" t="inlineStr">
        <is>
          <t>Sieve, 2 mm mesh</t>
        </is>
      </c>
      <c r="C84" s="30" t="inlineStr">
        <is>
          <t>Equipment</t>
        </is>
      </c>
      <c r="D84" s="30" t="inlineStr">
        <is>
          <t>each</t>
        </is>
      </c>
      <c r="E84" s="31" t="n">
        <v>150</v>
      </c>
      <c r="F84" s="30" t="inlineStr">
        <is>
          <t>USD</t>
        </is>
      </c>
      <c r="G84" s="32">
        <f>IF(F84="EUR",E84*$B$4,E84)</f>
        <v/>
      </c>
      <c r="H84" s="30" t="inlineStr">
        <is>
          <t>[est]</t>
        </is>
      </c>
      <c r="I84" s="30" t="inlineStr">
        <is>
          <t>Evaluator estimate (same basis as eq_sieve)</t>
        </is>
      </c>
      <c r="J84" s="30" t="n"/>
      <c r="K84" s="30" t="inlineStr">
        <is>
          <t>2026-10-13</t>
        </is>
      </c>
    </row>
  </sheetData>
  <autoFilter ref="A6:L81"/>
  <mergeCells count="3">
    <mergeCell ref="A3:L3"/>
    <mergeCell ref="A2:L2"/>
    <mergeCell ref="C4:H4"/>
  </mergeCells>
  <hyperlinks>
    <hyperlink xmlns:r="http://schemas.openxmlformats.org/officeDocument/2006/relationships" ref="I4" r:id="rId1"/>
    <hyperlink xmlns:r="http://schemas.openxmlformats.org/officeDocument/2006/relationships" ref="J7" r:id="rId2"/>
    <hyperlink xmlns:r="http://schemas.openxmlformats.org/officeDocument/2006/relationships" ref="J8" r:id="rId3"/>
    <hyperlink xmlns:r="http://schemas.openxmlformats.org/officeDocument/2006/relationships" ref="J9" r:id="rId4"/>
    <hyperlink xmlns:r="http://schemas.openxmlformats.org/officeDocument/2006/relationships" ref="J10" r:id="rId5"/>
    <hyperlink xmlns:r="http://schemas.openxmlformats.org/officeDocument/2006/relationships" ref="J11" r:id="rId6"/>
    <hyperlink xmlns:r="http://schemas.openxmlformats.org/officeDocument/2006/relationships" ref="J12" r:id="rId7"/>
    <hyperlink xmlns:r="http://schemas.openxmlformats.org/officeDocument/2006/relationships" ref="J13" r:id="rId8"/>
    <hyperlink xmlns:r="http://schemas.openxmlformats.org/officeDocument/2006/relationships" ref="J14" r:id="rId9"/>
    <hyperlink xmlns:r="http://schemas.openxmlformats.org/officeDocument/2006/relationships" ref="J15" r:id="rId10"/>
    <hyperlink xmlns:r="http://schemas.openxmlformats.org/officeDocument/2006/relationships" ref="J16" r:id="rId11"/>
    <hyperlink xmlns:r="http://schemas.openxmlformats.org/officeDocument/2006/relationships" ref="J17" r:id="rId12"/>
    <hyperlink xmlns:r="http://schemas.openxmlformats.org/officeDocument/2006/relationships" ref="J18" r:id="rId13"/>
    <hyperlink xmlns:r="http://schemas.openxmlformats.org/officeDocument/2006/relationships" ref="J19" r:id="rId14"/>
    <hyperlink xmlns:r="http://schemas.openxmlformats.org/officeDocument/2006/relationships" ref="J21" r:id="rId15"/>
    <hyperlink xmlns:r="http://schemas.openxmlformats.org/officeDocument/2006/relationships" ref="J22" r:id="rId16"/>
    <hyperlink xmlns:r="http://schemas.openxmlformats.org/officeDocument/2006/relationships" ref="J23" r:id="rId17"/>
    <hyperlink xmlns:r="http://schemas.openxmlformats.org/officeDocument/2006/relationships" ref="J24" r:id="rId18"/>
    <hyperlink xmlns:r="http://schemas.openxmlformats.org/officeDocument/2006/relationships" ref="J26" r:id="rId19"/>
    <hyperlink xmlns:r="http://schemas.openxmlformats.org/officeDocument/2006/relationships" ref="J27" r:id="rId20"/>
    <hyperlink xmlns:r="http://schemas.openxmlformats.org/officeDocument/2006/relationships" ref="J29" r:id="rId21"/>
    <hyperlink xmlns:r="http://schemas.openxmlformats.org/officeDocument/2006/relationships" ref="J30" r:id="rId22"/>
    <hyperlink xmlns:r="http://schemas.openxmlformats.org/officeDocument/2006/relationships" ref="J32" r:id="rId23"/>
    <hyperlink xmlns:r="http://schemas.openxmlformats.org/officeDocument/2006/relationships" ref="J34" r:id="rId24"/>
    <hyperlink xmlns:r="http://schemas.openxmlformats.org/officeDocument/2006/relationships" ref="J41" r:id="rId25"/>
    <hyperlink xmlns:r="http://schemas.openxmlformats.org/officeDocument/2006/relationships" ref="J54" r:id="rId26"/>
    <hyperlink xmlns:r="http://schemas.openxmlformats.org/officeDocument/2006/relationships" ref="J55" r:id="rId2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77"/>
  <sheetViews>
    <sheetView workbookViewId="0">
      <pane ySplit="1" topLeftCell="A2" activePane="bottomLeft" state="frozen"/>
      <selection pane="bottomLeft" activeCell="A1" sqref="A1"/>
    </sheetView>
  </sheetViews>
  <sheetFormatPr baseColWidth="8" defaultRowHeight="15"/>
  <cols>
    <col width="30" customWidth="1" min="1" max="1"/>
    <col width="28" customWidth="1" min="2" max="2"/>
    <col width="12" customWidth="1" min="3" max="3"/>
    <col width="34" customWidth="1" min="4" max="4"/>
    <col width="11" customWidth="1" min="5" max="5"/>
    <col width="44" customWidth="1" min="6" max="6"/>
    <col width="70" customWidth="1" min="7" max="7"/>
  </cols>
  <sheetData>
    <row r="1">
      <c r="A1" s="12" t="inlineStr">
        <is>
          <t>Protocol ID</t>
        </is>
      </c>
      <c r="B1" s="12" t="inlineStr">
        <is>
          <t>MEL Indicator</t>
        </is>
      </c>
      <c r="C1" s="12" t="inlineStr">
        <is>
          <t>Protocol / Reference</t>
        </is>
      </c>
      <c r="D1" s="12" t="inlineStr">
        <is>
          <t>Monitoring method</t>
        </is>
      </c>
      <c r="E1" s="12" t="inlineStr">
        <is>
          <t>Status</t>
        </is>
      </c>
      <c r="F1" s="12" t="inlineStr">
        <is>
          <t>Basis</t>
        </is>
      </c>
      <c r="G1" s="12" t="inlineStr">
        <is>
          <t>Evidence (matched text)</t>
        </is>
      </c>
    </row>
    <row r="2">
      <c r="A2" s="44" t="inlineStr">
        <is>
          <t>corrigan_2022</t>
        </is>
      </c>
      <c r="B2" s="44" t="inlineStr">
        <is>
          <t>H&amp;B 1.1.1 — Epibiota, H&amp;B 1.2.1 — Mobile fauna, H&amp;B 2.1.1 — Community composition</t>
        </is>
      </c>
      <c r="C2" s="44" t="inlineStr">
        <is>
          <t>Reference</t>
        </is>
      </c>
      <c r="D2" s="44" t="inlineStr">
        <is>
          <t>Benthic infauna community</t>
        </is>
      </c>
      <c r="E2" s="44" t="inlineStr">
        <is>
          <t>Not listed</t>
        </is>
      </c>
      <c r="F2" s="44" t="inlineStr">
        <is>
          <t>Review / framework reference (no procedure)</t>
        </is>
      </c>
      <c r="G2" s="44" t="inlineStr">
        <is>
          <t>AK: …y indicator (epibiota, mobile fauna, benthic infauna, sediment, community composition), with the…</t>
        </is>
      </c>
    </row>
    <row r="3">
      <c r="A3" s="44" t="inlineStr">
        <is>
          <t>corrigan_2022</t>
        </is>
      </c>
      <c r="B3" s="44" t="inlineStr">
        <is>
          <t>H&amp;B 1.1.1 — Epibiota, H&amp;B 1.2.1 — Mobile fauna, H&amp;B 2.1.1 — Community composition</t>
        </is>
      </c>
      <c r="C3" s="44" t="inlineStr">
        <is>
          <t>Reference</t>
        </is>
      </c>
      <c r="D3" s="44" t="inlineStr">
        <is>
          <t>Epibiota on lines / structures</t>
        </is>
      </c>
      <c r="E3" s="44" t="inlineStr">
        <is>
          <t>Not listed</t>
        </is>
      </c>
      <c r="F3" s="44" t="inlineStr">
        <is>
          <t>Review / framework reference (no procedure)</t>
        </is>
      </c>
      <c r="G3" s="44" t="inlineStr">
        <is>
          <t>AK: …ng at seaweed farms, indicator by indicator (epibiota, mobile fauna, benthic infauna, sediment, c…</t>
        </is>
      </c>
    </row>
    <row r="4">
      <c r="A4" s="44" t="inlineStr">
        <is>
          <t>diruit_2022</t>
        </is>
      </c>
      <c r="B4" s="44" t="inlineStr">
        <is>
          <t>H&amp;B 2.1.1 — Community composition</t>
        </is>
      </c>
      <c r="C4" s="44" t="inlineStr">
        <is>
          <t>Protocol</t>
        </is>
      </c>
      <c r="D4" s="44" t="inlineStr">
        <is>
          <t>Drone / UAV imagery</t>
        </is>
      </c>
      <c r="E4" s="44" t="inlineStr">
        <is>
          <t>Listed</t>
        </is>
      </c>
      <c r="F4" s="44" t="inlineStr">
        <is>
          <t>Method summary (AK)</t>
        </is>
      </c>
      <c r="G4" s="44" t="inlineStr">
        <is>
          <t>AK: …line for habitat/community indicators, fly a drone carrying a hyperspectral (or multispectral) …</t>
        </is>
      </c>
    </row>
    <row r="5">
      <c r="A5" s="44" t="inlineStr">
        <is>
          <t>diruit_2022</t>
        </is>
      </c>
      <c r="B5" s="44" t="inlineStr">
        <is>
          <t>H&amp;B 2.1.1 — Community composition</t>
        </is>
      </c>
      <c r="C5" s="44" t="inlineStr">
        <is>
          <t>Protocol</t>
        </is>
      </c>
      <c r="D5" s="44" t="inlineStr">
        <is>
          <t>Farm / bloom extent mapping</t>
        </is>
      </c>
      <c r="E5" s="44" t="inlineStr">
        <is>
          <t>Listed</t>
        </is>
      </c>
      <c r="F5" s="44" t="inlineStr">
        <is>
          <t>Method summary (AK)</t>
        </is>
      </c>
      <c r="G5" s="44" t="inlineStr">
        <is>
          <t>AK: …process the imagery in gis software and classify each pixel into seaweed types using a super…</t>
        </is>
      </c>
    </row>
    <row r="6">
      <c r="A6" s="44" t="inlineStr">
        <is>
          <t>xing_2019</t>
        </is>
      </c>
      <c r="B6" s="44" t="inlineStr">
        <is>
          <t>Not in MEL framework</t>
        </is>
      </c>
      <c r="C6" s="44" t="inlineStr">
        <is>
          <t>Protocol</t>
        </is>
      </c>
      <c r="D6" s="44" t="inlineStr">
        <is>
          <t>Satellite ocean colour (chl-a)</t>
        </is>
      </c>
      <c r="E6" s="44" t="inlineStr">
        <is>
          <t>Not listed</t>
        </is>
      </c>
      <c r="F6" s="44" t="inlineStr">
        <is>
          <t>Source kit only — Equipment Type (N), not in the protocol</t>
        </is>
      </c>
      <c r="G6" s="44" t="inlineStr">
        <is>
          <t>N: …satellite imagery (sentinel/modis), uav, field spectro…</t>
        </is>
      </c>
    </row>
    <row r="7">
      <c r="A7" s="44" t="inlineStr">
        <is>
          <t>xing_2019</t>
        </is>
      </c>
      <c r="B7" s="44" t="inlineStr">
        <is>
          <t>Not in MEL framework</t>
        </is>
      </c>
      <c r="C7" s="44" t="inlineStr">
        <is>
          <t>Protocol</t>
        </is>
      </c>
      <c r="D7" s="44" t="inlineStr">
        <is>
          <t>Drone / UAV imagery</t>
        </is>
      </c>
      <c r="E7" s="44" t="inlineStr">
        <is>
          <t>Listed</t>
        </is>
      </c>
      <c r="F7" s="44" t="inlineStr">
        <is>
          <t>Method summary (AK)</t>
        </is>
      </c>
      <c r="G7" s="44" t="inlineStr">
        <is>
          <t>AK: …tide) blooms, combine satellite imagery with drone flights and, if available, field spectroradi…</t>
        </is>
      </c>
    </row>
    <row r="8">
      <c r="A8" s="44" t="inlineStr">
        <is>
          <t>xing_2019</t>
        </is>
      </c>
      <c r="B8" s="44" t="inlineStr">
        <is>
          <t>Not in MEL framework</t>
        </is>
      </c>
      <c r="C8" s="44" t="inlineStr">
        <is>
          <t>Protocol</t>
        </is>
      </c>
      <c r="D8" s="44" t="inlineStr">
        <is>
          <t>Farm / bloom extent mapping</t>
        </is>
      </c>
      <c r="E8" s="44" t="inlineStr">
        <is>
          <t>Listed</t>
        </is>
      </c>
      <c r="F8" s="44" t="inlineStr">
        <is>
          <t>Method summary (AK)</t>
        </is>
      </c>
      <c r="G8" s="44" t="inlineStr">
        <is>
          <t>AK: …to map the extent of your farm footprint and track nearby macr…</t>
        </is>
      </c>
    </row>
    <row r="9">
      <c r="A9" s="44" t="inlineStr">
        <is>
          <t>schutt_2023_hb111</t>
        </is>
      </c>
      <c r="B9" s="44" t="inlineStr">
        <is>
          <t>H&amp;B 1.1.1 — Epibiota</t>
        </is>
      </c>
      <c r="C9" s="44" t="inlineStr">
        <is>
          <t>Protocol</t>
        </is>
      </c>
      <c r="D9" s="44" t="inlineStr">
        <is>
          <t>Epifauna on crop / rope</t>
        </is>
      </c>
      <c r="E9" s="44" t="inlineStr">
        <is>
          <t>Listed</t>
        </is>
      </c>
      <c r="F9" s="44" t="inlineStr">
        <is>
          <t>Method summary (AK)</t>
        </is>
      </c>
      <c r="G9" s="44" t="inlineStr">
        <is>
          <t>AK: …s out and identifies and counts them (mostly amphipods, skeleton shrimps and copepods).…</t>
        </is>
      </c>
    </row>
    <row r="10">
      <c r="A10" s="44" t="inlineStr">
        <is>
          <t>schutt_2023_hb111</t>
        </is>
      </c>
      <c r="B10" s="44" t="inlineStr">
        <is>
          <t>H&amp;B 1.1.1 — Epibiota</t>
        </is>
      </c>
      <c r="C10" s="44" t="inlineStr">
        <is>
          <t>Protocol</t>
        </is>
      </c>
      <c r="D10" s="44" t="inlineStr">
        <is>
          <t>Invertebrate collectors / fauna traps</t>
        </is>
      </c>
      <c r="E10" s="44" t="inlineStr">
        <is>
          <t>Not listed</t>
        </is>
      </c>
      <c r="F10" s="44" t="inlineStr">
        <is>
          <t>Source kit only — Equipment Type (N), not in the protocol</t>
        </is>
      </c>
      <c r="G10" s="44" t="inlineStr">
        <is>
          <t>N: …collector devices:…</t>
        </is>
      </c>
    </row>
    <row r="11">
      <c r="A11" s="44" t="inlineStr">
        <is>
          <t>schutt_2023_hb121</t>
        </is>
      </c>
      <c r="B11" s="44" t="inlineStr">
        <is>
          <t>H&amp;B 1.2.1 — Mobile fauna</t>
        </is>
      </c>
      <c r="C11" s="44" t="inlineStr">
        <is>
          <t>Protocol</t>
        </is>
      </c>
      <c r="D11" s="44" t="inlineStr">
        <is>
          <t>Time-lapse / GoPro cameras</t>
        </is>
      </c>
      <c r="E11" s="44" t="inlineStr">
        <is>
          <t>Listed</t>
        </is>
      </c>
      <c r="F11" s="44" t="inlineStr">
        <is>
          <t>Method summary (AK)</t>
        </is>
      </c>
      <c r="G11" s="44" t="inlineStr">
        <is>
          <t>AK: …ge crustaceans use your seaweed farm, set an action camera on time-lapse (a frame every 0.5-1 s) for ab…</t>
        </is>
      </c>
    </row>
    <row r="12">
      <c r="A12" s="44" t="inlineStr">
        <is>
          <t>schutt_2023_hb211</t>
        </is>
      </c>
      <c r="B12" s="44" t="inlineStr">
        <is>
          <t>H&amp;B 2.1.1 — Community composition</t>
        </is>
      </c>
      <c r="C12" s="44" t="inlineStr">
        <is>
          <t>Protocol</t>
        </is>
      </c>
      <c r="D12" s="44" t="inlineStr">
        <is>
          <t>Time-lapse / GoPro cameras</t>
        </is>
      </c>
      <c r="E12" s="44" t="inlineStr">
        <is>
          <t>Listed</t>
        </is>
      </c>
      <c r="F12" s="44" t="inlineStr">
        <is>
          <t>Method summary (AK)</t>
        </is>
      </c>
      <c r="G12" s="44" t="inlineStr">
        <is>
          <t>AK: …at each location run [3] two-hour time-lapse camera drops on the seabed and hang [3] spon…</t>
        </is>
      </c>
    </row>
    <row r="13">
      <c r="A13" s="44" t="inlineStr">
        <is>
          <t>powers_2007_hb111</t>
        </is>
      </c>
      <c r="B13" s="44" t="inlineStr">
        <is>
          <t>H&amp;B 1.1.1 — Epibiota</t>
        </is>
      </c>
      <c r="C13" s="44" t="inlineStr">
        <is>
          <t>Protocol</t>
        </is>
      </c>
      <c r="D13" s="44" t="inlineStr">
        <is>
          <t>Epibiota on lines / structures</t>
        </is>
      </c>
      <c r="E13" s="44" t="inlineStr">
        <is>
          <t>Not listed</t>
        </is>
      </c>
      <c r="F13" s="44" t="inlineStr">
        <is>
          <t>Source kit only — Equipment Type (N), not in the protocol</t>
        </is>
      </c>
      <c r="G13" s="44" t="inlineStr">
        <is>
          <t>N: …10 × 10 cm quadrat with a buoyant 1 mm mesh enclosure…</t>
        </is>
      </c>
    </row>
    <row r="14">
      <c r="A14" s="44" t="inlineStr">
        <is>
          <t>powers_2007_hb111</t>
        </is>
      </c>
      <c r="B14" s="44" t="inlineStr">
        <is>
          <t>H&amp;B 1.1.1 — Epibiota</t>
        </is>
      </c>
      <c r="C14" s="44" t="inlineStr">
        <is>
          <t>Protocol</t>
        </is>
      </c>
      <c r="D14" s="44" t="inlineStr">
        <is>
          <t>Bivalve condition index / growth</t>
        </is>
      </c>
      <c r="E14" s="44" t="inlineStr">
        <is>
          <t>Listed</t>
        </is>
      </c>
      <c r="F14" s="44" t="inlineStr">
        <is>
          <t>Method summary (AK)</t>
        </is>
      </c>
      <c r="G14" s="44" t="inlineStr">
        <is>
          <t>AK: …sand and shell, dry the material to constant weight (about 80 °c for 24 h) and weigh it, report…</t>
        </is>
      </c>
    </row>
    <row r="15">
      <c r="A15" s="44" t="inlineStr">
        <is>
          <t>powers_2007_hb121</t>
        </is>
      </c>
      <c r="B15" s="44" t="inlineStr">
        <is>
          <t>H&amp;B 1.2.1 — Mobile fauna</t>
        </is>
      </c>
      <c r="C15" s="44" t="inlineStr">
        <is>
          <t>Protocol</t>
        </is>
      </c>
      <c r="D15" s="44" t="inlineStr">
        <is>
          <t>Nets &amp; baited traps</t>
        </is>
      </c>
      <c r="E15" s="44" t="inlineStr">
        <is>
          <t>Listed</t>
        </is>
      </c>
      <c r="F15" s="44" t="inlineStr">
        <is>
          <t>Method summary (AK)</t>
        </is>
      </c>
      <c r="G15" s="44" t="inlineStr">
        <is>
          <t>AK: …rabs using your farm, pull a small fine-mesh seine (about 4 m wide, 3 mm mesh, with a centre ba…</t>
        </is>
      </c>
    </row>
    <row r="16">
      <c r="A16" s="44" t="inlineStr">
        <is>
          <t>berger_2024_hb111</t>
        </is>
      </c>
      <c r="B16" s="44" t="inlineStr">
        <is>
          <t>H&amp;B 1.1.1 — Epibiota</t>
        </is>
      </c>
      <c r="C16" s="44" t="inlineStr">
        <is>
          <t>Protocol</t>
        </is>
      </c>
      <c r="D16" s="44" t="inlineStr">
        <is>
          <t>Temperature / salinity</t>
        </is>
      </c>
      <c r="E16" s="44" t="inlineStr">
        <is>
          <t>Listed</t>
        </is>
      </c>
      <c r="F16" s="44" t="inlineStr">
        <is>
          <t>Method summary (AK)</t>
        </is>
      </c>
      <c r="G16" s="44" t="inlineStr">
        <is>
          <t>AK: …temperature, light, current and ph/salinity can be logge…</t>
        </is>
      </c>
    </row>
    <row r="17">
      <c r="A17" s="44" t="inlineStr">
        <is>
          <t>berger_2024_hb111</t>
        </is>
      </c>
      <c r="B17" s="44" t="inlineStr">
        <is>
          <t>H&amp;B 1.1.1 — Epibiota</t>
        </is>
      </c>
      <c r="C17" s="44" t="inlineStr">
        <is>
          <t>Protocol</t>
        </is>
      </c>
      <c r="D17" s="44" t="inlineStr">
        <is>
          <t>pH</t>
        </is>
      </c>
      <c r="E17" s="44" t="inlineStr">
        <is>
          <t>Listed</t>
        </is>
      </c>
      <c r="F17" s="44" t="inlineStr">
        <is>
          <t>Method summary (AK)</t>
        </is>
      </c>
      <c r="G17" s="44" t="inlineStr">
        <is>
          <t>AK: …temperature, light, current and ph/salinity can be logged alongside for context…</t>
        </is>
      </c>
    </row>
    <row r="18">
      <c r="A18" s="44" t="inlineStr">
        <is>
          <t>berger_2024_hb111</t>
        </is>
      </c>
      <c r="B18" s="44" t="inlineStr">
        <is>
          <t>H&amp;B 1.1.1 — Epibiota</t>
        </is>
      </c>
      <c r="C18" s="44" t="inlineStr">
        <is>
          <t>Protocol</t>
        </is>
      </c>
      <c r="D18" s="44" t="inlineStr">
        <is>
          <t>Time-lapse / GoPro cameras</t>
        </is>
      </c>
      <c r="E18" s="44" t="inlineStr">
        <is>
          <t>Not listed</t>
        </is>
      </c>
      <c r="F18" s="44" t="inlineStr">
        <is>
          <t>Source kit only — Equipment Type (N), not in the protocol</t>
        </is>
      </c>
      <c r="G18" s="44" t="inlineStr">
        <is>
          <t>N: …optional action camera…</t>
        </is>
      </c>
    </row>
    <row r="19">
      <c r="A19" s="44" t="inlineStr">
        <is>
          <t>berger_2024_hb111</t>
        </is>
      </c>
      <c r="B19" s="44" t="inlineStr">
        <is>
          <t>H&amp;B 1.1.1 — Epibiota</t>
        </is>
      </c>
      <c r="C19" s="44" t="inlineStr">
        <is>
          <t>Protocol</t>
        </is>
      </c>
      <c r="D19" s="44" t="inlineStr">
        <is>
          <t>Epibiota on lines / structures</t>
        </is>
      </c>
      <c r="E19" s="44" t="inlineStr">
        <is>
          <t>Listed</t>
        </is>
      </c>
      <c r="F19" s="44" t="inlineStr">
        <is>
          <t>Method summary (AK)</t>
        </is>
      </c>
      <c r="G19" s="44" t="inlineStr">
        <is>
          <t>AK: …to document the attached life (epibionts) growing on your farm, at two spots along e…</t>
        </is>
      </c>
    </row>
    <row r="20">
      <c r="A20" s="44" t="inlineStr">
        <is>
          <t>berger_2024_hb121</t>
        </is>
      </c>
      <c r="B20" s="44" t="inlineStr">
        <is>
          <t>H&amp;B 1.2.1 — Mobile fauna</t>
        </is>
      </c>
      <c r="C20" s="44" t="inlineStr">
        <is>
          <t>Protocol</t>
        </is>
      </c>
      <c r="D20" s="44" t="inlineStr">
        <is>
          <t>Baited remote underwater video (BRUV)</t>
        </is>
      </c>
      <c r="E20" s="44" t="inlineStr">
        <is>
          <t>Listed</t>
        </is>
      </c>
      <c r="F20" s="44" t="inlineStr">
        <is>
          <t>Method summary (AK)</t>
        </is>
      </c>
      <c r="G20" s="44" t="inlineStr">
        <is>
          <t>AK: … mobile animals drawn to your farm, deploy a baited underwater video camera (bruv) on the seabed near the farm fo…</t>
        </is>
      </c>
    </row>
    <row r="21">
      <c r="A21" s="44" t="inlineStr">
        <is>
          <t>berger_2024_hb121</t>
        </is>
      </c>
      <c r="B21" s="44" t="inlineStr">
        <is>
          <t>H&amp;B 1.2.1 — Mobile fauna</t>
        </is>
      </c>
      <c r="C21" s="44" t="inlineStr">
        <is>
          <t>Protocol</t>
        </is>
      </c>
      <c r="D21" s="44" t="inlineStr">
        <is>
          <t>Passive acoustic (marine mammals)</t>
        </is>
      </c>
      <c r="E21" s="44" t="inlineStr">
        <is>
          <t>Listed</t>
        </is>
      </c>
      <c r="F21" s="44" t="inlineStr">
        <is>
          <t>Method summary (AK)</t>
        </is>
      </c>
      <c r="G21" s="44" t="inlineStr">
        <is>
          <t>AK: …marine mammals, moor a self-logging acoustic click-detector (pam) for continuous multi-week periods and …</t>
        </is>
      </c>
    </row>
    <row r="22">
      <c r="A22" s="44" t="inlineStr">
        <is>
          <t>berger_2024_hb211</t>
        </is>
      </c>
      <c r="B22" s="44" t="inlineStr">
        <is>
          <t>H&amp;B 2.1.1 — Community composition</t>
        </is>
      </c>
      <c r="C22" s="44" t="inlineStr">
        <is>
          <t>Protocol</t>
        </is>
      </c>
      <c r="D22" s="44" t="inlineStr">
        <is>
          <t>Temperature / salinity</t>
        </is>
      </c>
      <c r="E22" s="44" t="inlineStr">
        <is>
          <t>Listed</t>
        </is>
      </c>
      <c r="F22" s="44" t="inlineStr">
        <is>
          <t>Method summary (AK)</t>
        </is>
      </c>
      <c r="G22" s="44" t="inlineStr">
        <is>
          <t>AK: …temperature, light, current and ph/salinity can be logge…</t>
        </is>
      </c>
    </row>
    <row r="23">
      <c r="A23" s="44" t="inlineStr">
        <is>
          <t>berger_2024_hb211</t>
        </is>
      </c>
      <c r="B23" s="44" t="inlineStr">
        <is>
          <t>H&amp;B 2.1.1 — Community composition</t>
        </is>
      </c>
      <c r="C23" s="44" t="inlineStr">
        <is>
          <t>Protocol</t>
        </is>
      </c>
      <c r="D23" s="44" t="inlineStr">
        <is>
          <t>pH</t>
        </is>
      </c>
      <c r="E23" s="44" t="inlineStr">
        <is>
          <t>Listed</t>
        </is>
      </c>
      <c r="F23" s="44" t="inlineStr">
        <is>
          <t>Method summary (AK)</t>
        </is>
      </c>
      <c r="G23" s="44" t="inlineStr">
        <is>
          <t>AK: …temperature, light, current and ph/salinity can be logged for context.…</t>
        </is>
      </c>
    </row>
    <row r="24">
      <c r="A24" s="44" t="inlineStr">
        <is>
          <t>berger_2024_hb211</t>
        </is>
      </c>
      <c r="B24" s="44" t="inlineStr">
        <is>
          <t>H&amp;B 2.1.1 — Community composition</t>
        </is>
      </c>
      <c r="C24" s="44" t="inlineStr">
        <is>
          <t>Protocol</t>
        </is>
      </c>
      <c r="D24" s="44" t="inlineStr">
        <is>
          <t>Baited remote underwater video (BRUV)</t>
        </is>
      </c>
      <c r="E24" s="44" t="inlineStr">
        <is>
          <t>Listed</t>
        </is>
      </c>
      <c r="F24" s="44" t="inlineStr">
        <is>
          <t>Method summary (AK)</t>
        </is>
      </c>
      <c r="G24" s="44" t="inlineStr">
        <is>
          <t>AK: … the epibiont line surveys and baited-video (bruv) drops at both the farm and a comparable ref…</t>
        </is>
      </c>
    </row>
    <row r="25">
      <c r="A25" s="44" t="inlineStr">
        <is>
          <t>berger_2024_hb211</t>
        </is>
      </c>
      <c r="B25" s="44" t="inlineStr">
        <is>
          <t>H&amp;B 2.1.1 — Community composition</t>
        </is>
      </c>
      <c r="C25" s="44" t="inlineStr">
        <is>
          <t>Protocol</t>
        </is>
      </c>
      <c r="D25" s="44" t="inlineStr">
        <is>
          <t>Epibiota on lines / structures</t>
        </is>
      </c>
      <c r="E25" s="44" t="inlineStr">
        <is>
          <t>Listed</t>
        </is>
      </c>
      <c r="F25" s="44" t="inlineStr">
        <is>
          <t>Method summary (AK)</t>
        </is>
      </c>
      <c r="G25" s="44" t="inlineStr">
        <is>
          <t>AK: …mmunity compares with nearby seabed, run the epibiont line surveys and baited-video (bruv) drops a…</t>
        </is>
      </c>
    </row>
    <row r="26">
      <c r="A26" s="44" t="inlineStr">
        <is>
          <t>martinezcurci_2023_hb121</t>
        </is>
      </c>
      <c r="B26" s="44" t="inlineStr">
        <is>
          <t>H&amp;B 1.2.1 — Mobile fauna</t>
        </is>
      </c>
      <c r="C26" s="44" t="inlineStr">
        <is>
          <t>Protocol</t>
        </is>
      </c>
      <c r="D26" s="44" t="inlineStr">
        <is>
          <t>Time-lapse / GoPro cameras</t>
        </is>
      </c>
      <c r="E26" s="44" t="inlineStr">
        <is>
          <t>Not listed</t>
        </is>
      </c>
      <c r="F26" s="44" t="inlineStr">
        <is>
          <t>Source kit only — Equipment Type (N), not in the protocol</t>
        </is>
      </c>
      <c r="G26" s="44" t="inlineStr">
        <is>
          <t>N: …optional hd video camera on the scope for focal foraging sequences.…</t>
        </is>
      </c>
    </row>
    <row r="27">
      <c r="A27" s="44" t="inlineStr">
        <is>
          <t>martinezcurci_2023_hb121</t>
        </is>
      </c>
      <c r="B27" s="44" t="inlineStr">
        <is>
          <t>H&amp;B 1.2.1 — Mobile fauna</t>
        </is>
      </c>
      <c r="C27" s="44" t="inlineStr">
        <is>
          <t>Protocol</t>
        </is>
      </c>
      <c r="D27" s="44" t="inlineStr">
        <is>
          <t>Bird / shorebird counts</t>
        </is>
      </c>
      <c r="E27" s="44" t="inlineStr">
        <is>
          <t>Listed</t>
        </is>
      </c>
      <c r="F27" s="44" t="inlineStr">
        <is>
          <t>Method summary (AK)</t>
        </is>
      </c>
      <c r="G27" s="44" t="inlineStr">
        <is>
          <t>AK: …to count the shorebirds and other birds using your intertidal seawe…</t>
        </is>
      </c>
    </row>
    <row r="28">
      <c r="A28" s="44" t="inlineStr">
        <is>
          <t>martinezcurci_2023_hb131</t>
        </is>
      </c>
      <c r="B28" s="44" t="inlineStr">
        <is>
          <t>H&amp;B 1.3.1 — Benthic infauna</t>
        </is>
      </c>
      <c r="C28" s="44" t="inlineStr">
        <is>
          <t>Protocol</t>
        </is>
      </c>
      <c r="D28" s="44" t="inlineStr">
        <is>
          <t>Benthic infauna community</t>
        </is>
      </c>
      <c r="E28" s="44" t="inlineStr">
        <is>
          <t>Listed</t>
        </is>
      </c>
      <c r="F28" s="44" t="inlineStr">
        <is>
          <t>Method summary (AK)</t>
        </is>
      </c>
      <c r="G28" s="44" t="inlineStr">
        <is>
          <t>AK: …to check the bottom-living animals under your intertidal seaweed lines, push a…</t>
        </is>
      </c>
    </row>
    <row r="29">
      <c r="A29" s="44" t="inlineStr">
        <is>
          <t>martinezcurci_2023_hb211</t>
        </is>
      </c>
      <c r="B29" s="44" t="inlineStr">
        <is>
          <t>H&amp;B 2.1.1 — Community composition</t>
        </is>
      </c>
      <c r="C29" s="44" t="inlineStr">
        <is>
          <t>Protocol</t>
        </is>
      </c>
      <c r="D29" s="44" t="inlineStr">
        <is>
          <t>Benthic infauna community</t>
        </is>
      </c>
      <c r="E29" s="44" t="inlineStr">
        <is>
          <t>Listed</t>
        </is>
      </c>
      <c r="F29" s="44" t="inlineStr">
        <is>
          <t>Method summary (AK) — inferred from the overall procedure</t>
        </is>
      </c>
      <c r="G29" s="44" t="inlineStr">
        <is>
          <t>AK: grab/core + sieve + identification</t>
        </is>
      </c>
    </row>
    <row r="30">
      <c r="A30" s="44" t="inlineStr">
        <is>
          <t>martinezcurci_2023_hb211</t>
        </is>
      </c>
      <c r="B30" s="44" t="inlineStr">
        <is>
          <t>H&amp;B 2.1.1 — Community composition</t>
        </is>
      </c>
      <c r="C30" s="44" t="inlineStr">
        <is>
          <t>Protocol</t>
        </is>
      </c>
      <c r="D30" s="44" t="inlineStr">
        <is>
          <t>Bird / shorebird counts</t>
        </is>
      </c>
      <c r="E30" s="44" t="inlineStr">
        <is>
          <t>Listed</t>
        </is>
      </c>
      <c r="F30" s="44" t="inlineStr">
        <is>
          <t>Method summary (AK)</t>
        </is>
      </c>
      <c r="G30" s="44" t="inlineStr">
        <is>
          <t>AK: …d at 0.5 mm, lab-identified and weighed) and shorebird scans from a fixed point at low tide, ideall…</t>
        </is>
      </c>
    </row>
    <row r="31">
      <c r="A31" s="44" t="inlineStr">
        <is>
          <t>andrews_2025_hb111</t>
        </is>
      </c>
      <c r="B31" s="44" t="inlineStr">
        <is>
          <t>H&amp;B 1.1.1 — Epibiota</t>
        </is>
      </c>
      <c r="C31" s="44" t="inlineStr">
        <is>
          <t>Protocol</t>
        </is>
      </c>
      <c r="D31" s="44" t="inlineStr">
        <is>
          <t>Epibiota on lines / structures</t>
        </is>
      </c>
      <c r="E31" s="44" t="inlineStr">
        <is>
          <t>Listed</t>
        </is>
      </c>
      <c r="F31" s="44" t="inlineStr">
        <is>
          <t>Method summary (AK)</t>
        </is>
      </c>
      <c r="G31" s="44" t="inlineStr">
        <is>
          <t>AK: …to measure the animals living on your kelp and farm gear, cut [3] kelp plants…</t>
        </is>
      </c>
    </row>
    <row r="32">
      <c r="A32" s="44" t="inlineStr">
        <is>
          <t>andrews_2025_hb111</t>
        </is>
      </c>
      <c r="B32" s="44" t="inlineStr">
        <is>
          <t>H&amp;B 1.1.1 — Epibiota</t>
        </is>
      </c>
      <c r="C32" s="44" t="inlineStr">
        <is>
          <t>Protocol</t>
        </is>
      </c>
      <c r="D32" s="44" t="inlineStr">
        <is>
          <t>Epifauna on crop / rope</t>
        </is>
      </c>
      <c r="E32" s="44" t="inlineStr">
        <is>
          <t>Listed</t>
        </is>
      </c>
      <c r="F32" s="44" t="inlineStr">
        <is>
          <t>Method summary (AK)</t>
        </is>
      </c>
      <c r="G32" s="44" t="inlineStr">
        <is>
          <t>AK: …nd farm gear, cut [3] kelp plants (blade and holdfast) from the production ropes, and scrape a 30 …</t>
        </is>
      </c>
    </row>
    <row r="33">
      <c r="A33" s="44" t="inlineStr">
        <is>
          <t>andrews_2025_hb111</t>
        </is>
      </c>
      <c r="B33" s="44" t="inlineStr">
        <is>
          <t>H&amp;B 1.1.1 — Epibiota</t>
        </is>
      </c>
      <c r="C33" s="44" t="inlineStr">
        <is>
          <t>Protocol</t>
        </is>
      </c>
      <c r="D33" s="44" t="inlineStr">
        <is>
          <t>Water eDNA</t>
        </is>
      </c>
      <c r="E33" s="44" t="inlineStr">
        <is>
          <t>Listed</t>
        </is>
      </c>
      <c r="F33" s="44" t="inlineStr">
        <is>
          <t>Method summary (AK)</t>
        </is>
      </c>
      <c r="G33" s="44" t="inlineStr">
        <is>
          <t>AK: …tica, which this sampling picks up and water edna tends to miss.…</t>
        </is>
      </c>
    </row>
    <row r="34">
      <c r="A34" s="44" t="inlineStr">
        <is>
          <t>andrews_2025_hb121</t>
        </is>
      </c>
      <c r="B34" s="44" t="inlineStr">
        <is>
          <t>H&amp;B 1.2.1 — Mobile fauna</t>
        </is>
      </c>
      <c r="C34" s="44" t="inlineStr">
        <is>
          <t>Protocol</t>
        </is>
      </c>
      <c r="D34" s="44" t="inlineStr">
        <is>
          <t>Time-lapse / GoPro cameras</t>
        </is>
      </c>
      <c r="E34" s="44" t="inlineStr">
        <is>
          <t>Listed</t>
        </is>
      </c>
      <c r="F34" s="44" t="inlineStr">
        <is>
          <t>Method summary (AK)</t>
        </is>
      </c>
      <c r="G34" s="44" t="inlineStr">
        <is>
          <t>AK: …add a time-lapse action camera on the farm (one image every 1…</t>
        </is>
      </c>
    </row>
    <row r="35">
      <c r="A35" s="44" t="inlineStr">
        <is>
          <t>andrews_2025_hb121</t>
        </is>
      </c>
      <c r="B35" s="44" t="inlineStr">
        <is>
          <t>H&amp;B 1.2.1 — Mobile fauna</t>
        </is>
      </c>
      <c r="C35" s="44" t="inlineStr">
        <is>
          <t>Protocol</t>
        </is>
      </c>
      <c r="D35" s="44" t="inlineStr">
        <is>
          <t>Nets &amp; baited traps</t>
        </is>
      </c>
      <c r="E35" s="44" t="inlineStr">
        <is>
          <t>Listed</t>
        </is>
      </c>
      <c r="F35" s="44" t="inlineStr">
        <is>
          <t>Method summary (AK)</t>
        </is>
      </c>
      <c r="G35" s="44" t="inlineStr">
        <is>
          <t>AK: …ng your kelp farm, set [3] multi-mesh survey gill nets (about 30 m long, panels of 5-55 mm mesh) h…</t>
        </is>
      </c>
    </row>
    <row r="36">
      <c r="A36" s="44" t="inlineStr">
        <is>
          <t>andrews_2025_hb211</t>
        </is>
      </c>
      <c r="B36" s="44" t="inlineStr">
        <is>
          <t>H&amp;B 2.1.1 — Community composition</t>
        </is>
      </c>
      <c r="C36" s="44" t="inlineStr">
        <is>
          <t>Protocol</t>
        </is>
      </c>
      <c r="D36" s="44" t="inlineStr">
        <is>
          <t>Time-lapse / GoPro cameras</t>
        </is>
      </c>
      <c r="E36" s="44" t="inlineStr">
        <is>
          <t>Not listed</t>
        </is>
      </c>
      <c r="F36" s="44" t="inlineStr">
        <is>
          <t>Source kit only — Equipment Type (N), not in the protocol</t>
        </is>
      </c>
      <c r="G36" s="44" t="inlineStr">
        <is>
          <t>N: …action cameras…</t>
        </is>
      </c>
    </row>
    <row r="37">
      <c r="A37" s="44" t="inlineStr">
        <is>
          <t>andrews_2025_hb211</t>
        </is>
      </c>
      <c r="B37" s="44" t="inlineStr">
        <is>
          <t>H&amp;B 2.1.1 — Community composition</t>
        </is>
      </c>
      <c r="C37" s="44" t="inlineStr">
        <is>
          <t>Protocol</t>
        </is>
      </c>
      <c r="D37" s="44" t="inlineStr">
        <is>
          <t>Invertebrate collectors / fauna traps</t>
        </is>
      </c>
      <c r="E37" s="44" t="inlineStr">
        <is>
          <t>Listed</t>
        </is>
      </c>
      <c r="F37" s="44" t="inlineStr">
        <is>
          <t>Method summary (AK)</t>
        </is>
      </c>
      <c r="G37" s="44" t="inlineStr">
        <is>
          <t>AK: …o collect [3] kelp plants and [3] sisal-rope fauna traps (a 1 m length of rope untwisted and bundled…</t>
        </is>
      </c>
    </row>
    <row r="38">
      <c r="A38" s="44" t="inlineStr">
        <is>
          <t>andrews_2025_hb211</t>
        </is>
      </c>
      <c r="B38" s="44" t="inlineStr">
        <is>
          <t>H&amp;B 2.1.1 — Community composition</t>
        </is>
      </c>
      <c r="C38" s="44" t="inlineStr">
        <is>
          <t>Protocol</t>
        </is>
      </c>
      <c r="D38" s="44" t="inlineStr">
        <is>
          <t>Nets &amp; baited traps</t>
        </is>
      </c>
      <c r="E38" s="44" t="inlineStr">
        <is>
          <t>Not listed</t>
        </is>
      </c>
      <c r="F38" s="44" t="inlineStr">
        <is>
          <t>Source kit only — Equipment Type (N), not in the protocol</t>
        </is>
      </c>
      <c r="G38" s="44" t="inlineStr">
        <is>
          <t>N: …nordic multi-mesh gill nets with anchors and buoy lines…</t>
        </is>
      </c>
    </row>
    <row r="39">
      <c r="A39" s="44" t="inlineStr">
        <is>
          <t>andrews_2025_hb211</t>
        </is>
      </c>
      <c r="B39" s="44" t="inlineStr">
        <is>
          <t>H&amp;B 2.1.1 — Community composition</t>
        </is>
      </c>
      <c r="C39" s="44" t="inlineStr">
        <is>
          <t>Protocol</t>
        </is>
      </c>
      <c r="D39" s="44" t="inlineStr">
        <is>
          <t>Site exposure characterisation</t>
        </is>
      </c>
      <c r="E39" s="44" t="inlineStr">
        <is>
          <t>Listed</t>
        </is>
      </c>
      <c r="F39" s="44" t="inlineStr">
        <is>
          <t>Method summary (AK)</t>
        </is>
      </c>
      <c r="G39" s="44" t="inlineStr">
        <is>
          <t>AK: …its edge) and [2] reference sites of similar wave exposure - a natural kelp bed and open water without …</t>
        </is>
      </c>
    </row>
    <row r="40">
      <c r="A40" s="44" t="inlineStr">
        <is>
          <t>english_2024</t>
        </is>
      </c>
      <c r="B40" s="44" t="inlineStr">
        <is>
          <t>Cross-cutting / framework</t>
        </is>
      </c>
      <c r="C40" s="44" t="inlineStr">
        <is>
          <t>Reference</t>
        </is>
      </c>
      <c r="D40" s="44" t="inlineStr">
        <is>
          <t>Time-lapse / GoPro cameras</t>
        </is>
      </c>
      <c r="E40" s="44" t="inlineStr">
        <is>
          <t>Not listed</t>
        </is>
      </c>
      <c r="F40" s="44" t="inlineStr">
        <is>
          <t>Review / framework reference (no procedure)</t>
        </is>
      </c>
      <c r="G40" s="44" t="inlineStr">
        <is>
          <t>AK: …it surveys the data-collection techniques (camera/video, edna, sediment sampling, netting and …</t>
        </is>
      </c>
    </row>
    <row r="41">
      <c r="A41" s="44" t="inlineStr">
        <is>
          <t>english_2024</t>
        </is>
      </c>
      <c r="B41" s="44" t="inlineStr">
        <is>
          <t>Cross-cutting / framework</t>
        </is>
      </c>
      <c r="C41" s="44" t="inlineStr">
        <is>
          <t>Reference</t>
        </is>
      </c>
      <c r="D41" s="44" t="inlineStr">
        <is>
          <t>Water eDNA</t>
        </is>
      </c>
      <c r="E41" s="44" t="inlineStr">
        <is>
          <t>Not listed</t>
        </is>
      </c>
      <c r="F41" s="44" t="inlineStr">
        <is>
          <t>Review / framework reference (no procedure)</t>
        </is>
      </c>
      <c r="G41" s="44" t="inlineStr">
        <is>
          <t>AK: …he data-collection techniques (camera/video, edna, sediment sampling, netting and others) used…</t>
        </is>
      </c>
    </row>
    <row r="42">
      <c r="A42" s="44" t="inlineStr">
        <is>
          <t>corrigan_2025_hb131</t>
        </is>
      </c>
      <c r="B42" s="44" t="inlineStr">
        <is>
          <t>H&amp;B 1.3.1 — Benthic infauna</t>
        </is>
      </c>
      <c r="C42" s="44" t="inlineStr">
        <is>
          <t>Protocol</t>
        </is>
      </c>
      <c r="D42" s="44" t="inlineStr">
        <is>
          <t>Grain size / particle size</t>
        </is>
      </c>
      <c r="E42" s="44" t="inlineStr">
        <is>
          <t>Not listed</t>
        </is>
      </c>
      <c r="F42" s="44" t="inlineStr">
        <is>
          <t>Source kit only — Equipment Type (N), not in the protocol</t>
        </is>
      </c>
      <c r="G42" s="44" t="inlineStr">
        <is>
          <t>N: …10 g surface subsample for particle size…</t>
        </is>
      </c>
    </row>
    <row r="43">
      <c r="A43" s="44" t="inlineStr">
        <is>
          <t>corrigan_2025_hb131</t>
        </is>
      </c>
      <c r="B43" s="44" t="inlineStr">
        <is>
          <t>H&amp;B 1.3.1 — Benthic infauna</t>
        </is>
      </c>
      <c r="C43" s="44" t="inlineStr">
        <is>
          <t>Protocol</t>
        </is>
      </c>
      <c r="D43" s="44" t="inlineStr">
        <is>
          <t>Benthic infauna community</t>
        </is>
      </c>
      <c r="E43" s="44" t="inlineStr">
        <is>
          <t>Listed</t>
        </is>
      </c>
      <c r="F43" s="44" t="inlineStr">
        <is>
          <t>Method summary (AK)</t>
        </is>
      </c>
      <c r="G43" s="44" t="inlineStr">
        <is>
          <t>AK: …to check whether your farm is changing the animals living in the seabed beneath it, take one grab each season at [3]…</t>
        </is>
      </c>
    </row>
    <row r="44">
      <c r="A44" s="44" t="inlineStr">
        <is>
          <t>corrigan_2025_hb131</t>
        </is>
      </c>
      <c r="B44" s="44" t="inlineStr">
        <is>
          <t>H&amp;B 1.3.1 — Benthic infauna</t>
        </is>
      </c>
      <c r="C44" s="44" t="inlineStr">
        <is>
          <t>Protocol</t>
        </is>
      </c>
      <c r="D44" s="44" t="inlineStr">
        <is>
          <t>Bivalve condition index / growth</t>
        </is>
      </c>
      <c r="E44" s="44" t="inlineStr">
        <is>
          <t>Listed</t>
        </is>
      </c>
      <c r="F44" s="44" t="inlineStr">
        <is>
          <t>Method summary (AK)</t>
        </is>
      </c>
      <c r="G44" s="44" t="inlineStr">
        <is>
          <t>AK: …-off under shellfish lines raises counts and biomass, so record it.…</t>
        </is>
      </c>
    </row>
    <row r="45">
      <c r="A45" s="44" t="inlineStr">
        <is>
          <t>tano_2016_hb111</t>
        </is>
      </c>
      <c r="B45" s="44" t="inlineStr">
        <is>
          <t>H&amp;B 1.1.1 — Epibiota</t>
        </is>
      </c>
      <c r="C45" s="44" t="inlineStr">
        <is>
          <t>Protocol</t>
        </is>
      </c>
      <c r="D45" s="44" t="inlineStr">
        <is>
          <t>Epibiota on lines / structures</t>
        </is>
      </c>
      <c r="E45" s="44" t="inlineStr">
        <is>
          <t>Listed</t>
        </is>
      </c>
      <c r="F45" s="44" t="inlineStr">
        <is>
          <t>Method summary (AK)</t>
        </is>
      </c>
      <c r="G45" s="44" t="inlineStr">
        <is>
          <t>AK: …or a set length of cultivation line - cut or scrape everything inside into the bag, and keep it cool or pre…</t>
        </is>
      </c>
    </row>
    <row r="46">
      <c r="A46" s="44" t="inlineStr">
        <is>
          <t>tano_2016_hb111</t>
        </is>
      </c>
      <c r="B46" s="44" t="inlineStr">
        <is>
          <t>H&amp;B 1.1.1 — Epibiota</t>
        </is>
      </c>
      <c r="C46" s="44" t="inlineStr">
        <is>
          <t>Protocol</t>
        </is>
      </c>
      <c r="D46" s="44" t="inlineStr">
        <is>
          <t>Epifauna on crop / rope</t>
        </is>
      </c>
      <c r="E46" s="44" t="inlineStr">
        <is>
          <t>Listed</t>
        </is>
      </c>
      <c r="F46" s="44" t="inlineStr">
        <is>
          <t>Method summary (AK)</t>
        </is>
      </c>
      <c r="G46" s="44" t="inlineStr">
        <is>
          <t>AK: …to measure the small mobile animals (amphipods, isopods, worms, snails, small crabs) livin…</t>
        </is>
      </c>
    </row>
    <row r="47">
      <c r="A47" s="44" t="inlineStr">
        <is>
          <t>tano_2016_hb211</t>
        </is>
      </c>
      <c r="B47" s="44" t="inlineStr">
        <is>
          <t>H&amp;B 2.1.1 — Community composition</t>
        </is>
      </c>
      <c r="C47" s="44" t="inlineStr">
        <is>
          <t>Protocol</t>
        </is>
      </c>
      <c r="D47" s="44" t="inlineStr">
        <is>
          <t>Visual census / belt transects</t>
        </is>
      </c>
      <c r="E47" s="44" t="inlineStr">
        <is>
          <t>Listed</t>
        </is>
      </c>
      <c r="F47" s="44" t="inlineStr">
        <is>
          <t>Method summary (AK)</t>
        </is>
      </c>
      <c r="G47" s="44" t="inlineStr">
        <is>
          <t>AK: …at each location also snorkel [several] 25 × 2 m belt transects at least 1…</t>
        </is>
      </c>
    </row>
    <row r="48">
      <c r="A48" s="44" t="inlineStr">
        <is>
          <t>tano_2016_hb211</t>
        </is>
      </c>
      <c r="B48" s="44" t="inlineStr">
        <is>
          <t>H&amp;B 2.1.1 — Community composition</t>
        </is>
      </c>
      <c r="C48" s="44" t="inlineStr">
        <is>
          <t>Protocol</t>
        </is>
      </c>
      <c r="D48" s="44" t="inlineStr">
        <is>
          <t>Epibiota on lines / structures</t>
        </is>
      </c>
      <c r="E48" s="44" t="inlineStr">
        <is>
          <t>Listed</t>
        </is>
      </c>
      <c r="F48" s="44" t="inlineStr">
        <is>
          <t>Method summary (AK)</t>
        </is>
      </c>
      <c r="G48" s="44" t="inlineStr">
        <is>
          <t>AK: … natural vegetation, sample the small mobile animals living on the plants within the farm, at its edge and …</t>
        </is>
      </c>
    </row>
    <row r="49">
      <c r="A49" s="44" t="inlineStr">
        <is>
          <t>bernard_2019_hb111</t>
        </is>
      </c>
      <c r="B49" s="44" t="inlineStr">
        <is>
          <t>H&amp;B 1.1.1 — Epibiota</t>
        </is>
      </c>
      <c r="C49" s="44" t="inlineStr">
        <is>
          <t>Protocol</t>
        </is>
      </c>
      <c r="D49" s="44" t="inlineStr">
        <is>
          <t>Epibiota on lines / structures</t>
        </is>
      </c>
      <c r="E49" s="44" t="inlineStr">
        <is>
          <t>Listed</t>
        </is>
      </c>
      <c r="F49" s="44" t="inlineStr">
        <is>
          <t>Method summary (AK)</t>
        </is>
      </c>
      <c r="G49" s="44" t="inlineStr">
        <is>
          <t>AK: …nd regional guide, scoring colonial forms as percent cover.…</t>
        </is>
      </c>
    </row>
    <row r="50">
      <c r="A50" s="44" t="inlineStr">
        <is>
          <t>bernard_2019_hb111</t>
        </is>
      </c>
      <c r="B50" s="44" t="inlineStr">
        <is>
          <t>H&amp;B 1.1.1 — Epibiota</t>
        </is>
      </c>
      <c r="C50" s="44" t="inlineStr">
        <is>
          <t>Protocol</t>
        </is>
      </c>
      <c r="D50" s="44" t="inlineStr">
        <is>
          <t>Settlement plates / artificial substrata</t>
        </is>
      </c>
      <c r="E50" s="44" t="inlineStr">
        <is>
          <t>Listed</t>
        </is>
      </c>
      <c r="F50" s="44" t="inlineStr">
        <is>
          <t>Method summary (AK)</t>
        </is>
      </c>
      <c r="G50" s="44" t="inlineStr">
        <is>
          <t>AK: …to track what settles among your seaweed, hang settlement plates (…</t>
        </is>
      </c>
    </row>
    <row r="51">
      <c r="A51" s="44" t="inlineStr">
        <is>
          <t>bernard_2019_hb111</t>
        </is>
      </c>
      <c r="B51" s="44" t="inlineStr">
        <is>
          <t>H&amp;B 1.1.1 — Epibiota</t>
        </is>
      </c>
      <c r="C51" s="44" t="inlineStr">
        <is>
          <t>Protocol</t>
        </is>
      </c>
      <c r="D51" s="44" t="inlineStr">
        <is>
          <t>Water eDNA</t>
        </is>
      </c>
      <c r="E51" s="44" t="inlineStr">
        <is>
          <t>Not listed</t>
        </is>
      </c>
      <c r="F51" s="44" t="inlineStr">
        <is>
          <t>Source kit only — Equipment Type (N), not in the protocol</t>
        </is>
      </c>
      <c r="G51" s="44" t="inlineStr">
        <is>
          <t>N: …partner-lab dna extraction (powermax soil kit), pcr with 18s v4 and …</t>
        </is>
      </c>
    </row>
    <row r="52">
      <c r="A52" s="44" t="inlineStr">
        <is>
          <t>bernard_2019_hb111</t>
        </is>
      </c>
      <c r="B52" s="44" t="inlineStr">
        <is>
          <t>H&amp;B 1.1.1 — Epibiota</t>
        </is>
      </c>
      <c r="C52" s="44" t="inlineStr">
        <is>
          <t>Protocol</t>
        </is>
      </c>
      <c r="D52" s="44" t="inlineStr">
        <is>
          <t>Settlement-plate DNA metabarcoding</t>
        </is>
      </c>
      <c r="E52" s="44" t="inlineStr">
        <is>
          <t>Listed</t>
        </is>
      </c>
      <c r="F52" s="44" t="inlineStr">
        <is>
          <t>Method summary (AK)</t>
        </is>
      </c>
      <c r="G52" s="44" t="inlineStr">
        <is>
          <t>AK: …st, freeze plates and send the scrapings for dna metabarcoding (18s and coi markers), the sou…</t>
        </is>
      </c>
    </row>
    <row r="53">
      <c r="A53" s="44" t="inlineStr">
        <is>
          <t>bernard_2019_hb211</t>
        </is>
      </c>
      <c r="B53" s="44" t="inlineStr">
        <is>
          <t>H&amp;B 2.1.1 — Community composition</t>
        </is>
      </c>
      <c r="C53" s="44" t="inlineStr">
        <is>
          <t>Protocol</t>
        </is>
      </c>
      <c r="D53" s="44" t="inlineStr">
        <is>
          <t>Continuous moored sensors</t>
        </is>
      </c>
      <c r="E53" s="44" t="inlineStr">
        <is>
          <t>Listed</t>
        </is>
      </c>
      <c r="F53" s="44" t="inlineStr">
        <is>
          <t>Method summary (AK)</t>
        </is>
      </c>
      <c r="G53" s="44" t="inlineStr">
        <is>
          <t>AK: …thin the farm, [3] at its edge, and [3] on a mooring at each of [2] reference sites outside th…</t>
        </is>
      </c>
    </row>
    <row r="54">
      <c r="A54" s="44" t="inlineStr">
        <is>
          <t>bernard_2019_hb211</t>
        </is>
      </c>
      <c r="B54" s="44" t="inlineStr">
        <is>
          <t>H&amp;B 2.1.1 — Community composition</t>
        </is>
      </c>
      <c r="C54" s="44" t="inlineStr">
        <is>
          <t>Protocol</t>
        </is>
      </c>
      <c r="D54" s="44" t="inlineStr">
        <is>
          <t>Epibiota on lines / structures</t>
        </is>
      </c>
      <c r="E54" s="44" t="inlineStr">
        <is>
          <t>Listed</t>
        </is>
      </c>
      <c r="F54" s="44" t="inlineStr">
        <is>
          <t>Method summary (AK)</t>
        </is>
      </c>
      <c r="G54" s="44" t="inlineStr">
        <is>
          <t>AK: …d lens and regional guide (colonial forms as percent cover), and compare abundance, number of taxa and …</t>
        </is>
      </c>
    </row>
    <row r="55">
      <c r="A55" s="44" t="inlineStr">
        <is>
          <t>bernard_2019_hb211</t>
        </is>
      </c>
      <c r="B55" s="44" t="inlineStr">
        <is>
          <t>H&amp;B 2.1.1 — Community composition</t>
        </is>
      </c>
      <c r="C55" s="44" t="inlineStr">
        <is>
          <t>Protocol</t>
        </is>
      </c>
      <c r="D55" s="44" t="inlineStr">
        <is>
          <t>Settlement plates / artificial substrata</t>
        </is>
      </c>
      <c r="E55" s="44" t="inlineStr">
        <is>
          <t>Listed</t>
        </is>
      </c>
      <c r="F55" s="44" t="inlineStr">
        <is>
          <t>Method summary (AK)</t>
        </is>
      </c>
      <c r="G55" s="44" t="inlineStr">
        <is>
          <t>AK: …to compare what settles at your seaweed farm with nearby open water,…</t>
        </is>
      </c>
    </row>
    <row r="56">
      <c r="A56" s="44" t="inlineStr">
        <is>
          <t>bernard_2019_hb211</t>
        </is>
      </c>
      <c r="B56" s="44" t="inlineStr">
        <is>
          <t>H&amp;B 2.1.1 — Community composition</t>
        </is>
      </c>
      <c r="C56" s="44" t="inlineStr">
        <is>
          <t>Protocol</t>
        </is>
      </c>
      <c r="D56" s="44" t="inlineStr">
        <is>
          <t>Water eDNA</t>
        </is>
      </c>
      <c r="E56" s="44" t="inlineStr">
        <is>
          <t>Not listed</t>
        </is>
      </c>
      <c r="F56" s="44" t="inlineStr">
        <is>
          <t>Source kit only — Equipment Type (N), not in the protocol</t>
        </is>
      </c>
      <c r="G56" s="44" t="inlineStr">
        <is>
          <t>N: …partner-lab dna extraction (powermax soil kit), pcr with 18s v4 and …</t>
        </is>
      </c>
    </row>
    <row r="57">
      <c r="A57" s="44" t="inlineStr">
        <is>
          <t>bernard_2019_hb211</t>
        </is>
      </c>
      <c r="B57" s="44" t="inlineStr">
        <is>
          <t>H&amp;B 2.1.1 — Community composition</t>
        </is>
      </c>
      <c r="C57" s="44" t="inlineStr">
        <is>
          <t>Protocol</t>
        </is>
      </c>
      <c r="D57" s="44" t="inlineStr">
        <is>
          <t>Settlement-plate DNA metabarcoding</t>
        </is>
      </c>
      <c r="E57" s="44" t="inlineStr">
        <is>
          <t>Listed</t>
        </is>
      </c>
      <c r="F57" s="44" t="inlineStr">
        <is>
          <t>Method summary (AK)</t>
        </is>
      </c>
      <c r="G57" s="44" t="inlineStr">
        <is>
          <t>AK: …metabarcoding the scrapings adds small and cryptic taxa…</t>
        </is>
      </c>
    </row>
    <row r="58">
      <c r="A58" s="44" t="inlineStr">
        <is>
          <t>hehre_2015_hb121</t>
        </is>
      </c>
      <c r="B58" s="44" t="inlineStr">
        <is>
          <t>H&amp;B 1.2.1 — Mobile fauna</t>
        </is>
      </c>
      <c r="C58" s="44" t="inlineStr">
        <is>
          <t>Protocol</t>
        </is>
      </c>
      <c r="D58" s="44" t="inlineStr">
        <is>
          <t>Visual census / belt transects</t>
        </is>
      </c>
      <c r="E58" s="44" t="inlineStr">
        <is>
          <t>Listed</t>
        </is>
      </c>
      <c r="F58" s="44" t="inlineStr">
        <is>
          <t>Method summary (AK)</t>
        </is>
      </c>
      <c r="G58" s="44" t="inlineStr">
        <is>
          <t>AK: …to record the fish using your farm, snorkel [5] belt transects of 20 × 5 m at random sta…</t>
        </is>
      </c>
    </row>
    <row r="59">
      <c r="A59" s="44" t="inlineStr">
        <is>
          <t>hehre_2015_hb211</t>
        </is>
      </c>
      <c r="B59" s="44" t="inlineStr">
        <is>
          <t>H&amp;B 2.1.1 — Community composition</t>
        </is>
      </c>
      <c r="C59" s="44" t="inlineStr">
        <is>
          <t>Protocol</t>
        </is>
      </c>
      <c r="D59" s="44" t="inlineStr">
        <is>
          <t>Visual census / belt transects</t>
        </is>
      </c>
      <c r="E59" s="44" t="inlineStr">
        <is>
          <t>Listed</t>
        </is>
      </c>
      <c r="F59" s="44" t="inlineStr">
        <is>
          <t>Method summary (AK)</t>
        </is>
      </c>
      <c r="G59" s="44" t="inlineStr">
        <is>
          <t>AK: …farm with the surrounding reef, run the same snorkel belt-transect census (20 × 5 m belts, random…</t>
        </is>
      </c>
    </row>
    <row r="60">
      <c r="A60" s="44" t="inlineStr">
        <is>
          <t>anyango_2017_hb121</t>
        </is>
      </c>
      <c r="B60" s="44" t="inlineStr">
        <is>
          <t>H&amp;B 1.2.1 — Mobile fauna</t>
        </is>
      </c>
      <c r="C60" s="44" t="inlineStr">
        <is>
          <t>Protocol</t>
        </is>
      </c>
      <c r="D60" s="44" t="inlineStr">
        <is>
          <t>Visual census / belt transects</t>
        </is>
      </c>
      <c r="E60" s="44" t="inlineStr">
        <is>
          <t>Listed</t>
        </is>
      </c>
      <c r="F60" s="44" t="inlineStr">
        <is>
          <t>Method summary (AK)</t>
        </is>
      </c>
      <c r="G60" s="44" t="inlineStr">
        <is>
          <t>AK: …on the same visit, snorkel a fixed 12 × 2 m transect at each location f…</t>
        </is>
      </c>
    </row>
    <row r="61">
      <c r="A61" s="44" t="inlineStr">
        <is>
          <t>anyango_2017_hb121</t>
        </is>
      </c>
      <c r="B61" s="44" t="inlineStr">
        <is>
          <t>H&amp;B 1.2.1 — Mobile fauna</t>
        </is>
      </c>
      <c r="C61" s="44" t="inlineStr">
        <is>
          <t>Protocol</t>
        </is>
      </c>
      <c r="D61" s="44" t="inlineStr">
        <is>
          <t>Nets &amp; baited traps</t>
        </is>
      </c>
      <c r="E61" s="44" t="inlineStr">
        <is>
          <t>Listed</t>
        </is>
      </c>
      <c r="F61" s="44" t="inlineStr">
        <is>
          <t>Method summary (AK)</t>
        </is>
      </c>
      <c r="G61" s="44" t="inlineStr">
        <is>
          <t>AK: …he wild fish using your farm, set [3] baited basket traps at about 1 m depth within the farm and [3] …</t>
        </is>
      </c>
    </row>
    <row r="62">
      <c r="A62" s="44" t="inlineStr">
        <is>
          <t>anyango_2017_hb211</t>
        </is>
      </c>
      <c r="B62" s="44" t="inlineStr">
        <is>
          <t>H&amp;B 2.1.1 — Community composition</t>
        </is>
      </c>
      <c r="C62" s="44" t="inlineStr">
        <is>
          <t>Protocol</t>
        </is>
      </c>
      <c r="D62" s="44" t="inlineStr">
        <is>
          <t>Visual census / belt transects</t>
        </is>
      </c>
      <c r="E62" s="44" t="inlineStr">
        <is>
          <t>Listed</t>
        </is>
      </c>
      <c r="F62" s="44" t="inlineStr">
        <is>
          <t>Method summary (AK)</t>
        </is>
      </c>
      <c r="G62" s="44" t="inlineStr">
        <is>
          <t>AK: …your farm than nearby, run the same trap and snorkel-transect survey at the farm (within and at i…</t>
        </is>
      </c>
    </row>
    <row r="63">
      <c r="A63" s="44" t="inlineStr">
        <is>
          <t>anyango_2017_hb211</t>
        </is>
      </c>
      <c r="B63" s="44" t="inlineStr">
        <is>
          <t>H&amp;B 2.1.1 — Community composition</t>
        </is>
      </c>
      <c r="C63" s="44" t="inlineStr">
        <is>
          <t>Protocol</t>
        </is>
      </c>
      <c r="D63" s="44" t="inlineStr">
        <is>
          <t>Nets &amp; baited traps</t>
        </is>
      </c>
      <c r="E63" s="44" t="inlineStr">
        <is>
          <t>Listed</t>
        </is>
      </c>
      <c r="F63" s="44" t="inlineStr">
        <is>
          <t>Method summary (AK)</t>
        </is>
      </c>
      <c r="G63" s="44" t="inlineStr">
        <is>
          <t>AK: …verse at your farm than nearby, run the same trap and snorkel-transect survey at the farm (wit…</t>
        </is>
      </c>
    </row>
    <row r="64">
      <c r="A64" s="44" t="inlineStr">
        <is>
          <t>bergman_2001_hb121</t>
        </is>
      </c>
      <c r="B64" s="44" t="inlineStr">
        <is>
          <t>H&amp;B 1.2.1 — Mobile fauna</t>
        </is>
      </c>
      <c r="C64" s="44" t="inlineStr">
        <is>
          <t>Protocol</t>
        </is>
      </c>
      <c r="D64" s="44" t="inlineStr">
        <is>
          <t>Visual census / belt transects</t>
        </is>
      </c>
      <c r="E64" s="44" t="inlineStr">
        <is>
          <t>Listed</t>
        </is>
      </c>
      <c r="F64" s="44" t="inlineStr">
        <is>
          <t>Method summary (AK)</t>
        </is>
      </c>
      <c r="G64" s="44" t="inlineStr">
        <is>
          <t>AK: …visual counts favour large, active fish and can miss smal…</t>
        </is>
      </c>
    </row>
    <row r="65">
      <c r="A65" s="44" t="inlineStr">
        <is>
          <t>bergman_2001_hb211</t>
        </is>
      </c>
      <c r="B65" s="44" t="inlineStr">
        <is>
          <t>H&amp;B 2.1.1 — Community composition</t>
        </is>
      </c>
      <c r="C65" s="44" t="inlineStr">
        <is>
          <t>Protocol</t>
        </is>
      </c>
      <c r="D65" s="44" t="inlineStr">
        <is>
          <t>Visual census / belt transects</t>
        </is>
      </c>
      <c r="E65" s="44" t="inlineStr">
        <is>
          <t>Listed</t>
        </is>
      </c>
      <c r="F65" s="44" t="inlineStr">
        <is>
          <t>Method summary (AK)</t>
        </is>
      </c>
      <c r="G65" s="44" t="inlineStr">
        <is>
          <t>AK: … the local fish community, run the same 20 m belt-transect counts (a pass for active fish in a 4 m belt…</t>
        </is>
      </c>
    </row>
    <row r="66">
      <c r="A66" s="44" t="inlineStr">
        <is>
          <t>underwood_2023_hb211</t>
        </is>
      </c>
      <c r="B66" s="44" t="inlineStr">
        <is>
          <t>H&amp;B 2.1.1 — Community composition</t>
        </is>
      </c>
      <c r="C66" s="44" t="inlineStr">
        <is>
          <t>Protocol</t>
        </is>
      </c>
      <c r="D66" s="44" t="inlineStr">
        <is>
          <t>Continuous moored sensors</t>
        </is>
      </c>
      <c r="E66" s="44" t="inlineStr">
        <is>
          <t>Listed</t>
        </is>
      </c>
      <c r="F66" s="44" t="inlineStr">
        <is>
          <t>Method summary (AK)</t>
        </is>
      </c>
      <c r="G66" s="44" t="inlineStr">
        <is>
          <t>AK: …one within the farm and [3] at its edge, and moor [3] at each of [2] reference habitats at sim…</t>
        </is>
      </c>
    </row>
    <row r="67">
      <c r="A67" s="44" t="inlineStr">
        <is>
          <t>underwood_2023_hb211</t>
        </is>
      </c>
      <c r="B67" s="44" t="inlineStr">
        <is>
          <t>H&amp;B 2.1.1 — Community composition</t>
        </is>
      </c>
      <c r="C67" s="44" t="inlineStr">
        <is>
          <t>Protocol</t>
        </is>
      </c>
      <c r="D67" s="44" t="inlineStr">
        <is>
          <t>Time-lapse / GoPro cameras</t>
        </is>
      </c>
      <c r="E67" s="44" t="inlineStr">
        <is>
          <t>Not listed</t>
        </is>
      </c>
      <c r="F67" s="44" t="inlineStr">
        <is>
          <t>Source kit only — Equipment Type (N), not in the protocol</t>
        </is>
      </c>
      <c r="G67" s="44" t="inlineStr">
        <is>
          <t>N: …camera…</t>
        </is>
      </c>
    </row>
    <row r="68">
      <c r="A68" s="44" t="inlineStr">
        <is>
          <t>underwood_2023_hb211</t>
        </is>
      </c>
      <c r="B68" s="44" t="inlineStr">
        <is>
          <t>H&amp;B 2.1.1 — Community composition</t>
        </is>
      </c>
      <c r="C68" s="44" t="inlineStr">
        <is>
          <t>Protocol</t>
        </is>
      </c>
      <c r="D68" s="44" t="inlineStr">
        <is>
          <t>Invertebrate collectors / fauna traps</t>
        </is>
      </c>
      <c r="E68" s="44" t="inlineStr">
        <is>
          <t>Listed</t>
        </is>
      </c>
      <c r="F68" s="44" t="inlineStr">
        <is>
          <t>Method summary (AK)</t>
        </is>
      </c>
      <c r="G68" s="44" t="inlineStr">
        <is>
          <t>AK: … farm with nearby natural habitats, hang [3] smurfs from the farm backbone within the farm and …</t>
        </is>
      </c>
    </row>
    <row r="69">
      <c r="A69" s="44" t="inlineStr">
        <is>
          <t>underwood_2023_hb221</t>
        </is>
      </c>
      <c r="B69" s="44" t="inlineStr">
        <is>
          <t>H&amp;B 2.2.1 — Spawning</t>
        </is>
      </c>
      <c r="C69" s="44" t="inlineStr">
        <is>
          <t>Protocol</t>
        </is>
      </c>
      <c r="D69" s="44" t="inlineStr">
        <is>
          <t>Invertebrate collectors / fauna traps</t>
        </is>
      </c>
      <c r="E69" s="44" t="inlineStr">
        <is>
          <t>Listed</t>
        </is>
      </c>
      <c r="F69" s="44" t="inlineStr">
        <is>
          <t>Method summary (AK)</t>
        </is>
      </c>
      <c r="G69" s="44" t="inlineStr">
        <is>
          <t>AK: …le and grow up in your mussel farm, hang [3] smurfs - plastic-mesh shelters for young fish - fr…</t>
        </is>
      </c>
    </row>
    <row r="70">
      <c r="A70" s="44" t="inlineStr">
        <is>
          <t>eklof_2006_hb121</t>
        </is>
      </c>
      <c r="B70" s="44" t="inlineStr">
        <is>
          <t>H&amp;B 1.2.1 — Mobile fauna</t>
        </is>
      </c>
      <c r="C70" s="44" t="inlineStr">
        <is>
          <t>Protocol</t>
        </is>
      </c>
      <c r="D70" s="44" t="inlineStr">
        <is>
          <t>Nets &amp; baited traps</t>
        </is>
      </c>
      <c r="E70" s="44" t="inlineStr">
        <is>
          <t>Listed</t>
        </is>
      </c>
      <c r="F70" s="44" t="inlineStr">
        <is>
          <t>Method summary (AK)</t>
        </is>
      </c>
      <c r="G70" s="44" t="inlineStr">
        <is>
          <t>AK: … (and crabs) using your farm, set [5] baited basket traps about 20 m apart within the farm and [5] at…</t>
        </is>
      </c>
    </row>
    <row r="71">
      <c r="A71" s="44" t="inlineStr">
        <is>
          <t>eklof_2006_hb211</t>
        </is>
      </c>
      <c r="B71" s="44" t="inlineStr">
        <is>
          <t>H&amp;B 2.1.1 — Community composition</t>
        </is>
      </c>
      <c r="C71" s="44" t="inlineStr">
        <is>
          <t>Protocol</t>
        </is>
      </c>
      <c r="D71" s="44" t="inlineStr">
        <is>
          <t>Nets &amp; baited traps</t>
        </is>
      </c>
      <c r="E71" s="44" t="inlineStr">
        <is>
          <t>Listed</t>
        </is>
      </c>
      <c r="F71" s="44" t="inlineStr">
        <is>
          <t>Method summary (AK)</t>
        </is>
      </c>
      <c r="G71" s="44" t="inlineStr">
        <is>
          <t>AK: …r farm with nearby habitats, fish [5] baited basket traps within the farm, [5] at its edge and [5] at…</t>
        </is>
      </c>
    </row>
    <row r="72">
      <c r="A72" s="44" t="inlineStr">
        <is>
          <t>abhilash_2019</t>
        </is>
      </c>
      <c r="B72" s="44" t="inlineStr">
        <is>
          <t>WQ 1.2.1 — Dissolved oxygen</t>
        </is>
      </c>
      <c r="C72" s="44" t="inlineStr">
        <is>
          <t>Protocol</t>
        </is>
      </c>
      <c r="D72" s="44" t="inlineStr">
        <is>
          <t>Temperature / salinity</t>
        </is>
      </c>
      <c r="E72" s="44" t="inlineStr">
        <is>
          <t>Listed</t>
        </is>
      </c>
      <c r="F72" s="44" t="inlineStr">
        <is>
          <t>Method summary (AK)</t>
        </is>
      </c>
      <c r="G72" s="44" t="inlineStr">
        <is>
          <t>AK: …face water with a niskin sampler and reading temperature, salinity, dissolved oxygen, ph, turbidity a…</t>
        </is>
      </c>
    </row>
    <row r="73">
      <c r="A73" s="44" t="inlineStr">
        <is>
          <t>abhilash_2019</t>
        </is>
      </c>
      <c r="B73" s="44" t="inlineStr">
        <is>
          <t>WQ 1.2.1 — Dissolved oxygen</t>
        </is>
      </c>
      <c r="C73" s="44" t="inlineStr">
        <is>
          <t>Protocol</t>
        </is>
      </c>
      <c r="D73" s="44" t="inlineStr">
        <is>
          <t>Dissolved oxygen</t>
        </is>
      </c>
      <c r="E73" s="44" t="inlineStr">
        <is>
          <t>Listed</t>
        </is>
      </c>
      <c r="F73" s="44" t="inlineStr">
        <is>
          <t>Method summary (AK)</t>
        </is>
      </c>
      <c r="G73" s="44" t="inlineStr">
        <is>
          <t>AK: …n sampler and reading temperature, salinity, dissolved oxygen, ph, turbidity and total dissolved solids on…</t>
        </is>
      </c>
    </row>
    <row r="74">
      <c r="A74" s="44" t="inlineStr">
        <is>
          <t>abhilash_2019</t>
        </is>
      </c>
      <c r="B74" s="44" t="inlineStr">
        <is>
          <t>WQ 1.2.1 — Dissolved oxygen</t>
        </is>
      </c>
      <c r="C74" s="44" t="inlineStr">
        <is>
          <t>Protocol</t>
        </is>
      </c>
      <c r="D74" s="44" t="inlineStr">
        <is>
          <t>pH</t>
        </is>
      </c>
      <c r="E74" s="44" t="inlineStr">
        <is>
          <t>Listed</t>
        </is>
      </c>
      <c r="F74" s="44" t="inlineStr">
        <is>
          <t>Method summary (AK)</t>
        </is>
      </c>
      <c r="G74" s="44" t="inlineStr">
        <is>
          <t>AK: …ing temperature, salinity, dissolved oxygen, ph, turbidity and total dissolved solids on the…</t>
        </is>
      </c>
    </row>
    <row r="75">
      <c r="A75" s="44" t="inlineStr">
        <is>
          <t>abhilash_2019</t>
        </is>
      </c>
      <c r="B75" s="44" t="inlineStr">
        <is>
          <t>WQ 1.2.1 — Dissolved oxygen</t>
        </is>
      </c>
      <c r="C75" s="44" t="inlineStr">
        <is>
          <t>Protocol</t>
        </is>
      </c>
      <c r="D75" s="44" t="inlineStr">
        <is>
          <t>Water clarity / turbidity (Secchi)</t>
        </is>
      </c>
      <c r="E75" s="44" t="inlineStr">
        <is>
          <t>Listed</t>
        </is>
      </c>
      <c r="F75" s="44" t="inlineStr">
        <is>
          <t>Method summary (AK)</t>
        </is>
      </c>
      <c r="G75" s="44" t="inlineStr">
        <is>
          <t>AK: …temperature, salinity, dissolved oxygen, ph, turbidity and total dissolved solids on the spot with…</t>
        </is>
      </c>
    </row>
    <row r="76">
      <c r="A76" s="44" t="inlineStr">
        <is>
          <t>abhilash_2019</t>
        </is>
      </c>
      <c r="B76" s="44" t="inlineStr">
        <is>
          <t>WQ 1.2.1 — Dissolved oxygen</t>
        </is>
      </c>
      <c r="C76" s="44" t="inlineStr">
        <is>
          <t>Protocol</t>
        </is>
      </c>
      <c r="D76" s="44" t="inlineStr">
        <is>
          <t>Dissolved nutrients (N &amp; P)</t>
        </is>
      </c>
      <c r="E76" s="44" t="inlineStr">
        <is>
          <t>Listed</t>
        </is>
      </c>
      <c r="F76" s="44" t="inlineStr">
        <is>
          <t>Method summary (AK)</t>
        </is>
      </c>
      <c r="G76" s="44" t="inlineStr">
        <is>
          <t>AK: …r sonde, while taking bottles for nutrients (ammonia, nitrate, nitrite, phosphate, silicate), ch…</t>
        </is>
      </c>
    </row>
    <row r="77">
      <c r="A77" s="44" t="inlineStr">
        <is>
          <t>abhilash_2019</t>
        </is>
      </c>
      <c r="B77" s="44" t="inlineStr">
        <is>
          <t>WQ 1.2.1 — Dissolved oxygen</t>
        </is>
      </c>
      <c r="C77" s="44" t="inlineStr">
        <is>
          <t>Protocol</t>
        </is>
      </c>
      <c r="D77" s="44" t="inlineStr">
        <is>
          <t>Chlorophyll-a (water)</t>
        </is>
      </c>
      <c r="E77" s="44" t="inlineStr">
        <is>
          <t>Listed</t>
        </is>
      </c>
      <c r="F77" s="44" t="inlineStr">
        <is>
          <t>Method summary (AK)</t>
        </is>
      </c>
      <c r="G77" s="44" t="inlineStr">
        <is>
          <t>AK: …nia, nitrate, nitrite, phosphate, silicate), chlorophyll-a, primary productivity (light/dark bottle) …</t>
        </is>
      </c>
    </row>
    <row r="78">
      <c r="A78" s="44" t="inlineStr">
        <is>
          <t>abhilash_2019</t>
        </is>
      </c>
      <c r="B78" s="44" t="inlineStr">
        <is>
          <t>WQ 1.2.1 — Dissolved oxygen</t>
        </is>
      </c>
      <c r="C78" s="44" t="inlineStr">
        <is>
          <t>Protocol</t>
        </is>
      </c>
      <c r="D78" s="44" t="inlineStr">
        <is>
          <t>BOD / COD</t>
        </is>
      </c>
      <c r="E78" s="44" t="inlineStr">
        <is>
          <t>Listed</t>
        </is>
      </c>
      <c r="F78" s="44" t="inlineStr">
        <is>
          <t>Method summary (AK)</t>
        </is>
      </c>
      <c r="G78" s="44" t="inlineStr">
        <is>
          <t>AK: …primary productivity (light/dark bottle) and bod by standard laboratory methods…</t>
        </is>
      </c>
    </row>
    <row r="79">
      <c r="A79" s="44" t="inlineStr">
        <is>
          <t>zhu_2023_wq211</t>
        </is>
      </c>
      <c r="B79" s="44" t="inlineStr">
        <is>
          <t>WQ 2.1.1 — Chlorophyll-a</t>
        </is>
      </c>
      <c r="C79" s="44" t="inlineStr">
        <is>
          <t>Protocol</t>
        </is>
      </c>
      <c r="D79" s="44" t="inlineStr">
        <is>
          <t>Water clarity / turbidity (Secchi)</t>
        </is>
      </c>
      <c r="E79" s="44" t="inlineStr">
        <is>
          <t>Not listed</t>
        </is>
      </c>
      <c r="F79" s="44" t="inlineStr">
        <is>
          <t>Source kit only — Equipment Type (N), not in the protocol</t>
        </is>
      </c>
      <c r="G79" s="44" t="inlineStr">
        <is>
          <t>N: …multiparameter meter (ysi proplus) and secchi disc for context.…</t>
        </is>
      </c>
    </row>
    <row r="80">
      <c r="A80" s="44" t="inlineStr">
        <is>
          <t>zhu_2023_wq211</t>
        </is>
      </c>
      <c r="B80" s="44" t="inlineStr">
        <is>
          <t>WQ 2.1.1 — Chlorophyll-a</t>
        </is>
      </c>
      <c r="C80" s="44" t="inlineStr">
        <is>
          <t>Protocol</t>
        </is>
      </c>
      <c r="D80" s="44" t="inlineStr">
        <is>
          <t>Chlorophyll-a (water)</t>
        </is>
      </c>
      <c r="E80" s="44" t="inlineStr">
        <is>
          <t>Listed</t>
        </is>
      </c>
      <c r="F80" s="44" t="inlineStr">
        <is>
          <t>Method summary (AK)</t>
        </is>
      </c>
      <c r="G80" s="44" t="inlineStr">
        <is>
          <t>AK: …to compare phytoplankton (chlorophyll-a) at your farm with nearby water, take surf…</t>
        </is>
      </c>
    </row>
    <row r="81">
      <c r="A81" s="44" t="inlineStr">
        <is>
          <t>zhu_2023_wq212</t>
        </is>
      </c>
      <c r="B81" s="44" t="inlineStr">
        <is>
          <t>WQ 2.1.2 — Microorganisms</t>
        </is>
      </c>
      <c r="C81" s="44" t="inlineStr">
        <is>
          <t>Protocol</t>
        </is>
      </c>
      <c r="D81" s="44" t="inlineStr">
        <is>
          <t>Temperature / salinity</t>
        </is>
      </c>
      <c r="E81" s="44" t="inlineStr">
        <is>
          <t>Listed</t>
        </is>
      </c>
      <c r="F81" s="44" t="inlineStr">
        <is>
          <t>Method summary (AK)</t>
        </is>
      </c>
      <c r="G81" s="44" t="inlineStr">
        <is>
          <t>AK: …nmds and anosim), alongside temperature, nutrients and chlorophyll taken at the same…</t>
        </is>
      </c>
    </row>
    <row r="82">
      <c r="A82" s="44" t="inlineStr">
        <is>
          <t>zhu_2023_wq212</t>
        </is>
      </c>
      <c r="B82" s="44" t="inlineStr">
        <is>
          <t>WQ 2.1.2 — Microorganisms</t>
        </is>
      </c>
      <c r="C82" s="44" t="inlineStr">
        <is>
          <t>Protocol</t>
        </is>
      </c>
      <c r="D82" s="44" t="inlineStr">
        <is>
          <t>Chlorophyll-a (water)</t>
        </is>
      </c>
      <c r="E82" s="44" t="inlineStr">
        <is>
          <t>Listed</t>
        </is>
      </c>
      <c r="F82" s="44" t="inlineStr">
        <is>
          <t>Method summary (AK)</t>
        </is>
      </c>
      <c r="G82" s="44" t="inlineStr">
        <is>
          <t>AK: …nosim), alongside temperature, nutrients and chlorophyll taken at the same time.…</t>
        </is>
      </c>
    </row>
    <row r="83">
      <c r="A83" s="44" t="inlineStr">
        <is>
          <t>zhu_2023_wq212</t>
        </is>
      </c>
      <c r="B83" s="44" t="inlineStr">
        <is>
          <t>WQ 2.1.2 — Microorganisms</t>
        </is>
      </c>
      <c r="C83" s="44" t="inlineStr">
        <is>
          <t>Protocol</t>
        </is>
      </c>
      <c r="D83" s="44" t="inlineStr">
        <is>
          <t>Water eDNA</t>
        </is>
      </c>
      <c r="E83" s="44" t="inlineStr">
        <is>
          <t>Listed</t>
        </is>
      </c>
      <c r="F83" s="44" t="inlineStr">
        <is>
          <t>Method summary (AK)</t>
        </is>
      </c>
      <c r="G83" s="44" t="inlineStr">
        <is>
          <t>AK: …s, and send them to a sequencing service for dna extraction and 18s rrna metabarcoding, processed int…</t>
        </is>
      </c>
    </row>
    <row r="84">
      <c r="A84" s="44" t="inlineStr">
        <is>
          <t>zhu_2023_wq212</t>
        </is>
      </c>
      <c r="B84" s="44" t="inlineStr">
        <is>
          <t>WQ 2.1.2 — Microorganisms</t>
        </is>
      </c>
      <c r="C84" s="44" t="inlineStr">
        <is>
          <t>Protocol</t>
        </is>
      </c>
      <c r="D84" s="44" t="inlineStr">
        <is>
          <t>Phytoplankton community (microscopy)</t>
        </is>
      </c>
      <c r="E84" s="44" t="inlineStr">
        <is>
          <t>Listed</t>
        </is>
      </c>
      <c r="F84" s="44" t="inlineStr">
        <is>
          <t>Method summary (AK)</t>
        </is>
      </c>
      <c r="G84" s="44" t="inlineStr">
        <is>
          <t>AK: …to describe the phytoplankton community at your farm, filter [1 l] of surface water …</t>
        </is>
      </c>
    </row>
    <row r="85">
      <c r="A85" s="44" t="inlineStr">
        <is>
          <t>xu_2008_wq121</t>
        </is>
      </c>
      <c r="B85" s="44" t="inlineStr">
        <is>
          <t>WQ 1.2.1 — Dissolved oxygen</t>
        </is>
      </c>
      <c r="C85" s="44" t="inlineStr">
        <is>
          <t>Protocol</t>
        </is>
      </c>
      <c r="D85" s="44" t="inlineStr">
        <is>
          <t>Temperature / salinity</t>
        </is>
      </c>
      <c r="E85" s="44" t="inlineStr">
        <is>
          <t>Listed</t>
        </is>
      </c>
      <c r="F85" s="44" t="inlineStr">
        <is>
          <t>Method summary (AK)</t>
        </is>
      </c>
      <c r="G85" s="44" t="inlineStr">
        <is>
          <t>AK: …at every station on the same tide, recording temperature and salinity, and compare matching stations …</t>
        </is>
      </c>
    </row>
    <row r="86">
      <c r="A86" s="44" t="inlineStr">
        <is>
          <t>xu_2008_wq121</t>
        </is>
      </c>
      <c r="B86" s="44" t="inlineStr">
        <is>
          <t>WQ 1.2.1 — Dissolved oxygen</t>
        </is>
      </c>
      <c r="C86" s="44" t="inlineStr">
        <is>
          <t>Protocol</t>
        </is>
      </c>
      <c r="D86" s="44" t="inlineStr">
        <is>
          <t>Dissolved oxygen</t>
        </is>
      </c>
      <c r="E86" s="44" t="inlineStr">
        <is>
          <t>Listed</t>
        </is>
      </c>
      <c r="F86" s="44" t="inlineStr">
        <is>
          <t>Method summary (AK)</t>
        </is>
      </c>
      <c r="G86" s="44" t="inlineStr">
        <is>
          <t>AK: …to see whether your seaweed crop raises dissolved oxygen in the water around it, lay out two transect…</t>
        </is>
      </c>
    </row>
    <row r="87">
      <c r="A87" s="44" t="inlineStr">
        <is>
          <t>xu_2008_wq121</t>
        </is>
      </c>
      <c r="B87" s="44" t="inlineStr">
        <is>
          <t>WQ 1.2.1 — Dissolved oxygen</t>
        </is>
      </c>
      <c r="C87" s="44" t="inlineStr">
        <is>
          <t>Protocol</t>
        </is>
      </c>
      <c r="D87" s="44" t="inlineStr">
        <is>
          <t>pH</t>
        </is>
      </c>
      <c r="E87" s="44" t="inlineStr">
        <is>
          <t>Not listed</t>
        </is>
      </c>
      <c r="F87" s="44" t="inlineStr">
        <is>
          <t>Source kit only — Equipment Type (N), not in the protocol</t>
        </is>
      </c>
      <c r="G87" s="44" t="inlineStr">
        <is>
          <t>N: …ph meter)…</t>
        </is>
      </c>
    </row>
    <row r="88">
      <c r="A88" s="44" t="inlineStr">
        <is>
          <t>xu_2008_wq121</t>
        </is>
      </c>
      <c r="B88" s="44" t="inlineStr">
        <is>
          <t>WQ 1.2.1 — Dissolved oxygen</t>
        </is>
      </c>
      <c r="C88" s="44" t="inlineStr">
        <is>
          <t>Protocol</t>
        </is>
      </c>
      <c r="D88" s="44" t="inlineStr">
        <is>
          <t>Water clarity / turbidity (Secchi)</t>
        </is>
      </c>
      <c r="E88" s="44" t="inlineStr">
        <is>
          <t>Not listed</t>
        </is>
      </c>
      <c r="F88" s="44" t="inlineStr">
        <is>
          <t>Source kit only — Equipment Type (N), not in the protocol</t>
        </is>
      </c>
      <c r="G88" s="44" t="inlineStr">
        <is>
          <t>N: …secchi disc…</t>
        </is>
      </c>
    </row>
    <row r="89">
      <c r="A89" s="44" t="inlineStr">
        <is>
          <t>xu_2008_cc211</t>
        </is>
      </c>
      <c r="B89" s="44" t="inlineStr">
        <is>
          <t>CC 2.1.1 — pH / ocean acidification</t>
        </is>
      </c>
      <c r="C89" s="44" t="inlineStr">
        <is>
          <t>Protocol</t>
        </is>
      </c>
      <c r="D89" s="44" t="inlineStr">
        <is>
          <t>pH</t>
        </is>
      </c>
      <c r="E89" s="44" t="inlineStr">
        <is>
          <t>Listed</t>
        </is>
      </c>
      <c r="F89" s="44" t="inlineStr">
        <is>
          <t>Method summary (AK)</t>
        </is>
      </c>
      <c r="G89" s="44" t="inlineStr">
        <is>
          <t>AK: …to check whether your seaweed raises ph (a local buffer against acidification) in th…</t>
        </is>
      </c>
    </row>
    <row r="90">
      <c r="A90" s="44" t="inlineStr">
        <is>
          <t>xu_2008_cc211</t>
        </is>
      </c>
      <c r="B90" s="44" t="inlineStr">
        <is>
          <t>CC 2.1.1 — pH / ocean acidification</t>
        </is>
      </c>
      <c r="C90" s="44" t="inlineStr">
        <is>
          <t>Protocol</t>
        </is>
      </c>
      <c r="D90" s="44" t="inlineStr">
        <is>
          <t>Carbonate system (pH / OA)</t>
        </is>
      </c>
      <c r="E90" s="44" t="inlineStr">
        <is>
          <t>Listed</t>
        </is>
      </c>
      <c r="F90" s="44" t="inlineStr">
        <is>
          <t>Method summary (AK)</t>
        </is>
      </c>
      <c r="G90" s="44" t="inlineStr">
        <is>
          <t>AK: …ur seaweed raises ph (a local buffer against acidification) in the surrounding water, lay out one trans…</t>
        </is>
      </c>
    </row>
    <row r="91">
      <c r="A91" s="44" t="inlineStr">
        <is>
          <t>xu_2008_cc211</t>
        </is>
      </c>
      <c r="B91" s="44" t="inlineStr">
        <is>
          <t>CC 2.1.1 — pH / ocean acidification</t>
        </is>
      </c>
      <c r="C91" s="44" t="inlineStr">
        <is>
          <t>Protocol</t>
        </is>
      </c>
      <c r="D91" s="44" t="inlineStr">
        <is>
          <t>Continuous moored sensors</t>
        </is>
      </c>
      <c r="E91" s="44" t="inlineStr">
        <is>
          <t>Not listed</t>
        </is>
      </c>
      <c r="F91" s="44" t="inlineStr">
        <is>
          <t>Source kit only — Equipment Type (N), not in the protocol</t>
        </is>
      </c>
      <c r="G91" s="44" t="inlineStr">
        <is>
          <t>N: …for the indicator, oa-grade ph loggers and ta/dic bottle samples.…</t>
        </is>
      </c>
    </row>
    <row r="92">
      <c r="A92" s="44" t="inlineStr">
        <is>
          <t>drakard_2018</t>
        </is>
      </c>
      <c r="B92" s="44" t="inlineStr">
        <is>
          <t>WQ 2.1.1 — Chlorophyll-a</t>
        </is>
      </c>
      <c r="C92" s="44" t="inlineStr">
        <is>
          <t>Protocol</t>
        </is>
      </c>
      <c r="D92" s="44" t="inlineStr">
        <is>
          <t>Water clarity / turbidity (Secchi)</t>
        </is>
      </c>
      <c r="E92" s="44" t="inlineStr">
        <is>
          <t>Listed</t>
        </is>
      </c>
      <c r="F92" s="44" t="inlineStr">
        <is>
          <t>Method summary (AK)</t>
        </is>
      </c>
      <c r="G92" s="44" t="inlineStr">
        <is>
          <t>AK: …nitrate, phosphate, water clarity).…</t>
        </is>
      </c>
    </row>
    <row r="93">
      <c r="A93" s="44" t="inlineStr">
        <is>
          <t>drakard_2018</t>
        </is>
      </c>
      <c r="B93" s="44" t="inlineStr">
        <is>
          <t>WQ 2.1.1 — Chlorophyll-a</t>
        </is>
      </c>
      <c r="C93" s="44" t="inlineStr">
        <is>
          <t>Protocol</t>
        </is>
      </c>
      <c r="D93" s="44" t="inlineStr">
        <is>
          <t>Dissolved nutrients (N &amp; P)</t>
        </is>
      </c>
      <c r="E93" s="44" t="inlineStr">
        <is>
          <t>Listed</t>
        </is>
      </c>
      <c r="F93" s="44" t="inlineStr">
        <is>
          <t>Method summary (AK)</t>
        </is>
      </c>
      <c r="G93" s="44" t="inlineStr">
        <is>
          <t>AK: …nitrate, phosphate, water clarity).…</t>
        </is>
      </c>
    </row>
    <row r="94">
      <c r="A94" s="44" t="inlineStr">
        <is>
          <t>drakard_2018</t>
        </is>
      </c>
      <c r="B94" s="44" t="inlineStr">
        <is>
          <t>WQ 2.1.1 — Chlorophyll-a</t>
        </is>
      </c>
      <c r="C94" s="44" t="inlineStr">
        <is>
          <t>Protocol</t>
        </is>
      </c>
      <c r="D94" s="44" t="inlineStr">
        <is>
          <t>Epibiota on lines / structures</t>
        </is>
      </c>
      <c r="E94" s="44" t="inlineStr">
        <is>
          <t>Listed</t>
        </is>
      </c>
      <c r="F94" s="44" t="inlineStr">
        <is>
          <t>Method summary (AK)</t>
        </is>
      </c>
      <c r="G94" s="44" t="inlineStr">
        <is>
          <t>AK: …at each site scrape all the fouling off several replicate buoys (e.g…</t>
        </is>
      </c>
    </row>
    <row r="95">
      <c r="A95" s="44" t="inlineStr">
        <is>
          <t>zhang_2020_wq121</t>
        </is>
      </c>
      <c r="B95" s="44" t="inlineStr">
        <is>
          <t>WQ 1.2.1 — Dissolved oxygen</t>
        </is>
      </c>
      <c r="C95" s="44" t="inlineStr">
        <is>
          <t>Protocol</t>
        </is>
      </c>
      <c r="D95" s="44" t="inlineStr">
        <is>
          <t>Temperature / salinity</t>
        </is>
      </c>
      <c r="E95" s="44" t="inlineStr">
        <is>
          <t>Listed</t>
        </is>
      </c>
      <c r="F95" s="44" t="inlineStr">
        <is>
          <t>Method summary (AK)</t>
        </is>
      </c>
      <c r="G95" s="44" t="inlineStr">
        <is>
          <t>AK: …nglines (0.5 m in shallow ponds) - recording temperature and salinity alongside.…</t>
        </is>
      </c>
    </row>
    <row r="96">
      <c r="A96" s="44" t="inlineStr">
        <is>
          <t>zhang_2020_wq121</t>
        </is>
      </c>
      <c r="B96" s="44" t="inlineStr">
        <is>
          <t>WQ 1.2.1 — Dissolved oxygen</t>
        </is>
      </c>
      <c r="C96" s="44" t="inlineStr">
        <is>
          <t>Protocol</t>
        </is>
      </c>
      <c r="D96" s="44" t="inlineStr">
        <is>
          <t>Dissolved oxygen</t>
        </is>
      </c>
      <c r="E96" s="44" t="inlineStr">
        <is>
          <t>Listed</t>
        </is>
      </c>
      <c r="F96" s="44" t="inlineStr">
        <is>
          <t>Method summary (AK)</t>
        </is>
      </c>
      <c r="G96" s="44" t="inlineStr">
        <is>
          <t>AK: …to track dissolved oxygen at your farm, read do with a calibrated hand…</t>
        </is>
      </c>
    </row>
    <row r="97">
      <c r="A97" s="44" t="inlineStr">
        <is>
          <t>zhang_2020_wq121</t>
        </is>
      </c>
      <c r="B97" s="44" t="inlineStr">
        <is>
          <t>WQ 1.2.1 — Dissolved oxygen</t>
        </is>
      </c>
      <c r="C97" s="44" t="inlineStr">
        <is>
          <t>Protocol</t>
        </is>
      </c>
      <c r="D97" s="44" t="inlineStr">
        <is>
          <t>pH</t>
        </is>
      </c>
      <c r="E97" s="44" t="inlineStr">
        <is>
          <t>Not listed</t>
        </is>
      </c>
      <c r="F97" s="44" t="inlineStr">
        <is>
          <t>Source kit only — Equipment Type (N), not in the protocol</t>
        </is>
      </c>
      <c r="G97" s="44" t="inlineStr">
        <is>
          <t>N: …ysi proplus for ph, temperature, salinity and do, ±0.01 mg/l), …</t>
        </is>
      </c>
    </row>
    <row r="98">
      <c r="A98" s="44" t="inlineStr">
        <is>
          <t>zhang_2020_wq211</t>
        </is>
      </c>
      <c r="B98" s="44" t="inlineStr">
        <is>
          <t>WQ 2.1.1 — Chlorophyll-a</t>
        </is>
      </c>
      <c r="C98" s="44" t="inlineStr">
        <is>
          <t>Protocol</t>
        </is>
      </c>
      <c r="D98" s="44" t="inlineStr">
        <is>
          <t>Chlorophyll-a (water)</t>
        </is>
      </c>
      <c r="E98" s="44" t="inlineStr">
        <is>
          <t>Listed</t>
        </is>
      </c>
      <c r="F98" s="44" t="inlineStr">
        <is>
          <t>Method summary (AK)</t>
        </is>
      </c>
      <c r="G98" s="44" t="inlineStr">
        <is>
          <t>AK: …to track phytoplankton (chlorophyll-a) at your farm, collect water with a water …</t>
        </is>
      </c>
    </row>
    <row r="99">
      <c r="A99" s="44" t="inlineStr">
        <is>
          <t>jansen_2016</t>
        </is>
      </c>
      <c r="B99" s="44" t="inlineStr">
        <is>
          <t>Cross-cutting / framework</t>
        </is>
      </c>
      <c r="C99" s="44" t="inlineStr">
        <is>
          <t>Reference</t>
        </is>
      </c>
      <c r="D99" s="44" t="inlineStr">
        <is>
          <t>Dissolved nutrients (N &amp; P)</t>
        </is>
      </c>
      <c r="E99" s="44" t="inlineStr">
        <is>
          <t>Not listed</t>
        </is>
      </c>
      <c r="F99" s="44" t="inlineStr">
        <is>
          <t>Source kit only — Equipment Type (N), not in the protocol</t>
        </is>
      </c>
      <c r="G99" s="44" t="inlineStr">
        <is>
          <t>N: …se studies use multiprobe particle counter + ammonium analyser)…</t>
        </is>
      </c>
    </row>
    <row r="100">
      <c r="A100" s="44" t="inlineStr">
        <is>
          <t>jansen_2016</t>
        </is>
      </c>
      <c r="B100" s="44" t="inlineStr">
        <is>
          <t>Cross-cutting / framework</t>
        </is>
      </c>
      <c r="C100" s="44" t="inlineStr">
        <is>
          <t>Reference</t>
        </is>
      </c>
      <c r="D100" s="44" t="inlineStr">
        <is>
          <t>Continuous moored sensors</t>
        </is>
      </c>
      <c r="E100" s="44" t="inlineStr">
        <is>
          <t>Listed</t>
        </is>
      </c>
      <c r="F100" s="44" t="inlineStr">
        <is>
          <t>Method summary (AK)</t>
        </is>
      </c>
      <c r="G100" s="44" t="inlineStr">
        <is>
          <t>AK: …rade-offs between discrete grab sampling and continuous logging.…</t>
        </is>
      </c>
    </row>
    <row r="101">
      <c r="A101" s="44" t="inlineStr">
        <is>
          <t>liang_2022_wq121</t>
        </is>
      </c>
      <c r="B101" s="44" t="inlineStr">
        <is>
          <t>WQ 1.2.1 — Dissolved oxygen</t>
        </is>
      </c>
      <c r="C101" s="44" t="inlineStr">
        <is>
          <t>Protocol</t>
        </is>
      </c>
      <c r="D101" s="44" t="inlineStr">
        <is>
          <t>Temperature / salinity</t>
        </is>
      </c>
      <c r="E101" s="44" t="inlineStr">
        <is>
          <t>Listed</t>
        </is>
      </c>
      <c r="F101" s="44" t="inlineStr">
        <is>
          <t>Method summary (AK)</t>
        </is>
      </c>
      <c r="G101" s="44" t="inlineStr">
        <is>
          <t>AK: …de it (one inshore, one offshore), recording temperature, salinity and ph alongside, and cover all po…</t>
        </is>
      </c>
    </row>
    <row r="102">
      <c r="A102" s="44" t="inlineStr">
        <is>
          <t>liang_2022_wq121</t>
        </is>
      </c>
      <c r="B102" s="44" t="inlineStr">
        <is>
          <t>WQ 1.2.1 — Dissolved oxygen</t>
        </is>
      </c>
      <c r="C102" s="44" t="inlineStr">
        <is>
          <t>Protocol</t>
        </is>
      </c>
      <c r="D102" s="44" t="inlineStr">
        <is>
          <t>Dissolved oxygen</t>
        </is>
      </c>
      <c r="E102" s="44" t="inlineStr">
        <is>
          <t>Listed</t>
        </is>
      </c>
      <c r="F102" s="44" t="inlineStr">
        <is>
          <t>Method summary (AK)</t>
        </is>
      </c>
      <c r="G102" s="44" t="inlineStr">
        <is>
          <t>AK: …to check whether your seaweed farm raises dissolved oxygen, read do about 0.2 m below the surface with …</t>
        </is>
      </c>
    </row>
    <row r="103">
      <c r="A103" s="44" t="inlineStr">
        <is>
          <t>liang_2022_wq121</t>
        </is>
      </c>
      <c r="B103" s="44" t="inlineStr">
        <is>
          <t>WQ 1.2.1 — Dissolved oxygen</t>
        </is>
      </c>
      <c r="C103" s="44" t="inlineStr">
        <is>
          <t>Protocol</t>
        </is>
      </c>
      <c r="D103" s="44" t="inlineStr">
        <is>
          <t>pH</t>
        </is>
      </c>
      <c r="E103" s="44" t="inlineStr">
        <is>
          <t>Listed</t>
        </is>
      </c>
      <c r="F103" s="44" t="inlineStr">
        <is>
          <t>Method summary (AK)</t>
        </is>
      </c>
      <c r="G103" s="44" t="inlineStr">
        <is>
          <t>AK: …fshore), recording temperature, salinity and ph alongside, and cover all points within a few…</t>
        </is>
      </c>
    </row>
    <row r="104">
      <c r="A104" s="44" t="inlineStr">
        <is>
          <t>liang_2022_wq121</t>
        </is>
      </c>
      <c r="B104" s="44" t="inlineStr">
        <is>
          <t>WQ 1.2.1 — Dissolved oxygen</t>
        </is>
      </c>
      <c r="C104" s="44" t="inlineStr">
        <is>
          <t>Protocol</t>
        </is>
      </c>
      <c r="D104" s="44" t="inlineStr">
        <is>
          <t>Water clarity / turbidity (Secchi)</t>
        </is>
      </c>
      <c r="E104" s="44" t="inlineStr">
        <is>
          <t>Not listed</t>
        </is>
      </c>
      <c r="F104" s="44" t="inlineStr">
        <is>
          <t>Source kit only — Equipment Type (N), not in the protocol</t>
        </is>
      </c>
      <c r="G104" s="44" t="inlineStr">
        <is>
          <t>N: …secchi disc…</t>
        </is>
      </c>
    </row>
    <row r="105">
      <c r="A105" s="44" t="inlineStr">
        <is>
          <t>liang_2022_wq211</t>
        </is>
      </c>
      <c r="B105" s="44" t="inlineStr">
        <is>
          <t>WQ 2.1.1 — Chlorophyll-a</t>
        </is>
      </c>
      <c r="C105" s="44" t="inlineStr">
        <is>
          <t>Protocol</t>
        </is>
      </c>
      <c r="D105" s="44" t="inlineStr">
        <is>
          <t>Chlorophyll-a (water)</t>
        </is>
      </c>
      <c r="E105" s="44" t="inlineStr">
        <is>
          <t>Listed</t>
        </is>
      </c>
      <c r="F105" s="44" t="inlineStr">
        <is>
          <t>Method summary (AK)</t>
        </is>
      </c>
      <c r="G105" s="44" t="inlineStr">
        <is>
          <t>AK: …foil and have a partner lab extract and read chlorophyll-a.…</t>
        </is>
      </c>
    </row>
    <row r="106">
      <c r="A106" s="44" t="inlineStr">
        <is>
          <t>jiang_2020_wq121</t>
        </is>
      </c>
      <c r="B106" s="44" t="inlineStr">
        <is>
          <t>WQ 1.2.1 — Dissolved oxygen</t>
        </is>
      </c>
      <c r="C106" s="44" t="inlineStr">
        <is>
          <t>Protocol</t>
        </is>
      </c>
      <c r="D106" s="44" t="inlineStr">
        <is>
          <t>Temperature / salinity</t>
        </is>
      </c>
      <c r="E106" s="44" t="inlineStr">
        <is>
          <t>Listed</t>
        </is>
      </c>
      <c r="F106" s="44" t="inlineStr">
        <is>
          <t>Method summary (AK)</t>
        </is>
      </c>
      <c r="G106" s="44" t="inlineStr">
        <is>
          <t>AK: …tner lab is the reference method), recording temperature and salinity alongside, and cover all areas …</t>
        </is>
      </c>
    </row>
    <row r="107">
      <c r="A107" s="44" t="inlineStr">
        <is>
          <t>jiang_2020_wq121</t>
        </is>
      </c>
      <c r="B107" s="44" t="inlineStr">
        <is>
          <t>WQ 1.2.1 — Dissolved oxygen</t>
        </is>
      </c>
      <c r="C107" s="44" t="inlineStr">
        <is>
          <t>Protocol</t>
        </is>
      </c>
      <c r="D107" s="44" t="inlineStr">
        <is>
          <t>Dissolved oxygen</t>
        </is>
      </c>
      <c r="E107" s="44" t="inlineStr">
        <is>
          <t>Listed</t>
        </is>
      </c>
      <c r="F107" s="44" t="inlineStr">
        <is>
          <t>Method summary (AK)</t>
        </is>
      </c>
      <c r="G107" s="44" t="inlineStr">
        <is>
          <t>AK: …to check whether your kelp farm raises dissolved oxygen, sample inside the farm and in [2] control a…</t>
        </is>
      </c>
    </row>
    <row r="108">
      <c r="A108" s="44" t="inlineStr">
        <is>
          <t>jiang_2020_wq121</t>
        </is>
      </c>
      <c r="B108" s="44" t="inlineStr">
        <is>
          <t>WQ 1.2.1 — Dissolved oxygen</t>
        </is>
      </c>
      <c r="C108" s="44" t="inlineStr">
        <is>
          <t>Protocol</t>
        </is>
      </c>
      <c r="D108" s="44" t="inlineStr">
        <is>
          <t>Water clarity / turbidity (Secchi)</t>
        </is>
      </c>
      <c r="E108" s="44" t="inlineStr">
        <is>
          <t>Not listed</t>
        </is>
      </c>
      <c r="F108" s="44" t="inlineStr">
        <is>
          <t>Source kit only — Equipment Type (N), not in the protocol</t>
        </is>
      </c>
      <c r="G108" s="44" t="inlineStr">
        <is>
          <t>N: …secchi disc.…</t>
        </is>
      </c>
    </row>
    <row r="109">
      <c r="A109" s="44" t="inlineStr">
        <is>
          <t>jiang_2020_wq211</t>
        </is>
      </c>
      <c r="B109" s="44" t="inlineStr">
        <is>
          <t>WQ 2.1.1 — Chlorophyll-a</t>
        </is>
      </c>
      <c r="C109" s="44" t="inlineStr">
        <is>
          <t>Protocol</t>
        </is>
      </c>
      <c r="D109" s="44" t="inlineStr">
        <is>
          <t>Chlorophyll-a (water)</t>
        </is>
      </c>
      <c r="E109" s="44" t="inlineStr">
        <is>
          <t>Listed</t>
        </is>
      </c>
      <c r="F109" s="44" t="inlineStr">
        <is>
          <t>Method summary (AK)</t>
        </is>
      </c>
      <c r="G109" s="44" t="inlineStr">
        <is>
          <t>AK: …and frozen, and send it to a partner lab for chlorophyll-a extraction and reading.…</t>
        </is>
      </c>
    </row>
    <row r="110">
      <c r="A110" s="44" t="inlineStr">
        <is>
          <t>jiang_2020_wq211</t>
        </is>
      </c>
      <c r="B110" s="44" t="inlineStr">
        <is>
          <t>WQ 2.1.1 — Chlorophyll-a</t>
        </is>
      </c>
      <c r="C110" s="44" t="inlineStr">
        <is>
          <t>Protocol</t>
        </is>
      </c>
      <c r="D110" s="44" t="inlineStr">
        <is>
          <t>Size-fractionated pigments (HPLC)</t>
        </is>
      </c>
      <c r="E110" s="44" t="inlineStr">
        <is>
          <t>Not listed</t>
        </is>
      </c>
      <c r="F110" s="44" t="inlineStr">
        <is>
          <t>Source kit only — Equipment Type (N), not in the protocol</t>
        </is>
      </c>
      <c r="G110" s="44" t="inlineStr">
        <is>
          <t>N: …f/f filters (plus 20 um and 2 um filters for size fractions)…</t>
        </is>
      </c>
    </row>
    <row r="111">
      <c r="A111" s="44" t="inlineStr">
        <is>
          <t>jiang_2020_cc211</t>
        </is>
      </c>
      <c r="B111" s="44" t="inlineStr">
        <is>
          <t>CC 2.1.1 — pH / ocean acidification</t>
        </is>
      </c>
      <c r="C111" s="44" t="inlineStr">
        <is>
          <t>Protocol</t>
        </is>
      </c>
      <c r="D111" s="44" t="inlineStr">
        <is>
          <t>Temperature / salinity</t>
        </is>
      </c>
      <c r="E111" s="44" t="inlineStr">
        <is>
          <t>Not listed</t>
        </is>
      </c>
      <c r="F111" s="44" t="inlineStr">
        <is>
          <t>Source kit only — Equipment Type (N), not in the protocol</t>
        </is>
      </c>
      <c r="G111" s="44" t="inlineStr">
        <is>
          <t>N: …ysi 30 temperature/salinity meter.…</t>
        </is>
      </c>
    </row>
    <row r="112">
      <c r="A112" s="44" t="inlineStr">
        <is>
          <t>jiang_2020_cc211</t>
        </is>
      </c>
      <c r="B112" s="44" t="inlineStr">
        <is>
          <t>CC 2.1.1 — pH / ocean acidification</t>
        </is>
      </c>
      <c r="C112" s="44" t="inlineStr">
        <is>
          <t>Protocol</t>
        </is>
      </c>
      <c r="D112" s="44" t="inlineStr">
        <is>
          <t>pH</t>
        </is>
      </c>
      <c r="E112" s="44" t="inlineStr">
        <is>
          <t>Listed</t>
        </is>
      </c>
      <c r="F112" s="44" t="inlineStr">
        <is>
          <t>Method summary (AK)</t>
        </is>
      </c>
      <c r="G112" s="44" t="inlineStr">
        <is>
          <t>AK: …to check whether your seaweed farm raises ph (eases acidification), moor an ocean-acidifi…</t>
        </is>
      </c>
    </row>
    <row r="113">
      <c r="A113" s="44" t="inlineStr">
        <is>
          <t>jiang_2020_cc211</t>
        </is>
      </c>
      <c r="B113" s="44" t="inlineStr">
        <is>
          <t>CC 2.1.1 — pH / ocean acidification</t>
        </is>
      </c>
      <c r="C113" s="44" t="inlineStr">
        <is>
          <t>Protocol</t>
        </is>
      </c>
      <c r="D113" s="44" t="inlineStr">
        <is>
          <t>Carbonate system (pH / OA)</t>
        </is>
      </c>
      <c r="E113" s="44" t="inlineStr">
        <is>
          <t>Listed</t>
        </is>
      </c>
      <c r="F113" s="44" t="inlineStr">
        <is>
          <t>Method summary (AK)</t>
        </is>
      </c>
      <c r="G113" s="44" t="inlineStr">
        <is>
          <t>AK: …k whether your seaweed farm raises ph (eases acidification), moor an ocean-acidification-grade ph logge…</t>
        </is>
      </c>
    </row>
    <row r="114">
      <c r="A114" s="44" t="inlineStr">
        <is>
          <t>jiang_2020_cc211</t>
        </is>
      </c>
      <c r="B114" s="44" t="inlineStr">
        <is>
          <t>CC 2.1.1 — pH / ocean acidification</t>
        </is>
      </c>
      <c r="C114" s="44" t="inlineStr">
        <is>
          <t>Protocol</t>
        </is>
      </c>
      <c r="D114" s="44" t="inlineStr">
        <is>
          <t>Continuous moored sensors</t>
        </is>
      </c>
      <c r="E114" s="44" t="inlineStr">
        <is>
          <t>Listed</t>
        </is>
      </c>
      <c r="F114" s="44" t="inlineStr">
        <is>
          <t>Method summary (AK)</t>
        </is>
      </c>
      <c r="G114" s="44" t="inlineStr">
        <is>
          <t>AK: …eaweed farm raises ph (eases acidification), moor an ocean-acidification-grade ph logger insid…</t>
        </is>
      </c>
    </row>
    <row r="115">
      <c r="A115" s="44" t="inlineStr">
        <is>
          <t>rahadiati_2017</t>
        </is>
      </c>
      <c r="B115" s="44" t="inlineStr">
        <is>
          <t>WQ 1.2.1 — Dissolved oxygen</t>
        </is>
      </c>
      <c r="C115" s="44" t="inlineStr">
        <is>
          <t>Protocol</t>
        </is>
      </c>
      <c r="D115" s="44" t="inlineStr">
        <is>
          <t>Temperature / salinity</t>
        </is>
      </c>
      <c r="E115" s="44" t="inlineStr">
        <is>
          <t>Listed</t>
        </is>
      </c>
      <c r="F115" s="44" t="inlineStr">
        <is>
          <t>Method summary (AK)</t>
        </is>
      </c>
      <c r="G115" s="44" t="inlineStr">
        <is>
          <t>AK: …locity (drift float), clarity (secchi disk), salinity (refractometer), ph and sea-surface tempera…</t>
        </is>
      </c>
    </row>
    <row r="116">
      <c r="A116" s="44" t="inlineStr">
        <is>
          <t>rahadiati_2017</t>
        </is>
      </c>
      <c r="B116" s="44" t="inlineStr">
        <is>
          <t>WQ 1.2.1 — Dissolved oxygen</t>
        </is>
      </c>
      <c r="C116" s="44" t="inlineStr">
        <is>
          <t>Protocol</t>
        </is>
      </c>
      <c r="D116" s="44" t="inlineStr">
        <is>
          <t>Dissolved oxygen</t>
        </is>
      </c>
      <c r="E116" s="44" t="inlineStr">
        <is>
          <t>Listed</t>
        </is>
      </c>
      <c r="F116" s="44" t="inlineStr">
        <is>
          <t>Method summary (AK)</t>
        </is>
      </c>
      <c r="G116" s="44" t="inlineStr">
        <is>
          <t>AK: …sea-surface temperature (combined meter) and dissolved oxygen (do meter) on site, with water samples taken…</t>
        </is>
      </c>
    </row>
    <row r="117">
      <c r="A117" s="44" t="inlineStr">
        <is>
          <t>rahadiati_2017</t>
        </is>
      </c>
      <c r="B117" s="44" t="inlineStr">
        <is>
          <t>WQ 1.2.1 — Dissolved oxygen</t>
        </is>
      </c>
      <c r="C117" s="44" t="inlineStr">
        <is>
          <t>Protocol</t>
        </is>
      </c>
      <c r="D117" s="44" t="inlineStr">
        <is>
          <t>pH</t>
        </is>
      </c>
      <c r="E117" s="44" t="inlineStr">
        <is>
          <t>Listed</t>
        </is>
      </c>
      <c r="F117" s="44" t="inlineStr">
        <is>
          <t>Method summary (AK)</t>
        </is>
      </c>
      <c r="G117" s="44" t="inlineStr">
        <is>
          <t>AK: …ity (secchi disk), salinity (refractometer), ph and sea-surface temperature (combined meter)…</t>
        </is>
      </c>
    </row>
    <row r="118">
      <c r="A118" s="44" t="inlineStr">
        <is>
          <t>rahadiati_2017</t>
        </is>
      </c>
      <c r="B118" s="44" t="inlineStr">
        <is>
          <t>WQ 1.2.1 — Dissolved oxygen</t>
        </is>
      </c>
      <c r="C118" s="44" t="inlineStr">
        <is>
          <t>Protocol</t>
        </is>
      </c>
      <c r="D118" s="44" t="inlineStr">
        <is>
          <t>Water clarity / turbidity (Secchi)</t>
        </is>
      </c>
      <c r="E118" s="44" t="inlineStr">
        <is>
          <t>Listed</t>
        </is>
      </c>
      <c r="F118" s="44" t="inlineStr">
        <is>
          <t>Method summary (AK)</t>
        </is>
      </c>
      <c r="G118" s="44" t="inlineStr">
        <is>
          <t>AK: …r), current velocity (drift float), clarity (secchi disk), salinity (refractometer), ph and sea-…</t>
        </is>
      </c>
    </row>
    <row r="119">
      <c r="A119" s="44" t="inlineStr">
        <is>
          <t>rahadiati_2017</t>
        </is>
      </c>
      <c r="B119" s="44" t="inlineStr">
        <is>
          <t>WQ 1.2.1 — Dissolved oxygen</t>
        </is>
      </c>
      <c r="C119" s="44" t="inlineStr">
        <is>
          <t>Protocol</t>
        </is>
      </c>
      <c r="D119" s="44" t="inlineStr">
        <is>
          <t>Dissolved nutrients (N &amp; P)</t>
        </is>
      </c>
      <c r="E119" s="44" t="inlineStr">
        <is>
          <t>Listed</t>
        </is>
      </c>
      <c r="F119" s="44" t="inlineStr">
        <is>
          <t>Method summary (AK)</t>
        </is>
      </c>
      <c r="G119" s="44" t="inlineStr">
        <is>
          <t>AK: … site, with water samples taken to a lab for nitrate, phosphate and turbidity.…</t>
        </is>
      </c>
    </row>
    <row r="120">
      <c r="A120" s="44" t="inlineStr">
        <is>
          <t>rahadiati_2017</t>
        </is>
      </c>
      <c r="B120" s="44" t="inlineStr">
        <is>
          <t>WQ 1.2.1 — Dissolved oxygen</t>
        </is>
      </c>
      <c r="C120" s="44" t="inlineStr">
        <is>
          <t>Protocol</t>
        </is>
      </c>
      <c r="D120" s="44" t="inlineStr">
        <is>
          <t>GIS siting / carrying capacity</t>
        </is>
      </c>
      <c r="E120" s="44" t="inlineStr">
        <is>
          <t>Listed</t>
        </is>
      </c>
      <c r="F120" s="44" t="inlineStr">
        <is>
          <t>Method summary (AK)</t>
        </is>
      </c>
      <c r="G120" s="44" t="inlineStr">
        <is>
          <t>AK: …rs seasonal water-quality measurement with a gis suitability-and-carrying-capacity assessment for si…</t>
        </is>
      </c>
    </row>
    <row r="121">
      <c r="A121" s="44" t="inlineStr">
        <is>
          <t>troell_1999</t>
        </is>
      </c>
      <c r="B121" s="44" t="inlineStr">
        <is>
          <t>WQ 1.1.1 — N and P bioextraction</t>
        </is>
      </c>
      <c r="C121" s="44" t="inlineStr">
        <is>
          <t>Reference</t>
        </is>
      </c>
      <c r="D121" s="44" t="inlineStr">
        <is>
          <t>Tissue elemental (CHN) analysis</t>
        </is>
      </c>
      <c r="E121" s="44" t="inlineStr">
        <is>
          <t>Not listed</t>
        </is>
      </c>
      <c r="F121" s="44" t="inlineStr">
        <is>
          <t>Review / framework reference (no procedure)</t>
        </is>
      </c>
      <c r="G121" s="44" t="inlineStr">
        <is>
          <t>AK: …use it for context on the bioextraction concept, then go to the primary quantitat…</t>
        </is>
      </c>
    </row>
    <row r="122">
      <c r="A122" s="44" t="inlineStr">
        <is>
          <t>rose_2023</t>
        </is>
      </c>
      <c r="B122" s="44" t="inlineStr">
        <is>
          <t>CC 1.1.1 — Biomass replacement of emissions-intensive products, CC 1.2.1 — Cradle-to-grave GHG emissions</t>
        </is>
      </c>
      <c r="C122" s="44" t="inlineStr">
        <is>
          <t>Reference</t>
        </is>
      </c>
      <c r="D122" s="44" t="inlineStr">
        <is>
          <t>Tissue elemental (CHN) analysis</t>
        </is>
      </c>
      <c r="E122" s="44" t="inlineStr">
        <is>
          <t>Not listed</t>
        </is>
      </c>
      <c r="F122" s="44" t="inlineStr">
        <is>
          <t>Review / framework reference (no procedure)</t>
        </is>
      </c>
      <c r="G122" s="44" t="inlineStr">
        <is>
          <t>AK: …it classifies carbon-uptake methods - tissue carbon content x biomass, eddy covariance, iso…</t>
        </is>
      </c>
    </row>
    <row r="123">
      <c r="A123" s="44" t="inlineStr">
        <is>
          <t>rose_2023</t>
        </is>
      </c>
      <c r="B123" s="44" t="inlineStr">
        <is>
          <t>CC 1.1.1 — Biomass replacement of emissions-intensive products, CC 1.2.1 — Cradle-to-grave GHG emissions</t>
        </is>
      </c>
      <c r="C123" s="44" t="inlineStr">
        <is>
          <t>Reference</t>
        </is>
      </c>
      <c r="D123" s="44" t="inlineStr">
        <is>
          <t>Stable isotopes (d13C / d15N)</t>
        </is>
      </c>
      <c r="E123" s="44" t="inlineStr">
        <is>
          <t>Not listed</t>
        </is>
      </c>
      <c r="F123" s="44" t="inlineStr">
        <is>
          <t>Review / framework reference (no procedure)</t>
        </is>
      </c>
      <c r="G123" s="44" t="inlineStr">
        <is>
          <t>AK: …e carbon content x biomass, eddy covariance, isotope tracing, all relatively mature - and carbon…</t>
        </is>
      </c>
    </row>
    <row r="124">
      <c r="A124" s="44" t="inlineStr">
        <is>
          <t>xiong_2023</t>
        </is>
      </c>
      <c r="B124" s="44" t="inlineStr">
        <is>
          <t>WQ 1.1.1 — N and P bioextraction, WQ 1.2.1 — Dissolved oxygen, CC 1.2.1 — Cradle-to-grave GHG emissions</t>
        </is>
      </c>
      <c r="C124" s="44" t="inlineStr">
        <is>
          <t>Reference</t>
        </is>
      </c>
      <c r="D124" s="44" t="inlineStr">
        <is>
          <t>Nutrient mass-balance / budget</t>
        </is>
      </c>
      <c r="E124" s="44" t="inlineStr">
        <is>
          <t>Not listed</t>
        </is>
      </c>
      <c r="F124" s="44" t="inlineStr">
        <is>
          <t>Review / framework reference (no procedure)</t>
        </is>
      </c>
      <c r="G124" s="44" t="inlineStr">
        <is>
          <t>AK: …this is a scaling-up accounting synthesis, not a primary protocol.…</t>
        </is>
      </c>
    </row>
    <row r="125">
      <c r="A125" s="44" t="inlineStr">
        <is>
          <t>wu_2025_wq121</t>
        </is>
      </c>
      <c r="B125" s="44" t="inlineStr">
        <is>
          <t>WQ 1.2.1 — Dissolved oxygen</t>
        </is>
      </c>
      <c r="C125" s="44" t="inlineStr">
        <is>
          <t>Protocol</t>
        </is>
      </c>
      <c r="D125" s="44" t="inlineStr">
        <is>
          <t>Temperature / salinity</t>
        </is>
      </c>
      <c r="E125" s="44" t="inlineStr">
        <is>
          <t>Not listed</t>
        </is>
      </c>
      <c r="F125" s="44" t="inlineStr">
        <is>
          <t>Source kit only — Equipment Type (N), not in the protocol</t>
        </is>
      </c>
      <c r="G125" s="44" t="inlineStr">
        <is>
          <t>N: …ysi exo2 sonde at 0.5 m (temperature, salinity, ph, chlorophyll fluorescence, do…</t>
        </is>
      </c>
    </row>
    <row r="126">
      <c r="A126" s="44" t="inlineStr">
        <is>
          <t>wu_2025_wq121</t>
        </is>
      </c>
      <c r="B126" s="44" t="inlineStr">
        <is>
          <t>WQ 1.2.1 — Dissolved oxygen</t>
        </is>
      </c>
      <c r="C126" s="44" t="inlineStr">
        <is>
          <t>Protocol</t>
        </is>
      </c>
      <c r="D126" s="44" t="inlineStr">
        <is>
          <t>Dissolved oxygen</t>
        </is>
      </c>
      <c r="E126" s="44" t="inlineStr">
        <is>
          <t>Listed</t>
        </is>
      </c>
      <c r="F126" s="44" t="inlineStr">
        <is>
          <t>Method summary (AK)</t>
        </is>
      </c>
      <c r="G126" s="44" t="inlineStr">
        <is>
          <t>AK: …to check whether your seaweed farm raises dissolved oxygen in the water around it, take readings with a…</t>
        </is>
      </c>
    </row>
    <row r="127">
      <c r="A127" s="44" t="inlineStr">
        <is>
          <t>wu_2025_wq121</t>
        </is>
      </c>
      <c r="B127" s="44" t="inlineStr">
        <is>
          <t>WQ 1.2.1 — Dissolved oxygen</t>
        </is>
      </c>
      <c r="C127" s="44" t="inlineStr">
        <is>
          <t>Protocol</t>
        </is>
      </c>
      <c r="D127" s="44" t="inlineStr">
        <is>
          <t>pH</t>
        </is>
      </c>
      <c r="E127" s="44" t="inlineStr">
        <is>
          <t>Not listed</t>
        </is>
      </c>
      <c r="F127" s="44" t="inlineStr">
        <is>
          <t>Source kit only — Equipment Type (N), not in the protocol</t>
        </is>
      </c>
      <c r="G127" s="44" t="inlineStr">
        <is>
          <t>N: … exo2 sonde at 0.5 m (temperature, salinity, ph, chlorophyll fluorescence, do…</t>
        </is>
      </c>
    </row>
    <row r="128">
      <c r="A128" s="44" t="inlineStr">
        <is>
          <t>wu_2025_wq121</t>
        </is>
      </c>
      <c r="B128" s="44" t="inlineStr">
        <is>
          <t>WQ 1.2.1 — Dissolved oxygen</t>
        </is>
      </c>
      <c r="C128" s="44" t="inlineStr">
        <is>
          <t>Protocol</t>
        </is>
      </c>
      <c r="D128" s="44" t="inlineStr">
        <is>
          <t>Dissolved nutrients (N &amp; P)</t>
        </is>
      </c>
      <c r="E128" s="44" t="inlineStr">
        <is>
          <t>Not listed</t>
        </is>
      </c>
      <c r="F128" s="44" t="inlineStr">
        <is>
          <t>Source kit only — Equipment Type (N), not in the protocol</t>
        </is>
      </c>
      <c r="G128" s="44" t="inlineStr">
        <is>
          <t>N: …cleverchem 380 plus nutrient analyser…</t>
        </is>
      </c>
    </row>
    <row r="129">
      <c r="A129" s="44" t="inlineStr">
        <is>
          <t>wu_2025_wq121</t>
        </is>
      </c>
      <c r="B129" s="44" t="inlineStr">
        <is>
          <t>WQ 1.2.1 — Dissolved oxygen</t>
        </is>
      </c>
      <c r="C129" s="44" t="inlineStr">
        <is>
          <t>Protocol</t>
        </is>
      </c>
      <c r="D129" s="44" t="inlineStr">
        <is>
          <t>Chlorophyll-a (water)</t>
        </is>
      </c>
      <c r="E129" s="44" t="inlineStr">
        <is>
          <t>Not listed</t>
        </is>
      </c>
      <c r="F129" s="44" t="inlineStr">
        <is>
          <t>Source kit only — Equipment Type (N), not in the protocol</t>
        </is>
      </c>
      <c r="G129" s="44" t="inlineStr">
        <is>
          <t>N: …2 sonde at 0.5 m (temperature, salinity, ph, chlorophyll fluorescence, do…</t>
        </is>
      </c>
    </row>
    <row r="130">
      <c r="A130" s="44" t="inlineStr">
        <is>
          <t>wu_2025_wq121</t>
        </is>
      </c>
      <c r="B130" s="44" t="inlineStr">
        <is>
          <t>WQ 1.2.1 — Dissolved oxygen</t>
        </is>
      </c>
      <c r="C130" s="44" t="inlineStr">
        <is>
          <t>Protocol</t>
        </is>
      </c>
      <c r="D130" s="44" t="inlineStr">
        <is>
          <t>Carbonate system (pH / OA)</t>
        </is>
      </c>
      <c r="E130" s="44" t="inlineStr">
        <is>
          <t>Not listed</t>
        </is>
      </c>
      <c r="F130" s="44" t="inlineStr">
        <is>
          <t>Source kit only — Equipment Type (N), not in the protocol</t>
        </is>
      </c>
      <c r="G130" s="44" t="inlineStr">
        <is>
          <t>N: …shimadzu toc-l for dic and doc…</t>
        </is>
      </c>
    </row>
    <row r="131">
      <c r="A131" s="44" t="inlineStr">
        <is>
          <t>wu_2025_wq121</t>
        </is>
      </c>
      <c r="B131" s="44" t="inlineStr">
        <is>
          <t>WQ 1.2.1 — Dissolved oxygen</t>
        </is>
      </c>
      <c r="C131" s="44" t="inlineStr">
        <is>
          <t>Protocol</t>
        </is>
      </c>
      <c r="D131" s="44" t="inlineStr">
        <is>
          <t>Farm / bloom extent mapping</t>
        </is>
      </c>
      <c r="E131" s="44" t="inlineStr">
        <is>
          <t>Not listed</t>
        </is>
      </c>
      <c r="F131" s="44" t="inlineStr">
        <is>
          <t>Source kit only — Equipment Type (N), not in the protocol</t>
        </is>
      </c>
      <c r="G131" s="44" t="inlineStr">
        <is>
          <t>N: …sentinel-2 mapping of farm extent.…</t>
        </is>
      </c>
    </row>
    <row r="132">
      <c r="A132" s="44" t="inlineStr">
        <is>
          <t>wu_2025_wq211</t>
        </is>
      </c>
      <c r="B132" s="44" t="inlineStr">
        <is>
          <t>WQ 2.1.1 — Chlorophyll-a</t>
        </is>
      </c>
      <c r="C132" s="44" t="inlineStr">
        <is>
          <t>Protocol</t>
        </is>
      </c>
      <c r="D132" s="44" t="inlineStr">
        <is>
          <t>Temperature / salinity</t>
        </is>
      </c>
      <c r="E132" s="44" t="inlineStr">
        <is>
          <t>Not listed</t>
        </is>
      </c>
      <c r="F132" s="44" t="inlineStr">
        <is>
          <t>Source kit only — Equipment Type (N), not in the protocol</t>
        </is>
      </c>
      <c r="G132" s="44" t="inlineStr">
        <is>
          <t>N: …ysi exo2 sonde at 0.5 m (temperature, salinity, ph, chlorophyll fluorescence, do…</t>
        </is>
      </c>
    </row>
    <row r="133">
      <c r="A133" s="44" t="inlineStr">
        <is>
          <t>wu_2025_wq211</t>
        </is>
      </c>
      <c r="B133" s="44" t="inlineStr">
        <is>
          <t>WQ 2.1.1 — Chlorophyll-a</t>
        </is>
      </c>
      <c r="C133" s="44" t="inlineStr">
        <is>
          <t>Protocol</t>
        </is>
      </c>
      <c r="D133" s="44" t="inlineStr">
        <is>
          <t>pH</t>
        </is>
      </c>
      <c r="E133" s="44" t="inlineStr">
        <is>
          <t>Not listed</t>
        </is>
      </c>
      <c r="F133" s="44" t="inlineStr">
        <is>
          <t>Source kit only — Equipment Type (N), not in the protocol</t>
        </is>
      </c>
      <c r="G133" s="44" t="inlineStr">
        <is>
          <t>N: … exo2 sonde at 0.5 m (temperature, salinity, ph, chlorophyll fluorescence, do…</t>
        </is>
      </c>
    </row>
    <row r="134">
      <c r="A134" s="44" t="inlineStr">
        <is>
          <t>wu_2025_wq211</t>
        </is>
      </c>
      <c r="B134" s="44" t="inlineStr">
        <is>
          <t>WQ 2.1.1 — Chlorophyll-a</t>
        </is>
      </c>
      <c r="C134" s="44" t="inlineStr">
        <is>
          <t>Protocol</t>
        </is>
      </c>
      <c r="D134" s="44" t="inlineStr">
        <is>
          <t>Dissolved nutrients (N &amp; P)</t>
        </is>
      </c>
      <c r="E134" s="44" t="inlineStr">
        <is>
          <t>Not listed</t>
        </is>
      </c>
      <c r="F134" s="44" t="inlineStr">
        <is>
          <t>Source kit only — Equipment Type (N), not in the protocol</t>
        </is>
      </c>
      <c r="G134" s="44" t="inlineStr">
        <is>
          <t>N: …cleverchem 380 plus nutrient analyser…</t>
        </is>
      </c>
    </row>
    <row r="135">
      <c r="A135" s="44" t="inlineStr">
        <is>
          <t>wu_2025_wq211</t>
        </is>
      </c>
      <c r="B135" s="44" t="inlineStr">
        <is>
          <t>WQ 2.1.1 — Chlorophyll-a</t>
        </is>
      </c>
      <c r="C135" s="44" t="inlineStr">
        <is>
          <t>Protocol</t>
        </is>
      </c>
      <c r="D135" s="44" t="inlineStr">
        <is>
          <t>Chlorophyll-a (water)</t>
        </is>
      </c>
      <c r="E135" s="44" t="inlineStr">
        <is>
          <t>Listed</t>
        </is>
      </c>
      <c r="F135" s="44" t="inlineStr">
        <is>
          <t>Method summary (AK)</t>
        </is>
      </c>
      <c r="G135" s="44" t="inlineStr">
        <is>
          <t>AK: …to check the farm's effect on chlorophyll-a, collect surface water (about 0.5 m) at [3…</t>
        </is>
      </c>
    </row>
    <row r="136">
      <c r="A136" s="44" t="inlineStr">
        <is>
          <t>wu_2025_wq211</t>
        </is>
      </c>
      <c r="B136" s="44" t="inlineStr">
        <is>
          <t>WQ 2.1.1 — Chlorophyll-a</t>
        </is>
      </c>
      <c r="C136" s="44" t="inlineStr">
        <is>
          <t>Protocol</t>
        </is>
      </c>
      <c r="D136" s="44" t="inlineStr">
        <is>
          <t>Carbonate system (pH / OA)</t>
        </is>
      </c>
      <c r="E136" s="44" t="inlineStr">
        <is>
          <t>Not listed</t>
        </is>
      </c>
      <c r="F136" s="44" t="inlineStr">
        <is>
          <t>Source kit only — Equipment Type (N), not in the protocol</t>
        </is>
      </c>
      <c r="G136" s="44" t="inlineStr">
        <is>
          <t>N: …shimadzu toc-l for dic and doc…</t>
        </is>
      </c>
    </row>
    <row r="137">
      <c r="A137" s="44" t="inlineStr">
        <is>
          <t>wu_2025_wq211</t>
        </is>
      </c>
      <c r="B137" s="44" t="inlineStr">
        <is>
          <t>WQ 2.1.1 — Chlorophyll-a</t>
        </is>
      </c>
      <c r="C137" s="44" t="inlineStr">
        <is>
          <t>Protocol</t>
        </is>
      </c>
      <c r="D137" s="44" t="inlineStr">
        <is>
          <t>Farm / bloom extent mapping</t>
        </is>
      </c>
      <c r="E137" s="44" t="inlineStr">
        <is>
          <t>Not listed</t>
        </is>
      </c>
      <c r="F137" s="44" t="inlineStr">
        <is>
          <t>Source kit only — Equipment Type (N), not in the protocol</t>
        </is>
      </c>
      <c r="G137" s="44" t="inlineStr">
        <is>
          <t>N: …sentinel-2 mapping of farm extent.…</t>
        </is>
      </c>
    </row>
    <row r="138">
      <c r="A138" s="44" t="inlineStr">
        <is>
          <t>wu_2025_cc211</t>
        </is>
      </c>
      <c r="B138" s="44" t="inlineStr">
        <is>
          <t>CC 2.1.1 — pH / ocean acidification</t>
        </is>
      </c>
      <c r="C138" s="44" t="inlineStr">
        <is>
          <t>Protocol</t>
        </is>
      </c>
      <c r="D138" s="44" t="inlineStr">
        <is>
          <t>Temperature / salinity</t>
        </is>
      </c>
      <c r="E138" s="44" t="inlineStr">
        <is>
          <t>Not listed</t>
        </is>
      </c>
      <c r="F138" s="44" t="inlineStr">
        <is>
          <t>Source kit only — Equipment Type (N), not in the protocol</t>
        </is>
      </c>
      <c r="G138" s="44" t="inlineStr">
        <is>
          <t>N: …ysi exo2 sonde at 0.5 m (temperature, salinity, ph, chlorophyll fluorescence, do…</t>
        </is>
      </c>
    </row>
    <row r="139">
      <c r="A139" s="44" t="inlineStr">
        <is>
          <t>wu_2025_cc211</t>
        </is>
      </c>
      <c r="B139" s="44" t="inlineStr">
        <is>
          <t>CC 2.1.1 — pH / ocean acidification</t>
        </is>
      </c>
      <c r="C139" s="44" t="inlineStr">
        <is>
          <t>Protocol</t>
        </is>
      </c>
      <c r="D139" s="44" t="inlineStr">
        <is>
          <t>pH</t>
        </is>
      </c>
      <c r="E139" s="44" t="inlineStr">
        <is>
          <t>Listed</t>
        </is>
      </c>
      <c r="F139" s="44" t="inlineStr">
        <is>
          <t>Method summary (AK)</t>
        </is>
      </c>
      <c r="G139" s="44" t="inlineStr">
        <is>
          <t>AK: …water carbonate chemistry, deploy calibrated ph loggers at [1] point inside the farm and at …</t>
        </is>
      </c>
    </row>
    <row r="140">
      <c r="A140" s="44" t="inlineStr">
        <is>
          <t>wu_2025_cc211</t>
        </is>
      </c>
      <c r="B140" s="44" t="inlineStr">
        <is>
          <t>CC 2.1.1 — pH / ocean acidification</t>
        </is>
      </c>
      <c r="C140" s="44" t="inlineStr">
        <is>
          <t>Protocol</t>
        </is>
      </c>
      <c r="D140" s="44" t="inlineStr">
        <is>
          <t>Dissolved nutrients (N &amp; P)</t>
        </is>
      </c>
      <c r="E140" s="44" t="inlineStr">
        <is>
          <t>Not listed</t>
        </is>
      </c>
      <c r="F140" s="44" t="inlineStr">
        <is>
          <t>Source kit only — Equipment Type (N), not in the protocol</t>
        </is>
      </c>
      <c r="G140" s="44" t="inlineStr">
        <is>
          <t>N: …cleverchem 380 plus nutrient analyser…</t>
        </is>
      </c>
    </row>
    <row r="141">
      <c r="A141" s="44" t="inlineStr">
        <is>
          <t>wu_2025_cc211</t>
        </is>
      </c>
      <c r="B141" s="44" t="inlineStr">
        <is>
          <t>CC 2.1.1 — pH / ocean acidification</t>
        </is>
      </c>
      <c r="C141" s="44" t="inlineStr">
        <is>
          <t>Protocol</t>
        </is>
      </c>
      <c r="D141" s="44" t="inlineStr">
        <is>
          <t>Chlorophyll-a (water)</t>
        </is>
      </c>
      <c r="E141" s="44" t="inlineStr">
        <is>
          <t>Not listed</t>
        </is>
      </c>
      <c r="F141" s="44" t="inlineStr">
        <is>
          <t>Source kit only — Equipment Type (N), not in the protocol</t>
        </is>
      </c>
      <c r="G141" s="44" t="inlineStr">
        <is>
          <t>N: …2 sonde at 0.5 m (temperature, salinity, ph, chlorophyll fluorescence, do…</t>
        </is>
      </c>
    </row>
    <row r="142">
      <c r="A142" s="44" t="inlineStr">
        <is>
          <t>wu_2025_cc211</t>
        </is>
      </c>
      <c r="B142" s="44" t="inlineStr">
        <is>
          <t>CC 2.1.1 — pH / ocean acidification</t>
        </is>
      </c>
      <c r="C142" s="44" t="inlineStr">
        <is>
          <t>Protocol</t>
        </is>
      </c>
      <c r="D142" s="44" t="inlineStr">
        <is>
          <t>Carbonate system (pH / OA)</t>
        </is>
      </c>
      <c r="E142" s="44" t="inlineStr">
        <is>
          <t>Listed</t>
        </is>
      </c>
      <c r="F142" s="44" t="inlineStr">
        <is>
          <t>Method summary (AK)</t>
        </is>
      </c>
      <c r="G142" s="44" t="inlineStr">
        <is>
          <t>AK: …how your seaweed farm changes local seawater carbonate chemistry, deploy calibrated ph loggers at [1] point i…</t>
        </is>
      </c>
    </row>
    <row r="143">
      <c r="A143" s="44" t="inlineStr">
        <is>
          <t>wu_2025_cc211</t>
        </is>
      </c>
      <c r="B143" s="44" t="inlineStr">
        <is>
          <t>CC 2.1.1 — pH / ocean acidification</t>
        </is>
      </c>
      <c r="C143" s="44" t="inlineStr">
        <is>
          <t>Protocol</t>
        </is>
      </c>
      <c r="D143" s="44" t="inlineStr">
        <is>
          <t>Continuous moored sensors</t>
        </is>
      </c>
      <c r="E143" s="44" t="inlineStr">
        <is>
          <t>Listed</t>
        </is>
      </c>
      <c r="F143" s="44" t="inlineStr">
        <is>
          <t>Method summary (AK)</t>
        </is>
      </c>
      <c r="G143" s="44" t="inlineStr">
        <is>
          <t>AK: …er carbonate chemistry, deploy calibrated ph loggers at [1] point inside the farm and at [2] ref…</t>
        </is>
      </c>
    </row>
    <row r="144">
      <c r="A144" s="44" t="inlineStr">
        <is>
          <t>wu_2025_cc211</t>
        </is>
      </c>
      <c r="B144" s="44" t="inlineStr">
        <is>
          <t>CC 2.1.1 — pH / ocean acidification</t>
        </is>
      </c>
      <c r="C144" s="44" t="inlineStr">
        <is>
          <t>Protocol</t>
        </is>
      </c>
      <c r="D144" s="44" t="inlineStr">
        <is>
          <t>Farm / bloom extent mapping</t>
        </is>
      </c>
      <c r="E144" s="44" t="inlineStr">
        <is>
          <t>Not listed</t>
        </is>
      </c>
      <c r="F144" s="44" t="inlineStr">
        <is>
          <t>Source kit only — Equipment Type (N), not in the protocol</t>
        </is>
      </c>
      <c r="G144" s="44" t="inlineStr">
        <is>
          <t>N: …sentinel-2 mapping of farm extent.…</t>
        </is>
      </c>
    </row>
    <row r="145">
      <c r="A145" s="44" t="inlineStr">
        <is>
          <t>xiao_2017</t>
        </is>
      </c>
      <c r="B145" s="44" t="inlineStr">
        <is>
          <t>WQ 1.1.1 — N and P bioextraction</t>
        </is>
      </c>
      <c r="C145" s="44" t="inlineStr">
        <is>
          <t>Protocol</t>
        </is>
      </c>
      <c r="D145" s="44" t="inlineStr">
        <is>
          <t>Tissue elemental (CHN) analysis</t>
        </is>
      </c>
      <c r="E145" s="44" t="inlineStr">
        <is>
          <t>Listed</t>
        </is>
      </c>
      <c r="F145" s="44" t="inlineStr">
        <is>
          <t>Method summary (AK)</t>
        </is>
      </c>
      <c r="G145" s="44" t="inlineStr">
        <is>
          <t>AK: … them, and have a partner lab run elemental (chn) analysis for %n and %p…</t>
        </is>
      </c>
    </row>
    <row r="146">
      <c r="A146" s="44" t="inlineStr">
        <is>
          <t>xiao_2017</t>
        </is>
      </c>
      <c r="B146" s="44" t="inlineStr">
        <is>
          <t>WQ 1.1.1 — N and P bioextraction</t>
        </is>
      </c>
      <c r="C146" s="44" t="inlineStr">
        <is>
          <t>Protocol</t>
        </is>
      </c>
      <c r="D146" s="44" t="inlineStr">
        <is>
          <t>Stable isotopes (d13C / d15N)</t>
        </is>
      </c>
      <c r="E146" s="44" t="inlineStr">
        <is>
          <t>Listed</t>
        </is>
      </c>
      <c r="F146" s="44" t="inlineStr">
        <is>
          <t>Method summary (AK)</t>
        </is>
      </c>
      <c r="G146" s="44" t="inlineStr">
        <is>
          <t>AK: … tissue-measurement protocol for the chn and isotope side.…</t>
        </is>
      </c>
    </row>
    <row r="147">
      <c r="A147" s="44" t="inlineStr">
        <is>
          <t>bell_2020</t>
        </is>
      </c>
      <c r="B147" s="44" t="inlineStr">
        <is>
          <t>H&amp;B 2.1.1 — Community composition, WQ 2.1.1 — Chlorophyll-a</t>
        </is>
      </c>
      <c r="C147" s="44" t="inlineStr">
        <is>
          <t>Reference</t>
        </is>
      </c>
      <c r="D147" s="44" t="inlineStr">
        <is>
          <t>Satellite ocean colour (chl-a)</t>
        </is>
      </c>
      <c r="E147" s="44" t="inlineStr">
        <is>
          <t>Not listed</t>
        </is>
      </c>
      <c r="F147" s="44" t="inlineStr">
        <is>
          <t>Review / framework reference (no procedure)</t>
        </is>
      </c>
      <c r="G147" s="44" t="inlineStr">
        <is>
          <t>AK: …it surveys satellite, autonomous underwater vehicle and other aut…</t>
        </is>
      </c>
    </row>
    <row r="148">
      <c r="A148" s="44" t="inlineStr">
        <is>
          <t>wang_2014</t>
        </is>
      </c>
      <c r="B148" s="44" t="inlineStr">
        <is>
          <t>WQ 1.1.1 — N and P bioextraction</t>
        </is>
      </c>
      <c r="C148" s="44" t="inlineStr">
        <is>
          <t>Protocol</t>
        </is>
      </c>
      <c r="D148" s="44" t="inlineStr">
        <is>
          <t>Dissolved nutrients (N &amp; P)</t>
        </is>
      </c>
      <c r="E148" s="44" t="inlineStr">
        <is>
          <t>Listed</t>
        </is>
      </c>
      <c r="F148" s="44" t="inlineStr">
        <is>
          <t>Method summary (AK)</t>
        </is>
      </c>
      <c r="G148" s="44" t="inlineStr">
        <is>
          <t>AK: …grated water samples with a tube sampler for dissolved inorganic nitrogen (ammonium, nitrate plus nitrite) and chlorop…</t>
        </is>
      </c>
    </row>
    <row r="149">
      <c r="A149" s="44" t="inlineStr">
        <is>
          <t>wang_2014</t>
        </is>
      </c>
      <c r="B149" s="44" t="inlineStr">
        <is>
          <t>WQ 1.1.1 — N and P bioextraction</t>
        </is>
      </c>
      <c r="C149" s="44" t="inlineStr">
        <is>
          <t>Protocol</t>
        </is>
      </c>
      <c r="D149" s="44" t="inlineStr">
        <is>
          <t>Chlorophyll-a (water)</t>
        </is>
      </c>
      <c r="E149" s="44" t="inlineStr">
        <is>
          <t>Listed</t>
        </is>
      </c>
      <c r="F149" s="44" t="inlineStr">
        <is>
          <t>Method summary (AK)</t>
        </is>
      </c>
      <c r="G149" s="44" t="inlineStr">
        <is>
          <t>AK: …itrogen (ammonium, nitrate plus nitrite) and chlorophyll-a on an autoanalyser and fluorometer, and es…</t>
        </is>
      </c>
    </row>
    <row r="150">
      <c r="A150" s="44" t="inlineStr">
        <is>
          <t>wang_2014</t>
        </is>
      </c>
      <c r="B150" s="44" t="inlineStr">
        <is>
          <t>WQ 1.1.1 — N and P bioextraction</t>
        </is>
      </c>
      <c r="C150" s="44" t="inlineStr">
        <is>
          <t>Protocol</t>
        </is>
      </c>
      <c r="D150" s="44" t="inlineStr">
        <is>
          <t>Tissue elemental (CHN) analysis</t>
        </is>
      </c>
      <c r="E150" s="44" t="inlineStr">
        <is>
          <t>Listed</t>
        </is>
      </c>
      <c r="F150" s="44" t="inlineStr">
        <is>
          <t>Method summary (AK)</t>
        </is>
      </c>
      <c r="G150" s="44" t="inlineStr">
        <is>
          <t>AK: …a raised tissue %n together with a delta-15-n shifted toward th…</t>
        </is>
      </c>
    </row>
    <row r="151">
      <c r="A151" s="44" t="inlineStr">
        <is>
          <t>wang_2014</t>
        </is>
      </c>
      <c r="B151" s="44" t="inlineStr">
        <is>
          <t>WQ 1.1.1 — N and P bioextraction</t>
        </is>
      </c>
      <c r="C151" s="44" t="inlineStr">
        <is>
          <t>Protocol</t>
        </is>
      </c>
      <c r="D151" s="44" t="inlineStr">
        <is>
          <t>Stable isotopes (d13C / d15N)</t>
        </is>
      </c>
      <c r="E151" s="44" t="inlineStr">
        <is>
          <t>Listed</t>
        </is>
      </c>
      <c r="F151" s="44" t="inlineStr">
        <is>
          <t>Method summary (AK)</t>
        </is>
      </c>
      <c r="G151" s="44" t="inlineStr">
        <is>
          <t>AK: …r carbon and nitrogen content and through an isotope-ratio mass spectrometer for delta-15-n.…</t>
        </is>
      </c>
    </row>
    <row r="152">
      <c r="A152" s="44" t="inlineStr">
        <is>
          <t>wang_2014</t>
        </is>
      </c>
      <c r="B152" s="44" t="inlineStr">
        <is>
          <t>WQ 1.1.1 — N and P bioextraction</t>
        </is>
      </c>
      <c r="C152" s="44" t="inlineStr">
        <is>
          <t>Protocol</t>
        </is>
      </c>
      <c r="D152" s="44" t="inlineStr">
        <is>
          <t>Satellite ocean colour (chl-a)</t>
        </is>
      </c>
      <c r="E152" s="44" t="inlineStr">
        <is>
          <t>Listed</t>
        </is>
      </c>
      <c r="F152" s="44" t="inlineStr">
        <is>
          <t>Method summary (AK)</t>
        </is>
      </c>
      <c r="G152" s="44" t="inlineStr">
        <is>
          <t>AK: …de length to get growth rate, and sample the meristem (new-growth) tissue:…</t>
        </is>
      </c>
    </row>
    <row r="153">
      <c r="A153" s="44" t="inlineStr">
        <is>
          <t>wang_2014</t>
        </is>
      </c>
      <c r="B153" s="44" t="inlineStr">
        <is>
          <t>WQ 1.1.1 — N and P bioextraction</t>
        </is>
      </c>
      <c r="C153" s="44" t="inlineStr">
        <is>
          <t>Protocol</t>
        </is>
      </c>
      <c r="D153" s="44" t="inlineStr">
        <is>
          <t>Nutrient mass-balance / budget</t>
        </is>
      </c>
      <c r="E153" s="44" t="inlineStr">
        <is>
          <t>Listed</t>
        </is>
      </c>
      <c r="F153" s="44" t="inlineStr">
        <is>
          <t>Method summary (AK)</t>
        </is>
      </c>
      <c r="G153" s="44" t="inlineStr">
        <is>
          <t>AK: …te the farm's nitrogen release with a simple mass-balance model.…</t>
        </is>
      </c>
    </row>
    <row r="154">
      <c r="A154" s="44" t="inlineStr">
        <is>
          <t>sara_2011</t>
        </is>
      </c>
      <c r="B154" s="44" t="inlineStr">
        <is>
          <t>WQ 1.1.1 — N and P bioextraction, WQ 2.1.1 — Chlorophyll-a</t>
        </is>
      </c>
      <c r="C154" s="44" t="inlineStr">
        <is>
          <t>Reference</t>
        </is>
      </c>
      <c r="D154" s="44" t="inlineStr">
        <is>
          <t>Nutrient mass-balance / budget</t>
        </is>
      </c>
      <c r="E154" s="44" t="inlineStr">
        <is>
          <t>Not listed</t>
        </is>
      </c>
      <c r="F154" s="44" t="inlineStr">
        <is>
          <t>Review / framework reference (no procedure)</t>
        </is>
      </c>
      <c r="G154" s="44" t="inlineStr">
        <is>
          <t>AK: …rseded methodologically by later bioextraction accounting work.…</t>
        </is>
      </c>
    </row>
    <row r="155">
      <c r="A155" s="44" t="inlineStr">
        <is>
          <t>walker_2023</t>
        </is>
      </c>
      <c r="B155" s="44" t="inlineStr">
        <is>
          <t>WQ 2.1.1 — Chlorophyll-a</t>
        </is>
      </c>
      <c r="C155" s="44" t="inlineStr">
        <is>
          <t>Protocol</t>
        </is>
      </c>
      <c r="D155" s="44" t="inlineStr">
        <is>
          <t>Temperature / salinity</t>
        </is>
      </c>
      <c r="E155" s="44" t="inlineStr">
        <is>
          <t>Listed</t>
        </is>
      </c>
      <c r="F155" s="44" t="inlineStr">
        <is>
          <t>Method summary (AK)</t>
        </is>
      </c>
      <c r="G155" s="44" t="inlineStr">
        <is>
          <t>AK: …ate by segmented-flow colourimetry), profile temperature, salinity and clarity with a ctd and secchi …</t>
        </is>
      </c>
    </row>
    <row r="156">
      <c r="A156" s="44" t="inlineStr">
        <is>
          <t>walker_2023</t>
        </is>
      </c>
      <c r="B156" s="44" t="inlineStr">
        <is>
          <t>WQ 2.1.1 — Chlorophyll-a</t>
        </is>
      </c>
      <c r="C156" s="44" t="inlineStr">
        <is>
          <t>Protocol</t>
        </is>
      </c>
      <c r="D156" s="44" t="inlineStr">
        <is>
          <t>Water clarity / turbidity (Secchi)</t>
        </is>
      </c>
      <c r="E156" s="44" t="inlineStr">
        <is>
          <t>Listed</t>
        </is>
      </c>
      <c r="F156" s="44" t="inlineStr">
        <is>
          <t>Method summary (AK)</t>
        </is>
      </c>
      <c r="G156" s="44" t="inlineStr">
        <is>
          <t>AK: …erature, salinity and clarity with a ctd and secchi disk, and take a preserved (lugol's iodine) …</t>
        </is>
      </c>
    </row>
    <row r="157">
      <c r="A157" s="44" t="inlineStr">
        <is>
          <t>walker_2023</t>
        </is>
      </c>
      <c r="B157" s="44" t="inlineStr">
        <is>
          <t>WQ 2.1.1 — Chlorophyll-a</t>
        </is>
      </c>
      <c r="C157" s="44" t="inlineStr">
        <is>
          <t>Protocol</t>
        </is>
      </c>
      <c r="D157" s="44" t="inlineStr">
        <is>
          <t>Dissolved nutrients (N &amp; P)</t>
        </is>
      </c>
      <c r="E157" s="44" t="inlineStr">
        <is>
          <t>Listed</t>
        </is>
      </c>
      <c r="F157" s="44" t="inlineStr">
        <is>
          <t>Method summary (AK)</t>
        </is>
      </c>
      <c r="G157" s="44" t="inlineStr">
        <is>
          <t>AK: …asonal thermocline) for dissolved nutrients (nitrate, nitrite, ammonium, phosphate, silicate by s…</t>
        </is>
      </c>
    </row>
    <row r="158">
      <c r="A158" s="44" t="inlineStr">
        <is>
          <t>walker_2023</t>
        </is>
      </c>
      <c r="B158" s="44" t="inlineStr">
        <is>
          <t>WQ 2.1.1 — Chlorophyll-a</t>
        </is>
      </c>
      <c r="C158" s="44" t="inlineStr">
        <is>
          <t>Protocol</t>
        </is>
      </c>
      <c r="D158" s="44" t="inlineStr">
        <is>
          <t>Phytoplankton community (microscopy)</t>
        </is>
      </c>
      <c r="E158" s="44" t="inlineStr">
        <is>
          <t>Listed</t>
        </is>
      </c>
      <c r="F158" s="44" t="inlineStr">
        <is>
          <t>Method summary (AK)</t>
        </is>
      </c>
      <c r="G158" s="44" t="inlineStr">
        <is>
          <t>AK: …a ctd and secchi disk, and take a preserved (lugol's iodine) sample for phytoplankton.…</t>
        </is>
      </c>
    </row>
    <row r="159">
      <c r="A159" s="44" t="inlineStr">
        <is>
          <t>walker_2023</t>
        </is>
      </c>
      <c r="B159" s="44" t="inlineStr">
        <is>
          <t>WQ 2.1.1 — Chlorophyll-a</t>
        </is>
      </c>
      <c r="C159" s="44" t="inlineStr">
        <is>
          <t>Protocol</t>
        </is>
      </c>
      <c r="D159" s="44" t="inlineStr">
        <is>
          <t>Zooplankton net haul</t>
        </is>
      </c>
      <c r="E159" s="44" t="inlineStr">
        <is>
          <t>Listed</t>
        </is>
      </c>
      <c r="F159" s="44" t="inlineStr">
        <is>
          <t>Method summary (AK)</t>
        </is>
      </c>
      <c r="G159" s="44" t="inlineStr">
        <is>
          <t>AK: …for zooplankton, haul a 200 um ring net from near the seabed…</t>
        </is>
      </c>
    </row>
    <row r="160">
      <c r="A160" s="44" t="inlineStr">
        <is>
          <t>jiang_2012_wq211</t>
        </is>
      </c>
      <c r="B160" s="44" t="inlineStr">
        <is>
          <t>WQ 2.1.1 — Chlorophyll-a</t>
        </is>
      </c>
      <c r="C160" s="44" t="inlineStr">
        <is>
          <t>Protocol</t>
        </is>
      </c>
      <c r="D160" s="44" t="inlineStr">
        <is>
          <t>Water clarity / turbidity (Secchi)</t>
        </is>
      </c>
      <c r="E160" s="44" t="inlineStr">
        <is>
          <t>Not listed</t>
        </is>
      </c>
      <c r="F160" s="44" t="inlineStr">
        <is>
          <t>Source kit only — Equipment Type (N), not in the protocol</t>
        </is>
      </c>
      <c r="G160" s="44" t="inlineStr">
        <is>
          <t>N: …ysi 30 meter and secchi disc for context.…</t>
        </is>
      </c>
    </row>
    <row r="161">
      <c r="A161" s="44" t="inlineStr">
        <is>
          <t>jiang_2012_wq211</t>
        </is>
      </c>
      <c r="B161" s="44" t="inlineStr">
        <is>
          <t>WQ 2.1.1 — Chlorophyll-a</t>
        </is>
      </c>
      <c r="C161" s="44" t="inlineStr">
        <is>
          <t>Protocol</t>
        </is>
      </c>
      <c r="D161" s="44" t="inlineStr">
        <is>
          <t>Chlorophyll-a (water)</t>
        </is>
      </c>
      <c r="E161" s="44" t="inlineStr">
        <is>
          <t>Listed</t>
        </is>
      </c>
      <c r="F161" s="44" t="inlineStr">
        <is>
          <t>Method summary (AK)</t>
        </is>
      </c>
      <c r="G161" s="44" t="inlineStr">
        <is>
          <t>AK: …dark and frozen, and have a partner lab read chlorophyll-a by fluorometry.…</t>
        </is>
      </c>
    </row>
    <row r="162">
      <c r="A162" s="44" t="inlineStr">
        <is>
          <t>jiang_2012_wq212</t>
        </is>
      </c>
      <c r="B162" s="44" t="inlineStr">
        <is>
          <t>WQ 2.1.2 — Microorganisms</t>
        </is>
      </c>
      <c r="C162" s="44" t="inlineStr">
        <is>
          <t>Protocol</t>
        </is>
      </c>
      <c r="D162" s="44" t="inlineStr">
        <is>
          <t>Water clarity / turbidity (Secchi)</t>
        </is>
      </c>
      <c r="E162" s="44" t="inlineStr">
        <is>
          <t>Not listed</t>
        </is>
      </c>
      <c r="F162" s="44" t="inlineStr">
        <is>
          <t>Source kit only — Equipment Type (N), not in the protocol</t>
        </is>
      </c>
      <c r="G162" s="44" t="inlineStr">
        <is>
          <t>N: …ysi 30, secchi disc and nutrient analyses for the environme…</t>
        </is>
      </c>
    </row>
    <row r="163">
      <c r="A163" s="44" t="inlineStr">
        <is>
          <t>jiang_2012_wq212</t>
        </is>
      </c>
      <c r="B163" s="44" t="inlineStr">
        <is>
          <t>WQ 2.1.2 — Microorganisms</t>
        </is>
      </c>
      <c r="C163" s="44" t="inlineStr">
        <is>
          <t>Protocol</t>
        </is>
      </c>
      <c r="D163" s="44" t="inlineStr">
        <is>
          <t>Dissolved nutrients (N &amp; P)</t>
        </is>
      </c>
      <c r="E163" s="44" t="inlineStr">
        <is>
          <t>Not listed</t>
        </is>
      </c>
      <c r="F163" s="44" t="inlineStr">
        <is>
          <t>Source kit only — Equipment Type (N), not in the protocol</t>
        </is>
      </c>
      <c r="G163" s="44" t="inlineStr">
        <is>
          <t>N: …ysi 30, secchi disc and nutrient analyses for the environmental (cca) variables.…</t>
        </is>
      </c>
    </row>
    <row r="164">
      <c r="A164" s="44" t="inlineStr">
        <is>
          <t>jiang_2012_wq212</t>
        </is>
      </c>
      <c r="B164" s="44" t="inlineStr">
        <is>
          <t>WQ 2.1.2 — Microorganisms</t>
        </is>
      </c>
      <c r="C164" s="44" t="inlineStr">
        <is>
          <t>Protocol</t>
        </is>
      </c>
      <c r="D164" s="44" t="inlineStr">
        <is>
          <t>Phytoplankton community (microscopy)</t>
        </is>
      </c>
      <c r="E164" s="44" t="inlineStr">
        <is>
          <t>Listed</t>
        </is>
      </c>
      <c r="F164" s="44" t="inlineStr">
        <is>
          <t>Method summary (AK)</t>
        </is>
      </c>
      <c r="G164" s="44" t="inlineStr">
        <is>
          <t>AK: …to check whether your farm changes the phytoplankton community, sample a line of stations - farm centre, ed…</t>
        </is>
      </c>
    </row>
    <row r="165">
      <c r="A165" s="44" t="inlineStr">
        <is>
          <t>visch_2020_hb111</t>
        </is>
      </c>
      <c r="B165" s="44" t="inlineStr">
        <is>
          <t>H&amp;B 1.1.1 — Epibiota</t>
        </is>
      </c>
      <c r="C165" s="44" t="inlineStr">
        <is>
          <t>Protocol</t>
        </is>
      </c>
      <c r="D165" s="44" t="inlineStr">
        <is>
          <t>Epibiota on lines / structures</t>
        </is>
      </c>
      <c r="E165" s="44" t="inlineStr">
        <is>
          <t>Listed</t>
        </is>
      </c>
      <c r="F165" s="44" t="inlineStr">
        <is>
          <t>Method summary (AK)</t>
        </is>
      </c>
      <c r="G165" s="44" t="inlineStr">
        <is>
          <t>AK: …to measure the animals living on your farmed kelp, wrap a fine-mesh bag (abou…</t>
        </is>
      </c>
    </row>
    <row r="166">
      <c r="A166" s="44" t="inlineStr">
        <is>
          <t>visch_2020_hb111</t>
        </is>
      </c>
      <c r="B166" s="44" t="inlineStr">
        <is>
          <t>H&amp;B 1.1.1 — Epibiota</t>
        </is>
      </c>
      <c r="C166" s="44" t="inlineStr">
        <is>
          <t>Protocol</t>
        </is>
      </c>
      <c r="D166" s="44" t="inlineStr">
        <is>
          <t>Epifauna on crop / rope</t>
        </is>
      </c>
      <c r="E166" s="44" t="inlineStr">
        <is>
          <t>Listed</t>
        </is>
      </c>
      <c r="F166" s="44" t="inlineStr">
        <is>
          <t>Method summary (AK)</t>
        </is>
      </c>
      <c r="G166" s="44" t="inlineStr">
        <is>
          <t>AK: …n line and cut it free so blades, stipes and holdfasts stay inside…</t>
        </is>
      </c>
    </row>
    <row r="167">
      <c r="A167" s="44" t="inlineStr">
        <is>
          <t>visch_2020_hb121</t>
        </is>
      </c>
      <c r="B167" s="44" t="inlineStr">
        <is>
          <t>H&amp;B 1.2.1 — Mobile fauna</t>
        </is>
      </c>
      <c r="C167" s="44" t="inlineStr">
        <is>
          <t>Protocol</t>
        </is>
      </c>
      <c r="D167" s="44" t="inlineStr">
        <is>
          <t>Nets &amp; baited traps</t>
        </is>
      </c>
      <c r="E167" s="44" t="inlineStr">
        <is>
          <t>Listed</t>
        </is>
      </c>
      <c r="F167" s="44" t="inlineStr">
        <is>
          <t>Method summary (AK)</t>
        </is>
      </c>
      <c r="G167" s="44" t="inlineStr">
        <is>
          <t>AK: …bed under your farm, set [4] baited cages or traps on the bottom within the farm and [4] at its…</t>
        </is>
      </c>
    </row>
    <row r="168">
      <c r="A168" s="44" t="inlineStr">
        <is>
          <t>visch_2020_hb131</t>
        </is>
      </c>
      <c r="B168" s="44" t="inlineStr">
        <is>
          <t>H&amp;B 1.3.1 — Benthic infauna</t>
        </is>
      </c>
      <c r="C168" s="44" t="inlineStr">
        <is>
          <t>Protocol</t>
        </is>
      </c>
      <c r="D168" s="44" t="inlineStr">
        <is>
          <t>Benthic infauna community</t>
        </is>
      </c>
      <c r="E168" s="44" t="inlineStr">
        <is>
          <t>Listed</t>
        </is>
      </c>
      <c r="F168" s="44" t="inlineStr">
        <is>
          <t>Method summary (AK)</t>
        </is>
      </c>
      <c r="G168" s="44" t="inlineStr">
        <is>
          <t>AK: …to check the bottom-living animals under your farm, take [3] grabs (about 0.1 …</t>
        </is>
      </c>
    </row>
    <row r="169">
      <c r="A169" s="44" t="inlineStr">
        <is>
          <t>visch_2020_hb141</t>
        </is>
      </c>
      <c r="B169" s="44" t="inlineStr">
        <is>
          <t>H&amp;B 1.4.1 — Sediment</t>
        </is>
      </c>
      <c r="C169" s="44" t="inlineStr">
        <is>
          <t>Protocol</t>
        </is>
      </c>
      <c r="D169" s="44" t="inlineStr">
        <is>
          <t>Temperature / salinity</t>
        </is>
      </c>
      <c r="E169" s="44" t="inlineStr">
        <is>
          <t>Listed</t>
        </is>
      </c>
      <c r="F169" s="44" t="inlineStr">
        <is>
          <t>Method summary (AK)</t>
        </is>
      </c>
      <c r="G169" s="44" t="inlineStr">
        <is>
          <t>AK: … water in the chamber (measured, or from the salinity drop after injecting a known volume of fres…</t>
        </is>
      </c>
    </row>
    <row r="170">
      <c r="A170" s="44" t="inlineStr">
        <is>
          <t>visch_2020_hb141</t>
        </is>
      </c>
      <c r="B170" s="44" t="inlineStr">
        <is>
          <t>H&amp;B 1.4.1 — Sediment</t>
        </is>
      </c>
      <c r="C170" s="44" t="inlineStr">
        <is>
          <t>Protocol</t>
        </is>
      </c>
      <c r="D170" s="44" t="inlineStr">
        <is>
          <t>Dissolved oxygen</t>
        </is>
      </c>
      <c r="E170" s="44" t="inlineStr">
        <is>
          <t>Listed</t>
        </is>
      </c>
      <c r="F170" s="44" t="inlineStr">
        <is>
          <t>Method summary (AK)</t>
        </is>
      </c>
      <c r="G170" s="44" t="inlineStr">
        <is>
          <t>AK: …r open-bottomed benthic chambers fitted with oxygen loggers and a stirrer gently onto the sediment with…</t>
        </is>
      </c>
    </row>
    <row r="171">
      <c r="A171" s="44" t="inlineStr">
        <is>
          <t>visch_2020_hb141</t>
        </is>
      </c>
      <c r="B171" s="44" t="inlineStr">
        <is>
          <t>H&amp;B 1.4.1 — Sediment</t>
        </is>
      </c>
      <c r="C171" s="44" t="inlineStr">
        <is>
          <t>Protocol</t>
        </is>
      </c>
      <c r="D171" s="44" t="inlineStr">
        <is>
          <t>Water clarity / turbidity (Secchi)</t>
        </is>
      </c>
      <c r="E171" s="44" t="inlineStr">
        <is>
          <t>Not listed</t>
        </is>
      </c>
      <c r="F171" s="44" t="inlineStr">
        <is>
          <t>Source kit only — Equipment Type (N), not in the protocol</t>
        </is>
      </c>
      <c r="G171" s="44" t="inlineStr">
        <is>
          <t>N: … stirrers, 10 sampling syringes, o2/salinity/turbidity sensors)…</t>
        </is>
      </c>
    </row>
    <row r="172">
      <c r="A172" s="44" t="inlineStr">
        <is>
          <t>visch_2020_hb141</t>
        </is>
      </c>
      <c r="B172" s="44" t="inlineStr">
        <is>
          <t>H&amp;B 1.4.1 — Sediment</t>
        </is>
      </c>
      <c r="C172" s="44" t="inlineStr">
        <is>
          <t>Protocol</t>
        </is>
      </c>
      <c r="D172" s="44" t="inlineStr">
        <is>
          <t>Continuous moored sensors</t>
        </is>
      </c>
      <c r="E172" s="44" t="inlineStr">
        <is>
          <t>Listed</t>
        </is>
      </c>
      <c r="F172" s="44" t="inlineStr">
        <is>
          <t>Method summary (AK)</t>
        </is>
      </c>
      <c r="G172" s="44" t="inlineStr">
        <is>
          <t>AK: …bottomed benthic chambers fitted with oxygen loggers and a stirrer gently onto the sediment with…</t>
        </is>
      </c>
    </row>
    <row r="173">
      <c r="A173" s="44" t="inlineStr">
        <is>
          <t>visch_2020_hb141</t>
        </is>
      </c>
      <c r="B173" s="44" t="inlineStr">
        <is>
          <t>H&amp;B 1.4.1 — Sediment</t>
        </is>
      </c>
      <c r="C173" s="44" t="inlineStr">
        <is>
          <t>Protocol</t>
        </is>
      </c>
      <c r="D173" s="44" t="inlineStr">
        <is>
          <t>Sediment / benthic flux incubation</t>
        </is>
      </c>
      <c r="E173" s="44" t="inlineStr">
        <is>
          <t>Listed</t>
        </is>
      </c>
      <c r="F173" s="44" t="inlineStr">
        <is>
          <t>Method summary (AK)</t>
        </is>
      </c>
      <c r="G173" s="44" t="inlineStr">
        <is>
          <t>AK: …sign of organic loading, lower open-bottomed benthic chambers fitted with oxygen loggers and a stirrer ge…</t>
        </is>
      </c>
    </row>
    <row r="174">
      <c r="A174" s="44" t="inlineStr">
        <is>
          <t>yokoyama_2007_hb131</t>
        </is>
      </c>
      <c r="B174" s="44" t="inlineStr">
        <is>
          <t>H&amp;B 1.3.1 — Benthic infauna</t>
        </is>
      </c>
      <c r="C174" s="44" t="inlineStr">
        <is>
          <t>Protocol</t>
        </is>
      </c>
      <c r="D174" s="44" t="inlineStr">
        <is>
          <t>Benthic infauna community</t>
        </is>
      </c>
      <c r="E174" s="44" t="inlineStr">
        <is>
          <t>Listed</t>
        </is>
      </c>
      <c r="F174" s="44" t="inlineStr">
        <is>
          <t>Method summary (AK)</t>
        </is>
      </c>
      <c r="G174" s="44" t="inlineStr">
        <is>
          <t>AK: …to check the bottom-living animals beside your cages, take [3] small grabs (ab…</t>
        </is>
      </c>
    </row>
    <row r="175">
      <c r="A175" s="44" t="inlineStr">
        <is>
          <t>yokoyama_2007_hb141</t>
        </is>
      </c>
      <c r="B175" s="44" t="inlineStr">
        <is>
          <t>H&amp;B 1.4.1 — Sediment</t>
        </is>
      </c>
      <c r="C175" s="44" t="inlineStr">
        <is>
          <t>Protocol</t>
        </is>
      </c>
      <c r="D175" s="44" t="inlineStr">
        <is>
          <t>Benthic infauna community</t>
        </is>
      </c>
      <c r="E175" s="44" t="inlineStr">
        <is>
          <t>Listed</t>
        </is>
      </c>
      <c r="F175" s="44" t="inlineStr">
        <is>
          <t>Method summary (AK)</t>
        </is>
      </c>
      <c r="G175" s="44" t="inlineStr">
        <is>
          <t>AK: …llapse of the bottom fauna - and against the infauna from the same stations.…</t>
        </is>
      </c>
    </row>
    <row r="176">
      <c r="A176" s="44" t="inlineStr">
        <is>
          <t>xiao_2021</t>
        </is>
      </c>
      <c r="B176" s="44" t="inlineStr">
        <is>
          <t>CC 2.1.1 — pH / ocean acidification</t>
        </is>
      </c>
      <c r="C176" s="44" t="inlineStr">
        <is>
          <t>Protocol</t>
        </is>
      </c>
      <c r="D176" s="44" t="inlineStr">
        <is>
          <t>Dissolved oxygen</t>
        </is>
      </c>
      <c r="E176" s="44" t="inlineStr">
        <is>
          <t>Listed</t>
        </is>
      </c>
      <c r="F176" s="44" t="inlineStr">
        <is>
          <t>Method summary (AK)</t>
        </is>
      </c>
      <c r="G176" s="44" t="inlineStr">
        <is>
          <t>AK: …e carbonate system - high-accuracy ph, pco2, dissolved oxygen, and dic plus total alkalinity by titration,…</t>
        </is>
      </c>
    </row>
    <row r="177">
      <c r="A177" s="44" t="inlineStr">
        <is>
          <t>xiao_2021</t>
        </is>
      </c>
      <c r="B177" s="44" t="inlineStr">
        <is>
          <t>CC 2.1.1 — pH / ocean acidification</t>
        </is>
      </c>
      <c r="C177" s="44" t="inlineStr">
        <is>
          <t>Protocol</t>
        </is>
      </c>
      <c r="D177" s="44" t="inlineStr">
        <is>
          <t>pH</t>
        </is>
      </c>
      <c r="E177" s="44" t="inlineStr">
        <is>
          <t>Listed</t>
        </is>
      </c>
      <c r="F177" s="44" t="inlineStr">
        <is>
          <t>Method summary (AK)</t>
        </is>
      </c>
      <c r="G177" s="44" t="inlineStr">
        <is>
          <t>AK: …ter for the carbonate system - high-accuracy ph, pco2, dissolved oxygen, and dic plus total …</t>
        </is>
      </c>
    </row>
    <row r="178">
      <c r="A178" s="44" t="inlineStr">
        <is>
          <t>xiao_2021</t>
        </is>
      </c>
      <c r="B178" s="44" t="inlineStr">
        <is>
          <t>CC 2.1.1 — pH / ocean acidification</t>
        </is>
      </c>
      <c r="C178" s="44" t="inlineStr">
        <is>
          <t>Protocol</t>
        </is>
      </c>
      <c r="D178" s="44" t="inlineStr">
        <is>
          <t>Carbonate system (pH / OA)</t>
        </is>
      </c>
      <c r="E178" s="44" t="inlineStr">
        <is>
          <t>Listed</t>
        </is>
      </c>
      <c r="F178" s="44" t="inlineStr">
        <is>
          <t>Method summary (AK)</t>
        </is>
      </c>
      <c r="G178" s="44" t="inlineStr">
        <is>
          <t>AK: …to test whether your farm locally buffers ocean acidification, sample surface water at the farm and at a p…</t>
        </is>
      </c>
    </row>
    <row r="179">
      <c r="A179" s="44" t="inlineStr">
        <is>
          <t>bodycomb_2023</t>
        </is>
      </c>
      <c r="B179" s="44" t="inlineStr">
        <is>
          <t>Not in MEL framework</t>
        </is>
      </c>
      <c r="C179" s="44" t="inlineStr">
        <is>
          <t>Protocol</t>
        </is>
      </c>
      <c r="D179" s="44" t="inlineStr">
        <is>
          <t>Wave-attenuation model</t>
        </is>
      </c>
      <c r="E179" s="44" t="inlineStr">
        <is>
          <t>Listed</t>
        </is>
      </c>
      <c r="F179" s="44" t="inlineStr">
        <is>
          <t>Method summary (AK)</t>
        </is>
      </c>
      <c r="G179" s="44" t="inlineStr">
        <is>
          <t>AK: …on by a seaweed farm, apply a 1d cross-shore wave model adapted for suspended culture, supplying wat…</t>
        </is>
      </c>
    </row>
    <row r="180">
      <c r="A180" s="44" t="inlineStr">
        <is>
          <t>heasman_2024</t>
        </is>
      </c>
      <c r="B180" s="44" t="inlineStr">
        <is>
          <t>Not in MEL framework</t>
        </is>
      </c>
      <c r="C180" s="44" t="inlineStr">
        <is>
          <t>Reference</t>
        </is>
      </c>
      <c r="D180" s="44" t="inlineStr">
        <is>
          <t>Site exposure characterisation</t>
        </is>
      </c>
      <c r="E180" s="44" t="inlineStr">
        <is>
          <t>Listed</t>
        </is>
      </c>
      <c r="F180" s="44" t="inlineStr">
        <is>
          <t>Method summary (AK)</t>
        </is>
      </c>
      <c r="G180" s="44" t="inlineStr">
        <is>
          <t>AK: … provides specific exposure energy (see) and exposure velocity (ev) index calculations for classifying a si…</t>
        </is>
      </c>
    </row>
    <row r="181">
      <c r="A181" s="44" t="inlineStr">
        <is>
          <t>zhang_2020-b_hb131</t>
        </is>
      </c>
      <c r="B181" s="44" t="inlineStr">
        <is>
          <t>H&amp;B 1.3.1 — Benthic infauna</t>
        </is>
      </c>
      <c r="C181" s="44" t="inlineStr">
        <is>
          <t>Protocol</t>
        </is>
      </c>
      <c r="D181" s="44" t="inlineStr">
        <is>
          <t>Benthic infauna community</t>
        </is>
      </c>
      <c r="E181" s="44" t="inlineStr">
        <is>
          <t>Listed</t>
        </is>
      </c>
      <c r="F181" s="44" t="inlineStr">
        <is>
          <t>Method summary (AK)</t>
        </is>
      </c>
      <c r="G181" s="44" t="inlineStr">
        <is>
          <t>AK: …to check the bottom-living animals (infauna) under your farm, take [2] sedimen…</t>
        </is>
      </c>
    </row>
    <row r="182">
      <c r="A182" s="44" t="inlineStr">
        <is>
          <t>zhang_2020-b_hb141</t>
        </is>
      </c>
      <c r="B182" s="44" t="inlineStr">
        <is>
          <t>H&amp;B 1.4.1 — Sediment</t>
        </is>
      </c>
      <c r="C182" s="44" t="inlineStr">
        <is>
          <t>Protocol</t>
        </is>
      </c>
      <c r="D182" s="44" t="inlineStr">
        <is>
          <t>pH</t>
        </is>
      </c>
      <c r="E182" s="44" t="inlineStr">
        <is>
          <t>Listed</t>
        </is>
      </c>
      <c r="F182" s="44" t="inlineStr">
        <is>
          <t>Method summary (AK)</t>
        </is>
      </c>
      <c r="G182" s="44" t="inlineStr">
        <is>
          <t>AK: …in each sample measure ph and redox potential with a portable meter ab…</t>
        </is>
      </c>
    </row>
    <row r="183">
      <c r="A183" s="44" t="inlineStr">
        <is>
          <t>zhang_2020-b_hb141</t>
        </is>
      </c>
      <c r="B183" s="44" t="inlineStr">
        <is>
          <t>H&amp;B 1.4.1 — Sediment</t>
        </is>
      </c>
      <c r="C183" s="44" t="inlineStr">
        <is>
          <t>Protocol</t>
        </is>
      </c>
      <c r="D183" s="44" t="inlineStr">
        <is>
          <t>Sediment chemistry (OC / TN / redox / AVS)</t>
        </is>
      </c>
      <c r="E183" s="44" t="inlineStr">
        <is>
          <t>Listed</t>
        </is>
      </c>
      <c r="F183" s="44" t="inlineStr">
        <is>
          <t>Method summary (AK)</t>
        </is>
      </c>
      <c r="G183" s="44" t="inlineStr">
        <is>
          <t>AK: …in each sample measure ph and redox potential with a portable meter about 2 cm b…</t>
        </is>
      </c>
    </row>
    <row r="184">
      <c r="A184" s="44" t="inlineStr">
        <is>
          <t>zhang_2020-b_hb141</t>
        </is>
      </c>
      <c r="B184" s="44" t="inlineStr">
        <is>
          <t>H&amp;B 1.4.1 — Sediment</t>
        </is>
      </c>
      <c r="C184" s="44" t="inlineStr">
        <is>
          <t>Protocol</t>
        </is>
      </c>
      <c r="D184" s="44" t="inlineStr">
        <is>
          <t>MOM-B condition survey</t>
        </is>
      </c>
      <c r="E184" s="44" t="inlineStr">
        <is>
          <t>Listed</t>
        </is>
      </c>
      <c r="F184" s="44" t="inlineStr">
        <is>
          <t>Method summary (AK)</t>
        </is>
      </c>
      <c r="G184" s="44" t="inlineStr">
        <is>
          <t>AK: …ckness of any sludge layer - on the standard mom-b sheet.…</t>
        </is>
      </c>
    </row>
    <row r="185">
      <c r="A185" s="44" t="inlineStr">
        <is>
          <t>corrigan_2023</t>
        </is>
      </c>
      <c r="B185" s="44" t="inlineStr">
        <is>
          <t>H&amp;B 1.1.1 — Epibiota</t>
        </is>
      </c>
      <c r="C185" s="44" t="inlineStr">
        <is>
          <t>Protocol</t>
        </is>
      </c>
      <c r="D185" s="44" t="inlineStr">
        <is>
          <t>Epifauna on crop / rope</t>
        </is>
      </c>
      <c r="E185" s="44" t="inlineStr">
        <is>
          <t>Listed</t>
        </is>
      </c>
      <c r="F185" s="44" t="inlineStr">
        <is>
          <t>Method summary (AK)</t>
        </is>
      </c>
      <c r="G185" s="44" t="inlineStr">
        <is>
          <t>AK: …o record kelp size (biomass, blade area, and holdfast volume by water displacement), since more ha…</t>
        </is>
      </c>
    </row>
    <row r="186">
      <c r="A186" s="44" t="inlineStr">
        <is>
          <t>bekkby_2023_hb111</t>
        </is>
      </c>
      <c r="B186" s="44" t="inlineStr">
        <is>
          <t>H&amp;B 1.1.1 — Epibiota</t>
        </is>
      </c>
      <c r="C186" s="44" t="inlineStr">
        <is>
          <t>Protocol</t>
        </is>
      </c>
      <c r="D186" s="44" t="inlineStr">
        <is>
          <t>Epifauna on crop / rope</t>
        </is>
      </c>
      <c r="E186" s="44" t="inlineStr">
        <is>
          <t>Listed</t>
        </is>
      </c>
      <c r="F186" s="44" t="inlineStr">
        <is>
          <t>Method summary (AK)</t>
        </is>
      </c>
      <c r="G186" s="44" t="inlineStr">
        <is>
          <t>AK: …a partner lab identifies and counts the amphipods, isopods, snails and other fauna under a ma…</t>
        </is>
      </c>
    </row>
    <row r="187">
      <c r="A187" s="44" t="inlineStr">
        <is>
          <t>bekkby_2023_hb111</t>
        </is>
      </c>
      <c r="B187" s="44" t="inlineStr">
        <is>
          <t>H&amp;B 1.1.1 — Epibiota</t>
        </is>
      </c>
      <c r="C187" s="44" t="inlineStr">
        <is>
          <t>Protocol</t>
        </is>
      </c>
      <c r="D187" s="44" t="inlineStr">
        <is>
          <t>Invertebrate collectors / fauna traps</t>
        </is>
      </c>
      <c r="E187" s="44" t="inlineStr">
        <is>
          <t>Listed</t>
        </is>
      </c>
      <c r="F187" s="44" t="inlineStr">
        <is>
          <t>Method summary (AK)</t>
        </is>
      </c>
      <c r="G187" s="44" t="inlineStr">
        <is>
          <t>AK: …e small animals living among your kelp, hang fauna traps - a 1 m length of 8 mm sisal rope untwisted…</t>
        </is>
      </c>
    </row>
    <row r="188">
      <c r="A188" s="44" t="inlineStr">
        <is>
          <t>bekkby_2023_hb211</t>
        </is>
      </c>
      <c r="B188" s="44" t="inlineStr">
        <is>
          <t>H&amp;B 2.1.1 — Community composition</t>
        </is>
      </c>
      <c r="C188" s="44" t="inlineStr">
        <is>
          <t>Protocol</t>
        </is>
      </c>
      <c r="D188" s="44" t="inlineStr">
        <is>
          <t>Invertebrate collectors / fauna traps</t>
        </is>
      </c>
      <c r="E188" s="44" t="inlineStr">
        <is>
          <t>Listed</t>
        </is>
      </c>
      <c r="F188" s="44" t="inlineStr">
        <is>
          <t>Method summary (AK)</t>
        </is>
      </c>
      <c r="G188" s="44" t="inlineStr">
        <is>
          <t>AK: … kelp farm with nearby natural habitat, hang fauna traps (1 m of 8 mm sisal rope untwisted into its …</t>
        </is>
      </c>
    </row>
    <row r="189">
      <c r="A189" s="44" t="inlineStr">
        <is>
          <t>dickson_2007</t>
        </is>
      </c>
      <c r="B189" s="44" t="inlineStr">
        <is>
          <t>CC 2.1.1 — pH / ocean acidification</t>
        </is>
      </c>
      <c r="C189" s="44" t="inlineStr">
        <is>
          <t>Protocol</t>
        </is>
      </c>
      <c r="D189" s="44" t="inlineStr">
        <is>
          <t>pH</t>
        </is>
      </c>
      <c r="E189" s="44" t="inlineStr">
        <is>
          <t>Listed</t>
        </is>
      </c>
      <c r="F189" s="44" t="inlineStr">
        <is>
          <t>Method summary (AK)</t>
        </is>
      </c>
      <c r="G189" s="44" t="inlineStr">
        <is>
          <t>AK: …rbonate-system measurement, underpinning any ph, total alkalinity, dic or pco2 work around a…</t>
        </is>
      </c>
    </row>
    <row r="190">
      <c r="A190" s="44" t="inlineStr">
        <is>
          <t>dickson_2007</t>
        </is>
      </c>
      <c r="B190" s="44" t="inlineStr">
        <is>
          <t>CC 2.1.1 — pH / ocean acidification</t>
        </is>
      </c>
      <c r="C190" s="44" t="inlineStr">
        <is>
          <t>Protocol</t>
        </is>
      </c>
      <c r="D190" s="44" t="inlineStr">
        <is>
          <t>Carbonate system (pH / OA)</t>
        </is>
      </c>
      <c r="E190" s="44" t="inlineStr">
        <is>
          <t>Listed</t>
        </is>
      </c>
      <c r="F190" s="44" t="inlineStr">
        <is>
          <t>Method summary (AK)</t>
        </is>
      </c>
      <c r="G190" s="44" t="inlineStr">
        <is>
          <t>AK: …stem measurement, underpinning any ph, total alkalinity, dic or pco2 work around a farm.…</t>
        </is>
      </c>
    </row>
    <row r="191">
      <c r="A191" s="44" t="inlineStr">
        <is>
          <t>walls_2017</t>
        </is>
      </c>
      <c r="B191" s="44" t="inlineStr">
        <is>
          <t>H&amp;B 1.1.1 — Epibiota</t>
        </is>
      </c>
      <c r="C191" s="44" t="inlineStr">
        <is>
          <t>Protocol</t>
        </is>
      </c>
      <c r="D191" s="44" t="inlineStr">
        <is>
          <t>Epibiota on lines / structures</t>
        </is>
      </c>
      <c r="E191" s="44" t="inlineStr">
        <is>
          <t>Listed</t>
        </is>
      </c>
      <c r="F191" s="44" t="inlineStr">
        <is>
          <t>Method summary (AK)</t>
        </is>
      </c>
      <c r="G191" s="44" t="inlineStr">
        <is>
          <t>AK: …to follow how the fouling community builds up on your cultivated kelp over the s…</t>
        </is>
      </c>
    </row>
    <row r="192">
      <c r="A192" s="44" t="inlineStr">
        <is>
          <t>walls_2017</t>
        </is>
      </c>
      <c r="B192" s="44" t="inlineStr">
        <is>
          <t>H&amp;B 1.1.1 — Epibiota</t>
        </is>
      </c>
      <c r="C192" s="44" t="inlineStr">
        <is>
          <t>Protocol</t>
        </is>
      </c>
      <c r="D192" s="44" t="inlineStr">
        <is>
          <t>Epifauna on crop / rope</t>
        </is>
      </c>
      <c r="E192" s="44" t="inlineStr">
        <is>
          <t>Listed</t>
        </is>
      </c>
      <c r="F192" s="44" t="inlineStr">
        <is>
          <t>Method summary (AK)</t>
        </is>
      </c>
      <c r="G192" s="44" t="inlineStr">
        <is>
          <t>AK: …species-accumulation curve), identifying all epifauna and epiphytes and keeping holdfast and blad…</t>
        </is>
      </c>
    </row>
    <row r="193">
      <c r="A193" s="44" t="inlineStr">
        <is>
          <t>mercaldoallen_2021_hb211</t>
        </is>
      </c>
      <c r="B193" s="44" t="inlineStr">
        <is>
          <t>H&amp;B 2.1.1 — Community composition</t>
        </is>
      </c>
      <c r="C193" s="44" t="inlineStr">
        <is>
          <t>Protocol</t>
        </is>
      </c>
      <c r="D193" s="44" t="inlineStr">
        <is>
          <t>Temperature / salinity</t>
        </is>
      </c>
      <c r="E193" s="44" t="inlineStr">
        <is>
          <t>Not listed</t>
        </is>
      </c>
      <c r="F193" s="44" t="inlineStr">
        <is>
          <t>Source kit only — Equipment Type (N), not in the protocol</t>
        </is>
      </c>
      <c r="G193" s="44" t="inlineStr">
        <is>
          <t>N: …tcm-1 tilt current meters, hobo light/temperature loggers, ysi pro30…</t>
        </is>
      </c>
    </row>
    <row r="194">
      <c r="A194" s="44" t="inlineStr">
        <is>
          <t>mercaldoallen_2021_hb211</t>
        </is>
      </c>
      <c r="B194" s="44" t="inlineStr">
        <is>
          <t>H&amp;B 2.1.1 — Community composition</t>
        </is>
      </c>
      <c r="C194" s="44" t="inlineStr">
        <is>
          <t>Protocol</t>
        </is>
      </c>
      <c r="D194" s="44" t="inlineStr">
        <is>
          <t>Baited remote underwater video (BRUV)</t>
        </is>
      </c>
      <c r="E194" s="44" t="inlineStr">
        <is>
          <t>Listed</t>
        </is>
      </c>
      <c r="F194" s="44" t="inlineStr">
        <is>
          <t>Method summary (AK)</t>
        </is>
      </c>
      <c r="G194" s="44" t="inlineStr">
        <is>
          <t>AK: …score each minute for maxn - the most fish of each species in one frame…</t>
        </is>
      </c>
    </row>
    <row r="195">
      <c r="A195" s="44" t="inlineStr">
        <is>
          <t>mercaldoallen_2021_hb211</t>
        </is>
      </c>
      <c r="B195" s="44" t="inlineStr">
        <is>
          <t>H&amp;B 2.1.1 — Community composition</t>
        </is>
      </c>
      <c r="C195" s="44" t="inlineStr">
        <is>
          <t>Protocol</t>
        </is>
      </c>
      <c r="D195" s="44" t="inlineStr">
        <is>
          <t>Time-lapse / GoPro cameras</t>
        </is>
      </c>
      <c r="E195" s="44" t="inlineStr">
        <is>
          <t>Listed</t>
        </is>
      </c>
      <c r="F195" s="44" t="inlineStr">
        <is>
          <t>Method summary (AK)</t>
        </is>
      </c>
      <c r="G195" s="44" t="inlineStr">
        <is>
          <t>AK: … nearby natural structured seafloor, fix two action cameras to a cage when you haul it - one on a short…</t>
        </is>
      </c>
    </row>
    <row r="196">
      <c r="A196" s="44" t="inlineStr">
        <is>
          <t>mercaldoallen_2021_hb211</t>
        </is>
      </c>
      <c r="B196" s="44" t="inlineStr">
        <is>
          <t>H&amp;B 2.1.1 — Community composition</t>
        </is>
      </c>
      <c r="C196" s="44" t="inlineStr">
        <is>
          <t>Protocol</t>
        </is>
      </c>
      <c r="D196" s="44" t="inlineStr">
        <is>
          <t>Water eDNA</t>
        </is>
      </c>
      <c r="E196" s="44" t="inlineStr">
        <is>
          <t>Listed</t>
        </is>
      </c>
      <c r="F196" s="44" t="inlineStr">
        <is>
          <t>Method summary (AK)</t>
        </is>
      </c>
      <c r="G196" s="44" t="inlineStr">
        <is>
          <t>AK: …water samples for edna metabarcoding add species cameras miss, but …</t>
        </is>
      </c>
    </row>
    <row r="197">
      <c r="A197" s="44" t="inlineStr">
        <is>
          <t>mercaldoallen_2021_hb211</t>
        </is>
      </c>
      <c r="B197" s="44" t="inlineStr">
        <is>
          <t>H&amp;B 2.1.1 — Community composition</t>
        </is>
      </c>
      <c r="C197" s="44" t="inlineStr">
        <is>
          <t>Protocol</t>
        </is>
      </c>
      <c r="D197" s="44" t="inlineStr">
        <is>
          <t>Bivalve condition index / growth</t>
        </is>
      </c>
      <c r="E197" s="44" t="inlineStr">
        <is>
          <t>Listed</t>
        </is>
      </c>
      <c r="F197" s="44" t="inlineStr">
        <is>
          <t>Method summary (AK)</t>
        </is>
      </c>
      <c r="G197" s="44" t="inlineStr">
        <is>
          <t>AK: …of similar depth, setting the cameras on low weighted stands there.…</t>
        </is>
      </c>
    </row>
    <row r="198">
      <c r="A198" s="44" t="inlineStr">
        <is>
          <t>mercaldoallen_2021_hb211</t>
        </is>
      </c>
      <c r="B198" s="44" t="inlineStr">
        <is>
          <t>H&amp;B 2.1.1 — Community composition</t>
        </is>
      </c>
      <c r="C198" s="44" t="inlineStr">
        <is>
          <t>Protocol</t>
        </is>
      </c>
      <c r="D198" s="44" t="inlineStr">
        <is>
          <t>ADCP (currents / waves)</t>
        </is>
      </c>
      <c r="E198" s="44" t="inlineStr">
        <is>
          <t>Not listed</t>
        </is>
      </c>
      <c r="F198" s="44" t="inlineStr">
        <is>
          <t>Source kit only — Equipment Type (N), not in the protocol</t>
        </is>
      </c>
      <c r="G198" s="44" t="inlineStr">
        <is>
          <t>N: …tcm-1 tilt current meters, hobo light/temperature loggers, ysi pro30…</t>
        </is>
      </c>
    </row>
    <row r="199">
      <c r="A199" s="44" t="inlineStr">
        <is>
          <t>mckindsey_2006</t>
        </is>
      </c>
      <c r="B199" s="44" t="inlineStr">
        <is>
          <t>H&amp;B 1.1.1 — Epibiota, H&amp;B 1.2.1 — Mobile fauna, H&amp;B 1.3.1 — Benthic infauna, H&amp;B 1.4.1 — Sediment, H&amp;B 2.1.1 — Community composition</t>
        </is>
      </c>
      <c r="C199" s="44" t="inlineStr">
        <is>
          <t>Reference</t>
        </is>
      </c>
      <c r="D199" s="44" t="inlineStr">
        <is>
          <t>Visual census / belt transects</t>
        </is>
      </c>
      <c r="E199" s="44" t="inlineStr">
        <is>
          <t>Not listed</t>
        </is>
      </c>
      <c r="F199" s="44" t="inlineStr">
        <is>
          <t>Review / framework reference (no procedure)</t>
        </is>
      </c>
      <c r="G199" s="44" t="inlineStr">
        <is>
          <t>AK: …it reviews video, diver counts, traps, towed gear and acoustics, and argue…</t>
        </is>
      </c>
    </row>
    <row r="200">
      <c r="A200" s="44" t="inlineStr">
        <is>
          <t>mckindsey_2006</t>
        </is>
      </c>
      <c r="B200" s="44" t="inlineStr">
        <is>
          <t>H&amp;B 1.1.1 — Epibiota, H&amp;B 1.2.1 — Mobile fauna, H&amp;B 1.3.1 — Benthic infauna, H&amp;B 1.4.1 — Sediment, H&amp;B 2.1.1 — Community composition</t>
        </is>
      </c>
      <c r="C200" s="44" t="inlineStr">
        <is>
          <t>Reference</t>
        </is>
      </c>
      <c r="D200" s="44" t="inlineStr">
        <is>
          <t>Nets &amp; baited traps</t>
        </is>
      </c>
      <c r="E200" s="44" t="inlineStr">
        <is>
          <t>Not listed</t>
        </is>
      </c>
      <c r="F200" s="44" t="inlineStr">
        <is>
          <t>Review / framework reference (no procedure)</t>
        </is>
      </c>
      <c r="G200" s="44" t="inlineStr">
        <is>
          <t>AK: …it reviews video, diver counts, traps, towed gear and acoustics, and argues for be…</t>
        </is>
      </c>
    </row>
    <row r="201">
      <c r="A201" s="44" t="inlineStr">
        <is>
          <t>dealteris_2004_hb111</t>
        </is>
      </c>
      <c r="B201" s="44" t="inlineStr">
        <is>
          <t>H&amp;B 1.1.1 — Epibiota</t>
        </is>
      </c>
      <c r="C201" s="44" t="inlineStr">
        <is>
          <t>Protocol</t>
        </is>
      </c>
      <c r="D201" s="44" t="inlineStr">
        <is>
          <t>Epibiota on lines / structures</t>
        </is>
      </c>
      <c r="E201" s="44" t="inlineStr">
        <is>
          <t>Listed</t>
        </is>
      </c>
      <c r="F201" s="44" t="inlineStr">
        <is>
          <t>Method summary (AK)</t>
        </is>
      </c>
      <c r="G201" s="44" t="inlineStr">
        <is>
          <t>AK: …lift each cage and score percent cover of each fouling group (e.g.…</t>
        </is>
      </c>
    </row>
    <row r="202">
      <c r="A202" s="44" t="inlineStr">
        <is>
          <t>dealteris_2004_hb111</t>
        </is>
      </c>
      <c r="B202" s="44" t="inlineStr">
        <is>
          <t>H&amp;B 1.1.1 — Epibiota</t>
        </is>
      </c>
      <c r="C202" s="44" t="inlineStr">
        <is>
          <t>Protocol</t>
        </is>
      </c>
      <c r="D202" s="44" t="inlineStr">
        <is>
          <t>Bivalve condition index / growth</t>
        </is>
      </c>
      <c r="E202" s="44" t="inlineStr">
        <is>
          <t>Not listed</t>
        </is>
      </c>
      <c r="F202" s="44" t="inlineStr">
        <is>
          <t>Source kit only — Equipment Type (N), not in the protocol</t>
        </is>
      </c>
      <c r="G202" s="44" t="inlineStr">
        <is>
          <t>N: …vernier calipers for oyster dimensions and surface area…</t>
        </is>
      </c>
    </row>
    <row r="203">
      <c r="A203" s="44" t="inlineStr">
        <is>
          <t>dealteris_2004_hb121</t>
        </is>
      </c>
      <c r="B203" s="44" t="inlineStr">
        <is>
          <t>H&amp;B 1.2.1 — Mobile fauna</t>
        </is>
      </c>
      <c r="C203" s="44" t="inlineStr">
        <is>
          <t>Protocol</t>
        </is>
      </c>
      <c r="D203" s="44" t="inlineStr">
        <is>
          <t>Time-lapse / GoPro cameras</t>
        </is>
      </c>
      <c r="E203" s="44" t="inlineStr">
        <is>
          <t>Listed</t>
        </is>
      </c>
      <c r="F203" s="44" t="inlineStr">
        <is>
          <t>Method summary (AK)</t>
        </is>
      </c>
      <c r="G203" s="44" t="inlineStr">
        <is>
          <t>AK: …larger fish cruising around the gear need a camera or trap.…</t>
        </is>
      </c>
    </row>
    <row r="204">
      <c r="A204" s="44" t="inlineStr">
        <is>
          <t>dealteris_2004_hb121</t>
        </is>
      </c>
      <c r="B204" s="44" t="inlineStr">
        <is>
          <t>H&amp;B 1.2.1 — Mobile fauna</t>
        </is>
      </c>
      <c r="C204" s="44" t="inlineStr">
        <is>
          <t>Protocol</t>
        </is>
      </c>
      <c r="D204" s="44" t="inlineStr">
        <is>
          <t>Nets &amp; baited traps</t>
        </is>
      </c>
      <c r="E204" s="44" t="inlineStr">
        <is>
          <t>Listed</t>
        </is>
      </c>
      <c r="F204" s="44" t="inlineStr">
        <is>
          <t>Method summary (AK)</t>
        </is>
      </c>
      <c r="G204" s="44" t="inlineStr">
        <is>
          <t>AK: …sh cruising around the gear need a camera or trap.…</t>
        </is>
      </c>
    </row>
    <row r="205">
      <c r="A205" s="44" t="inlineStr">
        <is>
          <t>dealteris_2004_hb211</t>
        </is>
      </c>
      <c r="B205" s="44" t="inlineStr">
        <is>
          <t>H&amp;B 2.1.1 — Community composition</t>
        </is>
      </c>
      <c r="C205" s="44" t="inlineStr">
        <is>
          <t>Protocol</t>
        </is>
      </c>
      <c r="D205" s="44" t="inlineStr">
        <is>
          <t>Temperature / salinity</t>
        </is>
      </c>
      <c r="E205" s="44" t="inlineStr">
        <is>
          <t>Listed</t>
        </is>
      </c>
      <c r="F205" s="44" t="inlineStr">
        <is>
          <t>Method summary (AK)</t>
        </is>
      </c>
      <c r="G205" s="44" t="inlineStr">
        <is>
          <t>AK: …t small differences with caution, and record temperature, salinity and sediment to rule out site diff…</t>
        </is>
      </c>
    </row>
    <row r="206">
      <c r="A206" s="44" t="inlineStr">
        <is>
          <t>dealteris_2004_hb211</t>
        </is>
      </c>
      <c r="B206" s="44" t="inlineStr">
        <is>
          <t>H&amp;B 2.1.1 — Community composition</t>
        </is>
      </c>
      <c r="C206" s="44" t="inlineStr">
        <is>
          <t>Protocol</t>
        </is>
      </c>
      <c r="D206" s="44" t="inlineStr">
        <is>
          <t>Dissolved oxygen</t>
        </is>
      </c>
      <c r="E206" s="44" t="inlineStr">
        <is>
          <t>Not listed</t>
        </is>
      </c>
      <c r="F206" s="44" t="inlineStr">
        <is>
          <t>Source kit only — Equipment Type (N), not in the protocol</t>
        </is>
      </c>
      <c r="G206" s="44" t="inlineStr">
        <is>
          <t>N: …temperature/salinity/do meter and 7.5 cm sediment corer for habitat checks…</t>
        </is>
      </c>
    </row>
    <row r="207">
      <c r="A207" s="44" t="inlineStr">
        <is>
          <t>mascordacabre_2024</t>
        </is>
      </c>
      <c r="B207" s="44" t="inlineStr">
        <is>
          <t>CC 3.1.1 — Wave attenuation / coastal protection</t>
        </is>
      </c>
      <c r="C207" s="44" t="inlineStr">
        <is>
          <t>Protocol</t>
        </is>
      </c>
      <c r="D207" s="44" t="inlineStr">
        <is>
          <t>ADCP (currents / waves)</t>
        </is>
      </c>
      <c r="E207" s="44" t="inlineStr">
        <is>
          <t>Listed</t>
        </is>
      </c>
      <c r="F207" s="44" t="inlineStr">
        <is>
          <t>Method summary (AK)</t>
        </is>
      </c>
      <c r="G207" s="44" t="inlineStr">
        <is>
          <t>AK: …tection benefit and siting), deploy a moored acoustic doppler current profiler (adcp) inside the farm for several …</t>
        </is>
      </c>
    </row>
    <row r="208">
      <c r="A208" s="44" t="inlineStr">
        <is>
          <t>borja_2009_hb131</t>
        </is>
      </c>
      <c r="B208" s="44" t="inlineStr">
        <is>
          <t>H&amp;B 1.3.1 — Benthic infauna</t>
        </is>
      </c>
      <c r="C208" s="44" t="inlineStr">
        <is>
          <t>Protocol</t>
        </is>
      </c>
      <c r="D208" s="44" t="inlineStr">
        <is>
          <t>Benthic infauna community</t>
        </is>
      </c>
      <c r="E208" s="44" t="inlineStr">
        <is>
          <t>Listed</t>
        </is>
      </c>
      <c r="F208" s="44" t="inlineStr">
        <is>
          <t>Method summary (AK)</t>
        </is>
      </c>
      <c r="G208" s="44" t="inlineStr">
        <is>
          <t>AK: …to check how your farm affects the animals living in the seabed, take [3-4] grab samples (e.g.…</t>
        </is>
      </c>
    </row>
    <row r="209">
      <c r="A209" s="44" t="inlineStr">
        <is>
          <t>borja_2009_hb131</t>
        </is>
      </c>
      <c r="B209" s="44" t="inlineStr">
        <is>
          <t>H&amp;B 1.3.1 — Benthic infauna</t>
        </is>
      </c>
      <c r="C209" s="44" t="inlineStr">
        <is>
          <t>Protocol</t>
        </is>
      </c>
      <c r="D209" s="44" t="inlineStr">
        <is>
          <t>ADCP (currents / waves)</t>
        </is>
      </c>
      <c r="E209" s="44" t="inlineStr">
        <is>
          <t>Not listed</t>
        </is>
      </c>
      <c r="F209" s="44" t="inlineStr">
        <is>
          <t>Source kit only — Equipment Type (N), not in the protocol</t>
        </is>
      </c>
      <c r="G209" s="44" t="inlineStr">
        <is>
          <t>N: …adcp or current meter deployed ≥1 month (10-min i…</t>
        </is>
      </c>
    </row>
    <row r="210">
      <c r="A210" s="44" t="inlineStr">
        <is>
          <t>borja_2009_hb141</t>
        </is>
      </c>
      <c r="B210" s="44" t="inlineStr">
        <is>
          <t>H&amp;B 1.4.1 — Sediment</t>
        </is>
      </c>
      <c r="C210" s="44" t="inlineStr">
        <is>
          <t>Protocol</t>
        </is>
      </c>
      <c r="D210" s="44" t="inlineStr">
        <is>
          <t>Grain size / particle size</t>
        </is>
      </c>
      <c r="E210" s="44" t="inlineStr">
        <is>
          <t>Listed</t>
        </is>
      </c>
      <c r="F210" s="44" t="inlineStr">
        <is>
          <t>Method summary (AK)</t>
        </is>
      </c>
      <c r="G210" s="44" t="inlineStr">
        <is>
          <t>AK: …ab for organic matter (loss on ignition) and silt content (fraction under 63 um).…</t>
        </is>
      </c>
    </row>
    <row r="211">
      <c r="A211" s="44" t="inlineStr">
        <is>
          <t>borja_2009_hb141</t>
        </is>
      </c>
      <c r="B211" s="44" t="inlineStr">
        <is>
          <t>H&amp;B 1.4.1 — Sediment</t>
        </is>
      </c>
      <c r="C211" s="44" t="inlineStr">
        <is>
          <t>Protocol</t>
        </is>
      </c>
      <c r="D211" s="44" t="inlineStr">
        <is>
          <t>Sediment chemistry (OC / TN / redox / AVS)</t>
        </is>
      </c>
      <c r="E211" s="44" t="inlineStr">
        <is>
          <t>Listed</t>
        </is>
      </c>
      <c r="F211" s="44" t="inlineStr">
        <is>
          <t>Method summary (AK)</t>
        </is>
      </c>
      <c r="G211" s="44" t="inlineStr">
        <is>
          <t>AK: …read redox potential (eh) in the top few centimetres wi…</t>
        </is>
      </c>
    </row>
    <row r="212">
      <c r="A212" s="44" t="inlineStr">
        <is>
          <t>borja_2009_hb141</t>
        </is>
      </c>
      <c r="B212" s="44" t="inlineStr">
        <is>
          <t>H&amp;B 1.4.1 — Sediment</t>
        </is>
      </c>
      <c r="C212" s="44" t="inlineStr">
        <is>
          <t>Protocol</t>
        </is>
      </c>
      <c r="D212" s="44" t="inlineStr">
        <is>
          <t>Benthic infauna community</t>
        </is>
      </c>
      <c r="E212" s="44" t="inlineStr">
        <is>
          <t>Not listed</t>
        </is>
      </c>
      <c r="F212" s="44" t="inlineStr">
        <is>
          <t>Only in a sentence about what the source found</t>
        </is>
      </c>
      <c r="G212" s="44" t="inlineStr">
        <is>
          <t>AK: …the source added these measures to an infauna survey and did not measure sulfide.…</t>
        </is>
      </c>
    </row>
    <row r="213">
      <c r="A213" s="44" t="inlineStr">
        <is>
          <t>schmidt_2018</t>
        </is>
      </c>
      <c r="B213" s="44" t="inlineStr">
        <is>
          <t>WQ 1.2.1 — Dissolved oxygen</t>
        </is>
      </c>
      <c r="C213" s="44" t="inlineStr">
        <is>
          <t>Protocol</t>
        </is>
      </c>
      <c r="D213" s="44" t="inlineStr">
        <is>
          <t>Temperature / salinity</t>
        </is>
      </c>
      <c r="E213" s="44" t="inlineStr">
        <is>
          <t>Listed</t>
        </is>
      </c>
      <c r="F213" s="44" t="inlineStr">
        <is>
          <t>Method summary (AK)</t>
        </is>
      </c>
      <c r="G213" s="44" t="inlineStr">
        <is>
          <t>AK: …ensors for the parameters of interest - here temperature at several depths, conductivity/salinity, di…</t>
        </is>
      </c>
    </row>
    <row r="214">
      <c r="A214" s="44" t="inlineStr">
        <is>
          <t>schmidt_2018</t>
        </is>
      </c>
      <c r="B214" s="44" t="inlineStr">
        <is>
          <t>WQ 1.2.1 — Dissolved oxygen</t>
        </is>
      </c>
      <c r="C214" s="44" t="inlineStr">
        <is>
          <t>Protocol</t>
        </is>
      </c>
      <c r="D214" s="44" t="inlineStr">
        <is>
          <t>Dissolved oxygen</t>
        </is>
      </c>
      <c r="E214" s="44" t="inlineStr">
        <is>
          <t>Listed</t>
        </is>
      </c>
      <c r="F214" s="44" t="inlineStr">
        <is>
          <t>Method summary (AK)</t>
        </is>
      </c>
      <c r="G214" s="44" t="inlineStr">
        <is>
          <t>AK: …re at several depths, conductivity/salinity, dissolved oxygen and pressure (depth) - set them to log on a …</t>
        </is>
      </c>
    </row>
    <row r="215">
      <c r="A215" s="44" t="inlineStr">
        <is>
          <t>schmidt_2018</t>
        </is>
      </c>
      <c r="B215" s="44" t="inlineStr">
        <is>
          <t>WQ 1.2.1 — Dissolved oxygen</t>
        </is>
      </c>
      <c r="C215" s="44" t="inlineStr">
        <is>
          <t>Protocol</t>
        </is>
      </c>
      <c r="D215" s="44" t="inlineStr">
        <is>
          <t>Continuous moored sensors</t>
        </is>
      </c>
      <c r="E215" s="44" t="inlineStr">
        <is>
          <t>Listed</t>
        </is>
      </c>
      <c r="F215" s="44" t="inlineStr">
        <is>
          <t>Method summary (AK)</t>
        </is>
      </c>
      <c r="G215" s="44" t="inlineStr">
        <is>
          <t>AK: …ntinuously at your farm with minimal effort, moor a low-power sensor string on a buoy and let …</t>
        </is>
      </c>
    </row>
    <row r="216">
      <c r="A216" s="44" t="inlineStr">
        <is>
          <t>schmidt_2018</t>
        </is>
      </c>
      <c r="B216" s="44" t="inlineStr">
        <is>
          <t>WQ 1.2.1 — Dissolved oxygen</t>
        </is>
      </c>
      <c r="C216" s="44" t="inlineStr">
        <is>
          <t>Protocol</t>
        </is>
      </c>
      <c r="D216" s="44" t="inlineStr">
        <is>
          <t>Wave-tide recorder</t>
        </is>
      </c>
      <c r="E216" s="44" t="inlineStr">
        <is>
          <t>Listed</t>
        </is>
      </c>
      <c r="F216" s="44" t="inlineStr">
        <is>
          <t>Method summary (AK)</t>
        </is>
      </c>
      <c r="G216" s="44" t="inlineStr">
        <is>
          <t>AK: …the pressure sensor also flags when the string has floated to th…</t>
        </is>
      </c>
    </row>
    <row r="217">
      <c r="A217" s="44" t="inlineStr">
        <is>
          <t>pinkerton_2018</t>
        </is>
      </c>
      <c r="B217" s="44" t="inlineStr">
        <is>
          <t>WQ 2.1.1 — Chlorophyll-a</t>
        </is>
      </c>
      <c r="C217" s="44" t="inlineStr">
        <is>
          <t>Protocol</t>
        </is>
      </c>
      <c r="D217" s="44" t="inlineStr">
        <is>
          <t>Chlorophyll-a (water)</t>
        </is>
      </c>
      <c r="E217" s="44" t="inlineStr">
        <is>
          <t>Listed</t>
        </is>
      </c>
      <c r="F217" s="44" t="inlineStr">
        <is>
          <t>Method summary (AK)</t>
        </is>
      </c>
      <c r="G217" s="44" t="inlineStr">
        <is>
          <t>AK: …years lets you resolve small effects (here a chlorophyll reduction of order one percent extending ove…</t>
        </is>
      </c>
    </row>
    <row r="218">
      <c r="A218" s="44" t="inlineStr">
        <is>
          <t>pinkerton_2018</t>
        </is>
      </c>
      <c r="B218" s="44" t="inlineStr">
        <is>
          <t>WQ 2.1.1 — Chlorophyll-a</t>
        </is>
      </c>
      <c r="C218" s="44" t="inlineStr">
        <is>
          <t>Protocol</t>
        </is>
      </c>
      <c r="D218" s="44" t="inlineStr">
        <is>
          <t>Satellite ocean colour (chl-a)</t>
        </is>
      </c>
      <c r="E218" s="44" t="inlineStr">
        <is>
          <t>Listed</t>
        </is>
      </c>
      <c r="F218" s="44" t="inlineStr">
        <is>
          <t>Method summary (AK)</t>
        </is>
      </c>
      <c r="G218" s="44" t="inlineStr">
        <is>
          <t>AK: …lometre) farm's effect on chlorophyll-a from satellite, assemble a long run of single-pass ocean-co…</t>
        </is>
      </c>
    </row>
    <row r="219">
      <c r="A219" s="44" t="inlineStr">
        <is>
          <t>cranford_2007_wq111</t>
        </is>
      </c>
      <c r="B219" s="44" t="inlineStr">
        <is>
          <t>WQ 1.1.1 — N and P bioextraction</t>
        </is>
      </c>
      <c r="C219" s="44" t="inlineStr">
        <is>
          <t>Protocol</t>
        </is>
      </c>
      <c r="D219" s="44" t="inlineStr">
        <is>
          <t>Dissolved nutrients (N &amp; P)</t>
        </is>
      </c>
      <c r="E219" s="44" t="inlineStr">
        <is>
          <t>Not listed</t>
        </is>
      </c>
      <c r="F219" s="44" t="inlineStr">
        <is>
          <t>Source kit only — Equipment Type (N), not in the protocol</t>
        </is>
      </c>
      <c r="G219" s="44" t="inlineStr">
        <is>
          <t>N: …niskin water sampling, autoanalyser nutrients, river flow records and a lower…</t>
        </is>
      </c>
    </row>
    <row r="220">
      <c r="A220" s="44" t="inlineStr">
        <is>
          <t>cranford_2007_wq111</t>
        </is>
      </c>
      <c r="B220" s="44" t="inlineStr">
        <is>
          <t>WQ 1.1.1 — N and P bioextraction</t>
        </is>
      </c>
      <c r="C220" s="44" t="inlineStr">
        <is>
          <t>Protocol</t>
        </is>
      </c>
      <c r="D220" s="44" t="inlineStr">
        <is>
          <t>Bivalve condition index / growth</t>
        </is>
      </c>
      <c r="E220" s="44" t="inlineStr">
        <is>
          <t>Listed</t>
        </is>
      </c>
      <c r="F220" s="44" t="inlineStr">
        <is>
          <t>Method summary (AK)</t>
        </is>
      </c>
      <c r="G220" s="44" t="inlineStr">
        <is>
          <t>AK: …el harvest removes, take the total harvested weight (shell on) for the year from your sales or …</t>
        </is>
      </c>
    </row>
    <row r="221">
      <c r="A221" s="44" t="inlineStr">
        <is>
          <t>cranford_2007_wq111</t>
        </is>
      </c>
      <c r="B221" s="44" t="inlineStr">
        <is>
          <t>WQ 1.1.1 — N and P bioextraction</t>
        </is>
      </c>
      <c r="C221" s="44" t="inlineStr">
        <is>
          <t>Protocol</t>
        </is>
      </c>
      <c r="D221" s="44" t="inlineStr">
        <is>
          <t>Excretion (ammonium)</t>
        </is>
      </c>
      <c r="E221" s="44" t="inlineStr">
        <is>
          <t>Not listed</t>
        </is>
      </c>
      <c r="F221" s="44" t="inlineStr">
        <is>
          <t>Only in a sentence about what the source found</t>
        </is>
      </c>
      <c r="G221" s="44" t="inlineStr">
        <is>
          <t>AK: …ompared with the nitrogen mussels recycle as excretion and deposits, so report this as removal i…</t>
        </is>
      </c>
    </row>
    <row r="222">
      <c r="A222" s="44" t="inlineStr">
        <is>
          <t>cranford_2007_wq111</t>
        </is>
      </c>
      <c r="B222" s="44" t="inlineStr">
        <is>
          <t>WQ 1.1.1 — N and P bioextraction</t>
        </is>
      </c>
      <c r="C222" s="44" t="inlineStr">
        <is>
          <t>Protocol</t>
        </is>
      </c>
      <c r="D222" s="44" t="inlineStr">
        <is>
          <t>Nutrient mass-balance / budget</t>
        </is>
      </c>
      <c r="E222" s="44" t="inlineStr">
        <is>
          <t>Not listed</t>
        </is>
      </c>
      <c r="F222" s="44" t="inlineStr">
        <is>
          <t>Source kit only — Equipment Type (N), not in the protocol</t>
        </is>
      </c>
      <c r="G222" s="44" t="inlineStr">
        <is>
          <t>N: …river flow records and a lower-trophic-level box model.…</t>
        </is>
      </c>
    </row>
    <row r="223">
      <c r="A223" s="44" t="inlineStr">
        <is>
          <t>cranford_2007_wq211</t>
        </is>
      </c>
      <c r="B223" s="44" t="inlineStr">
        <is>
          <t>WQ 2.1.1 — Chlorophyll-a</t>
        </is>
      </c>
      <c r="C223" s="44" t="inlineStr">
        <is>
          <t>Protocol</t>
        </is>
      </c>
      <c r="D223" s="44" t="inlineStr">
        <is>
          <t>Temperature / salinity</t>
        </is>
      </c>
      <c r="E223" s="44" t="inlineStr">
        <is>
          <t>Not listed</t>
        </is>
      </c>
      <c r="F223" s="44" t="inlineStr">
        <is>
          <t>Source kit only — Equipment Type (N), not in the protocol</t>
        </is>
      </c>
      <c r="G223" s="44" t="inlineStr">
        <is>
          <t>N: …portable ctd (seabird 25).…</t>
        </is>
      </c>
    </row>
    <row r="224">
      <c r="A224" s="44" t="inlineStr">
        <is>
          <t>cranford_2007_wq211</t>
        </is>
      </c>
      <c r="B224" s="44" t="inlineStr">
        <is>
          <t>WQ 2.1.1 — Chlorophyll-a</t>
        </is>
      </c>
      <c r="C224" s="44" t="inlineStr">
        <is>
          <t>Protocol</t>
        </is>
      </c>
      <c r="D224" s="44" t="inlineStr">
        <is>
          <t>Chlorophyll-a (water)</t>
        </is>
      </c>
      <c r="E224" s="44" t="inlineStr">
        <is>
          <t>Listed</t>
        </is>
      </c>
      <c r="F224" s="44" t="inlineStr">
        <is>
          <t>Method summary (AK)</t>
        </is>
      </c>
      <c r="G224" s="44" t="inlineStr">
        <is>
          <t>AK: …d frozen, and send them to a partner lab for acetone extraction and fluorometric chlorophyll-a.…</t>
        </is>
      </c>
    </row>
    <row r="225">
      <c r="A225" s="44" t="inlineStr">
        <is>
          <t>cranford_2007_wq211</t>
        </is>
      </c>
      <c r="B225" s="44" t="inlineStr">
        <is>
          <t>WQ 2.1.1 — Chlorophyll-a</t>
        </is>
      </c>
      <c r="C225" s="44" t="inlineStr">
        <is>
          <t>Protocol</t>
        </is>
      </c>
      <c r="D225" s="44" t="inlineStr">
        <is>
          <t>Coupled biogeochemical / DEB model</t>
        </is>
      </c>
      <c r="E225" s="44" t="inlineStr">
        <is>
          <t>Not listed</t>
        </is>
      </c>
      <c r="F225" s="44" t="inlineStr">
        <is>
          <t>Only in a sentence about what the source found</t>
        </is>
      </c>
      <c r="G225" s="44" t="inlineStr">
        <is>
          <t>AK: …ut monthly from june to november and used an ecosystem model to attribute differences to the mussels, so …</t>
        </is>
      </c>
    </row>
    <row r="226">
      <c r="A226" s="44" t="inlineStr">
        <is>
          <t>kaspar_1985_wq111</t>
        </is>
      </c>
      <c r="B226" s="44" t="inlineStr">
        <is>
          <t>WQ 1.1.1 — N and P bioextraction</t>
        </is>
      </c>
      <c r="C226" s="44" t="inlineStr">
        <is>
          <t>Protocol</t>
        </is>
      </c>
      <c r="D226" s="44" t="inlineStr">
        <is>
          <t>Tissue elemental (CHN) analysis</t>
        </is>
      </c>
      <c r="E226" s="44" t="inlineStr">
        <is>
          <t>Listed</t>
        </is>
      </c>
      <c r="F226" s="44" t="inlineStr">
        <is>
          <t>Method summary (AK)</t>
        </is>
      </c>
      <c r="G226" s="44" t="inlineStr">
        <is>
          <t>AK: …eat fraction, the dry fraction and the n and p contents, and report kilograms of n and p per year a…</t>
        </is>
      </c>
    </row>
    <row r="227">
      <c r="A227" s="44" t="inlineStr">
        <is>
          <t>kaspar_1985_wq111</t>
        </is>
      </c>
      <c r="B227" s="44" t="inlineStr">
        <is>
          <t>WQ 1.1.1 — N and P bioextraction</t>
        </is>
      </c>
      <c r="C227" s="44" t="inlineStr">
        <is>
          <t>Protocol</t>
        </is>
      </c>
      <c r="D227" s="44" t="inlineStr">
        <is>
          <t>Bivalve condition index / growth</t>
        </is>
      </c>
      <c r="E227" s="44" t="inlineStr">
        <is>
          <t>Listed</t>
        </is>
      </c>
      <c r="F227" s="44" t="inlineStr">
        <is>
          <t>Method summary (AK)</t>
        </is>
      </c>
      <c r="G227" s="44" t="inlineStr">
        <is>
          <t>AK: … harvest removes, record the total harvested weight (shell on) for the year.…</t>
        </is>
      </c>
    </row>
    <row r="228">
      <c r="A228" s="44" t="inlineStr">
        <is>
          <t>kaspar_1985_wq112</t>
        </is>
      </c>
      <c r="B228" s="44" t="inlineStr">
        <is>
          <t>WQ 1.1.2 — Rate of denitrification</t>
        </is>
      </c>
      <c r="C228" s="44" t="inlineStr">
        <is>
          <t>Protocol</t>
        </is>
      </c>
      <c r="D228" s="44" t="inlineStr">
        <is>
          <t>Dissolved nutrients (N &amp; P)</t>
        </is>
      </c>
      <c r="E228" s="44" t="inlineStr">
        <is>
          <t>Not listed</t>
        </is>
      </c>
      <c r="F228" s="44" t="inlineStr">
        <is>
          <t>Only in a sentence about what the source found</t>
        </is>
      </c>
      <c r="G228" s="44" t="inlineStr">
        <is>
          <t>AK: …t under the lines turns black and sulphidic, nitrate tends to be recycled as ammonium instead, so…</t>
        </is>
      </c>
    </row>
    <row r="229">
      <c r="A229" s="44" t="inlineStr">
        <is>
          <t>kaspar_1985_wq112</t>
        </is>
      </c>
      <c r="B229" s="44" t="inlineStr">
        <is>
          <t>WQ 1.1.2 — Rate of denitrification</t>
        </is>
      </c>
      <c r="C229" s="44" t="inlineStr">
        <is>
          <t>Protocol</t>
        </is>
      </c>
      <c r="D229" s="44" t="inlineStr">
        <is>
          <t>Bivalve condition index / growth</t>
        </is>
      </c>
      <c r="E229" s="44" t="inlineStr">
        <is>
          <t>Listed</t>
        </is>
      </c>
      <c r="F229" s="44" t="inlineStr">
        <is>
          <t>Method summary (AK)</t>
        </is>
      </c>
      <c r="G229" s="44" t="inlineStr">
        <is>
          <t>AK: …bivalve tissue biomass per m² at the site before the farm, or at a …</t>
        </is>
      </c>
    </row>
    <row r="230">
      <c r="A230" s="44" t="inlineStr">
        <is>
          <t>kaspar_1985_wq211</t>
        </is>
      </c>
      <c r="B230" s="44" t="inlineStr">
        <is>
          <t>WQ 2.1.1 — Chlorophyll-a</t>
        </is>
      </c>
      <c r="C230" s="44" t="inlineStr">
        <is>
          <t>Protocol</t>
        </is>
      </c>
      <c r="D230" s="44" t="inlineStr">
        <is>
          <t>Chlorophyll-a (water)</t>
        </is>
      </c>
      <c r="E230" s="44" t="inlineStr">
        <is>
          <t>Listed</t>
        </is>
      </c>
      <c r="F230" s="44" t="inlineStr">
        <is>
          <t>Method summary (AK)</t>
        </is>
      </c>
      <c r="G230" s="44" t="inlineStr">
        <is>
          <t>AK: … lab extract them in 90% acetone and measure chlorophyll-a.…</t>
        </is>
      </c>
    </row>
    <row r="231">
      <c r="A231" s="44" t="inlineStr">
        <is>
          <t>kaspar_1985_hb131</t>
        </is>
      </c>
      <c r="B231" s="44" t="inlineStr">
        <is>
          <t>H&amp;B 1.3.1 — Benthic infauna</t>
        </is>
      </c>
      <c r="C231" s="44" t="inlineStr">
        <is>
          <t>Protocol</t>
        </is>
      </c>
      <c r="D231" s="44" t="inlineStr">
        <is>
          <t>Benthic infauna community</t>
        </is>
      </c>
      <c r="E231" s="44" t="inlineStr">
        <is>
          <t>Listed</t>
        </is>
      </c>
      <c r="F231" s="44" t="inlineStr">
        <is>
          <t>Method summary (AK)</t>
        </is>
      </c>
      <c r="G231" s="44" t="inlineStr">
        <is>
          <t>AK: …to check how your mussel lines affect the animals living in the seabed, take [3] sediment samples (diver cores or a…</t>
        </is>
      </c>
    </row>
    <row r="232">
      <c r="A232" s="44" t="inlineStr">
        <is>
          <t>kaspar_1985_hb131</t>
        </is>
      </c>
      <c r="B232" s="44" t="inlineStr">
        <is>
          <t>H&amp;B 1.3.1 — Benthic infauna</t>
        </is>
      </c>
      <c r="C232" s="44" t="inlineStr">
        <is>
          <t>Protocol</t>
        </is>
      </c>
      <c r="D232" s="44" t="inlineStr">
        <is>
          <t>Visual census / belt transects</t>
        </is>
      </c>
      <c r="E232" s="44" t="inlineStr">
        <is>
          <t>Not listed</t>
        </is>
      </c>
      <c r="F232" s="44" t="inlineStr">
        <is>
          <t>Source kit only — Equipment Type (N), not in the protocol</t>
        </is>
      </c>
      <c r="G232" s="44" t="inlineStr">
        <is>
          <t>N: …diver observations of epibenthic megafauna.…</t>
        </is>
      </c>
    </row>
    <row r="233">
      <c r="A233" s="44" t="inlineStr">
        <is>
          <t>kaspar_1985_hb141</t>
        </is>
      </c>
      <c r="B233" s="44" t="inlineStr">
        <is>
          <t>H&amp;B 1.4.1 — Sediment</t>
        </is>
      </c>
      <c r="C233" s="44" t="inlineStr">
        <is>
          <t>Protocol</t>
        </is>
      </c>
      <c r="D233" s="44" t="inlineStr">
        <is>
          <t>Dissolved nutrients (N &amp; P)</t>
        </is>
      </c>
      <c r="E233" s="44" t="inlineStr">
        <is>
          <t>Listed</t>
        </is>
      </c>
      <c r="F233" s="44" t="inlineStr">
        <is>
          <t>Method summary (AK)</t>
        </is>
      </c>
      <c r="G233" s="44" t="inlineStr">
        <is>
          <t>AK: … organic carbon and nitrogen and extractable ammonium add detail if budget allows.…</t>
        </is>
      </c>
    </row>
    <row r="234">
      <c r="A234" s="44" t="inlineStr">
        <is>
          <t>kaspar_1985_hb141</t>
        </is>
      </c>
      <c r="B234" s="44" t="inlineStr">
        <is>
          <t>H&amp;B 1.4.1 — Sediment</t>
        </is>
      </c>
      <c r="C234" s="44" t="inlineStr">
        <is>
          <t>Protocol</t>
        </is>
      </c>
      <c r="D234" s="44" t="inlineStr">
        <is>
          <t>Chlorophyll-a (water)</t>
        </is>
      </c>
      <c r="E234" s="44" t="inlineStr">
        <is>
          <t>Not listed</t>
        </is>
      </c>
      <c r="F234" s="44" t="inlineStr">
        <is>
          <t>Source kit only — Equipment Type (N), not in the protocol</t>
        </is>
      </c>
      <c r="G234" s="44" t="inlineStr">
        <is>
          <t>N: …acetone extraction of surface chl-a and phaeophytin.…</t>
        </is>
      </c>
    </row>
    <row r="235">
      <c r="A235" s="44" t="inlineStr">
        <is>
          <t>kaspar_1985_hb141</t>
        </is>
      </c>
      <c r="B235" s="44" t="inlineStr">
        <is>
          <t>H&amp;B 1.4.1 — Sediment</t>
        </is>
      </c>
      <c r="C235" s="44" t="inlineStr">
        <is>
          <t>Protocol</t>
        </is>
      </c>
      <c r="D235" s="44" t="inlineStr">
        <is>
          <t>Grain size / particle size</t>
        </is>
      </c>
      <c r="E235" s="44" t="inlineStr">
        <is>
          <t>Listed</t>
        </is>
      </c>
      <c r="F235" s="44" t="inlineStr">
        <is>
          <t>Method summary (AK)</t>
        </is>
      </c>
      <c r="G235" s="44" t="inlineStr">
        <is>
          <t>AK: …ab for organic matter (loss on ignition) and grain size…</t>
        </is>
      </c>
    </row>
    <row r="236">
      <c r="A236" s="44" t="inlineStr">
        <is>
          <t>kaspar_1985_hb141</t>
        </is>
      </c>
      <c r="B236" s="44" t="inlineStr">
        <is>
          <t>H&amp;B 1.4.1 — Sediment</t>
        </is>
      </c>
      <c r="C236" s="44" t="inlineStr">
        <is>
          <t>Protocol</t>
        </is>
      </c>
      <c r="D236" s="44" t="inlineStr">
        <is>
          <t>Sediment chemistry (OC / TN / redox / AVS)</t>
        </is>
      </c>
      <c r="E236" s="44" t="inlineStr">
        <is>
          <t>Listed</t>
        </is>
      </c>
      <c r="F236" s="44" t="inlineStr">
        <is>
          <t>Method summary (AK)</t>
        </is>
      </c>
      <c r="G236" s="44" t="inlineStr">
        <is>
          <t>AK: … station, and send them to a partner lab for organic matter (loss on ignition) and grain size…</t>
        </is>
      </c>
    </row>
    <row r="237">
      <c r="A237" s="44" t="inlineStr">
        <is>
          <t>nizzoli_2006_wq111</t>
        </is>
      </c>
      <c r="B237" s="44" t="inlineStr">
        <is>
          <t>WQ 1.1.1 — N and P bioextraction</t>
        </is>
      </c>
      <c r="C237" s="44" t="inlineStr">
        <is>
          <t>Protocol</t>
        </is>
      </c>
      <c r="D237" s="44" t="inlineStr">
        <is>
          <t>Tissue elemental (CHN) analysis</t>
        </is>
      </c>
      <c r="E237" s="44" t="inlineStr">
        <is>
          <t>Listed</t>
        </is>
      </c>
      <c r="F237" s="44" t="inlineStr">
        <is>
          <t>Method summary (AK)</t>
        </is>
      </c>
      <c r="G237" s="44" t="inlineStr">
        <is>
          <t>AK: …em, and send the dried material to a partner lab for nitrogen and phosphorus (flesh and shell separately).…</t>
        </is>
      </c>
    </row>
    <row r="238">
      <c r="A238" s="44" t="inlineStr">
        <is>
          <t>nizzoli_2006_wq111</t>
        </is>
      </c>
      <c r="B238" s="44" t="inlineStr">
        <is>
          <t>WQ 1.1.1 — N and P bioextraction</t>
        </is>
      </c>
      <c r="C238" s="44" t="inlineStr">
        <is>
          <t>Protocol</t>
        </is>
      </c>
      <c r="D238" s="44" t="inlineStr">
        <is>
          <t>Bivalve condition index / growth</t>
        </is>
      </c>
      <c r="E238" s="44" t="inlineStr">
        <is>
          <t>Listed</t>
        </is>
      </c>
      <c r="F238" s="44" t="inlineStr">
        <is>
          <t>Method summary (AK)</t>
        </is>
      </c>
      <c r="G238" s="44" t="inlineStr">
        <is>
          <t>AK: …r clam harvest removes, record the number or weight of clams harvested and the plot area.…</t>
        </is>
      </c>
    </row>
    <row r="239">
      <c r="A239" s="44" t="inlineStr">
        <is>
          <t>nizzoli_2005_hb141</t>
        </is>
      </c>
      <c r="B239" s="44" t="inlineStr">
        <is>
          <t>H&amp;B 1.4.1 — Sediment</t>
        </is>
      </c>
      <c r="C239" s="44" t="inlineStr">
        <is>
          <t>Protocol</t>
        </is>
      </c>
      <c r="D239" s="44" t="inlineStr">
        <is>
          <t>Dissolved nutrients (N &amp; P)</t>
        </is>
      </c>
      <c r="E239" s="44" t="inlineStr">
        <is>
          <t>Listed</t>
        </is>
      </c>
      <c r="F239" s="44" t="inlineStr">
        <is>
          <t>Method summary (AK)</t>
        </is>
      </c>
      <c r="G239" s="44" t="inlineStr">
        <is>
          <t>AK: …extractable ammonium and phosphate and acid-volatile sulphide a…</t>
        </is>
      </c>
    </row>
    <row r="240">
      <c r="A240" s="44" t="inlineStr">
        <is>
          <t>nizzoli_2005_hb141</t>
        </is>
      </c>
      <c r="B240" s="44" t="inlineStr">
        <is>
          <t>H&amp;B 1.4.1 — Sediment</t>
        </is>
      </c>
      <c r="C240" s="44" t="inlineStr">
        <is>
          <t>Protocol</t>
        </is>
      </c>
      <c r="D240" s="44" t="inlineStr">
        <is>
          <t>Sediment chemistry (OC / TN / redox / AVS)</t>
        </is>
      </c>
      <c r="E240" s="44" t="inlineStr">
        <is>
          <t>Listed</t>
        </is>
      </c>
      <c r="F240" s="44" t="inlineStr">
        <is>
          <t>Method summary (AK)</t>
        </is>
      </c>
      <c r="G240" s="44" t="inlineStr">
        <is>
          <t>AK: …ll, and send the slices to a partner lab for organic matter (loss on ignition)…</t>
        </is>
      </c>
    </row>
    <row r="241">
      <c r="A241" s="44" t="inlineStr">
        <is>
          <t>nizzoli_2011_hb141</t>
        </is>
      </c>
      <c r="B241" s="44" t="inlineStr">
        <is>
          <t>H&amp;B 1.4.1 — Sediment</t>
        </is>
      </c>
      <c r="C241" s="44" t="inlineStr">
        <is>
          <t>Protocol</t>
        </is>
      </c>
      <c r="D241" s="44" t="inlineStr">
        <is>
          <t>Dissolved nutrients (N &amp; P)</t>
        </is>
      </c>
      <c r="E241" s="44" t="inlineStr">
        <is>
          <t>Listed</t>
        </is>
      </c>
      <c r="F241" s="44" t="inlineStr">
        <is>
          <t>Method summary (AK)</t>
        </is>
      </c>
      <c r="G241" s="44" t="inlineStr">
        <is>
          <t>AK: …bon, nitrogen and phosphorus and extractable ammonium and phosphate add detail.…</t>
        </is>
      </c>
    </row>
    <row r="242">
      <c r="A242" s="44" t="inlineStr">
        <is>
          <t>nizzoli_2011_hb141</t>
        </is>
      </c>
      <c r="B242" s="44" t="inlineStr">
        <is>
          <t>H&amp;B 1.4.1 — Sediment</t>
        </is>
      </c>
      <c r="C242" s="44" t="inlineStr">
        <is>
          <t>Protocol</t>
        </is>
      </c>
      <c r="D242" s="44" t="inlineStr">
        <is>
          <t>Grain size / particle size</t>
        </is>
      </c>
      <c r="E242" s="44" t="inlineStr">
        <is>
          <t>Not listed</t>
        </is>
      </c>
      <c r="F242" s="44" t="inlineStr">
        <is>
          <t>Only in a sentence about what the source found</t>
        </is>
      </c>
      <c r="G242" s="44" t="inlineStr">
        <is>
          <t>AK: …e source, sediment under mussel ropes became silty, black and organic-rich while clam beds sta…</t>
        </is>
      </c>
    </row>
    <row r="243">
      <c r="A243" s="44" t="inlineStr">
        <is>
          <t>nizzoli_2011_hb141</t>
        </is>
      </c>
      <c r="B243" s="44" t="inlineStr">
        <is>
          <t>H&amp;B 1.4.1 — Sediment</t>
        </is>
      </c>
      <c r="C243" s="44" t="inlineStr">
        <is>
          <t>Protocol</t>
        </is>
      </c>
      <c r="D243" s="44" t="inlineStr">
        <is>
          <t>Sediment chemistry (OC / TN / redox / AVS)</t>
        </is>
      </c>
      <c r="E243" s="44" t="inlineStr">
        <is>
          <t>Listed</t>
        </is>
      </c>
      <c r="F243" s="44" t="inlineStr">
        <is>
          <t>Method summary (AK)</t>
        </is>
      </c>
      <c r="G243" s="44" t="inlineStr">
        <is>
          <t>AK: …ll, and send the slices to a partner lab for organic matter (loss on ignition)…</t>
        </is>
      </c>
    </row>
    <row r="244">
      <c r="A244" s="44" t="inlineStr">
        <is>
          <t>morozova_2005_wq212</t>
        </is>
      </c>
      <c r="B244" s="44" t="inlineStr">
        <is>
          <t>WQ 2.1.2 — Microorganisms</t>
        </is>
      </c>
      <c r="C244" s="44" t="inlineStr">
        <is>
          <t>Protocol</t>
        </is>
      </c>
      <c r="D244" s="44" t="inlineStr">
        <is>
          <t>Phytoplankton community (microscopy)</t>
        </is>
      </c>
      <c r="E244" s="44" t="inlineStr">
        <is>
          <t>Listed</t>
        </is>
      </c>
      <c r="F244" s="44" t="inlineStr">
        <is>
          <t>Method summary (AK)</t>
        </is>
      </c>
      <c r="G244" s="44" t="inlineStr">
        <is>
          <t>AK: …to track the phytoplankton community at your farm, take a surface water sample of…</t>
        </is>
      </c>
    </row>
    <row r="245">
      <c r="A245" s="44" t="inlineStr">
        <is>
          <t>costello_2016</t>
        </is>
      </c>
      <c r="B245" s="44" t="inlineStr">
        <is>
          <t>H&amp;B 1.1.1 — Epibiota, H&amp;B 1.2.1 — Mobile fauna, H&amp;B 1.3.1 — Benthic infauna, H&amp;B 2.1.1 — Community composition, WQ 2.1.2 — Microorganisms</t>
        </is>
      </c>
      <c r="C245" s="44" t="inlineStr">
        <is>
          <t>Reference</t>
        </is>
      </c>
      <c r="D245" s="44" t="inlineStr">
        <is>
          <t>Settlement plates / artificial substrata</t>
        </is>
      </c>
      <c r="E245" s="44" t="inlineStr">
        <is>
          <t>Not listed</t>
        </is>
      </c>
      <c r="F245" s="44" t="inlineStr">
        <is>
          <t>Review / framework reference (no procedure)</t>
        </is>
      </c>
      <c r="G245" s="44" t="inlineStr">
        <is>
          <t>AK: …s, visual and video, scuba, acoustics, edna, artificial substrata) and of global monitoring programmes, and i…</t>
        </is>
      </c>
    </row>
    <row r="246">
      <c r="A246" s="44" t="inlineStr">
        <is>
          <t>costello_2016</t>
        </is>
      </c>
      <c r="B246" s="44" t="inlineStr">
        <is>
          <t>H&amp;B 1.1.1 — Epibiota, H&amp;B 1.2.1 — Mobile fauna, H&amp;B 1.3.1 — Benthic infauna, H&amp;B 2.1.1 — Community composition, WQ 2.1.2 — Microorganisms</t>
        </is>
      </c>
      <c r="C246" s="44" t="inlineStr">
        <is>
          <t>Reference</t>
        </is>
      </c>
      <c r="D246" s="44" t="inlineStr">
        <is>
          <t>Nets &amp; baited traps</t>
        </is>
      </c>
      <c r="E246" s="44" t="inlineStr">
        <is>
          <t>Not listed</t>
        </is>
      </c>
      <c r="F246" s="44" t="inlineStr">
        <is>
          <t>Review / framework reference (no procedure)</t>
        </is>
      </c>
      <c r="G246" s="44" t="inlineStr">
        <is>
          <t>AK: … marine-biodiversity sampling methods (nets, traps, grabs, visual and video, scuba, acoustics, …</t>
        </is>
      </c>
    </row>
    <row r="247">
      <c r="A247" s="44" t="inlineStr">
        <is>
          <t>costello_2016</t>
        </is>
      </c>
      <c r="B247" s="44" t="inlineStr">
        <is>
          <t>H&amp;B 1.1.1 — Epibiota, H&amp;B 1.2.1 — Mobile fauna, H&amp;B 1.3.1 — Benthic infauna, H&amp;B 2.1.1 — Community composition, WQ 2.1.2 — Microorganisms</t>
        </is>
      </c>
      <c r="C247" s="44" t="inlineStr">
        <is>
          <t>Reference</t>
        </is>
      </c>
      <c r="D247" s="44" t="inlineStr">
        <is>
          <t>Water eDNA</t>
        </is>
      </c>
      <c r="E247" s="44" t="inlineStr">
        <is>
          <t>Not listed</t>
        </is>
      </c>
      <c r="F247" s="44" t="inlineStr">
        <is>
          <t>Review / framework reference (no procedure)</t>
        </is>
      </c>
      <c r="G247" s="44" t="inlineStr">
        <is>
          <t>AK: …, grabs, visual and video, scuba, acoustics, edna, artificial substrata) and of global monitor…</t>
        </is>
      </c>
    </row>
    <row r="248">
      <c r="A248" s="44" t="inlineStr">
        <is>
          <t>ambrose_2025</t>
        </is>
      </c>
      <c r="B248" s="44" t="inlineStr">
        <is>
          <t>H&amp;B 1.1.1 — Epibiota, H&amp;B 1.2.1 — Mobile fauna, H&amp;B 2.1.1 — Community composition</t>
        </is>
      </c>
      <c r="C248" s="44" t="inlineStr">
        <is>
          <t>Reference</t>
        </is>
      </c>
      <c r="D248" s="44" t="inlineStr">
        <is>
          <t>Visual census / belt transects</t>
        </is>
      </c>
      <c r="E248" s="44" t="inlineStr">
        <is>
          <t>Not listed</t>
        </is>
      </c>
      <c r="F248" s="44" t="inlineStr">
        <is>
          <t>Source kit only — Equipment Type (N), not in the protocol</t>
        </is>
      </c>
      <c r="G248" s="44" t="inlineStr">
        <is>
          <t>N: …not specified in abstract - likely visual surveys, traps, or video…</t>
        </is>
      </c>
    </row>
    <row r="249">
      <c r="A249" s="44" t="inlineStr">
        <is>
          <t>ambrose_2025</t>
        </is>
      </c>
      <c r="B249" s="44" t="inlineStr">
        <is>
          <t>H&amp;B 1.1.1 — Epibiota, H&amp;B 1.2.1 — Mobile fauna, H&amp;B 2.1.1 — Community composition</t>
        </is>
      </c>
      <c r="C249" s="44" t="inlineStr">
        <is>
          <t>Reference</t>
        </is>
      </c>
      <c r="D249" s="44" t="inlineStr">
        <is>
          <t>Nets &amp; baited traps</t>
        </is>
      </c>
      <c r="E249" s="44" t="inlineStr">
        <is>
          <t>Not listed</t>
        </is>
      </c>
      <c r="F249" s="44" t="inlineStr">
        <is>
          <t>Only in a sentence about what the source found</t>
        </is>
      </c>
      <c r="G249" s="44" t="inlineStr">
        <is>
          <t>AK: …e and confirm the sampling approach (visual, trap or video) from the full text before replicat…</t>
        </is>
      </c>
    </row>
    <row r="250">
      <c r="A250" s="44" t="inlineStr">
        <is>
          <t>edgar_2005_hb131</t>
        </is>
      </c>
      <c r="B250" s="44" t="inlineStr">
        <is>
          <t>H&amp;B 1.3.1 — Benthic infauna</t>
        </is>
      </c>
      <c r="C250" s="44" t="inlineStr">
        <is>
          <t>Protocol</t>
        </is>
      </c>
      <c r="D250" s="44" t="inlineStr">
        <is>
          <t>Benthic infauna community</t>
        </is>
      </c>
      <c r="E250" s="44" t="inlineStr">
        <is>
          <t>Listed</t>
        </is>
      </c>
      <c r="F250" s="44" t="inlineStr">
        <is>
          <t>Method summary (AK)</t>
        </is>
      </c>
      <c r="G250" s="44" t="inlineStr">
        <is>
          <t>AK: …to check how your farm affects the animals in the seabed, take [3] grab samples (e.g.…</t>
        </is>
      </c>
    </row>
    <row r="251">
      <c r="A251" s="44" t="inlineStr">
        <is>
          <t>edgar_2005_hb141</t>
        </is>
      </c>
      <c r="B251" s="44" t="inlineStr">
        <is>
          <t>H&amp;B 1.4.1 — Sediment</t>
        </is>
      </c>
      <c r="C251" s="44" t="inlineStr">
        <is>
          <t>Protocol</t>
        </is>
      </c>
      <c r="D251" s="44" t="inlineStr">
        <is>
          <t>Grain size / particle size</t>
        </is>
      </c>
      <c r="E251" s="44" t="inlineStr">
        <is>
          <t>Listed</t>
        </is>
      </c>
      <c r="F251" s="44" t="inlineStr">
        <is>
          <t>Method summary (AK)</t>
        </is>
      </c>
      <c r="G251" s="44" t="inlineStr">
        <is>
          <t>AK: …ab for organic matter (loss on ignition) and grain size.…</t>
        </is>
      </c>
    </row>
    <row r="252">
      <c r="A252" s="44" t="inlineStr">
        <is>
          <t>edgar_2005_hb141</t>
        </is>
      </c>
      <c r="B252" s="44" t="inlineStr">
        <is>
          <t>H&amp;B 1.4.1 — Sediment</t>
        </is>
      </c>
      <c r="C252" s="44" t="inlineStr">
        <is>
          <t>Protocol</t>
        </is>
      </c>
      <c r="D252" s="44" t="inlineStr">
        <is>
          <t>Sediment chemistry (OC / TN / redox / AVS)</t>
        </is>
      </c>
      <c r="E252" s="44" t="inlineStr">
        <is>
          <t>Listed</t>
        </is>
      </c>
      <c r="F252" s="44" t="inlineStr">
        <is>
          <t>Method summary (AK)</t>
        </is>
      </c>
      <c r="G252" s="44" t="inlineStr">
        <is>
          <t>AK: …within 3 hours, push a calibrated redox probe into each core at the surface and at 1…</t>
        </is>
      </c>
    </row>
    <row r="253">
      <c r="A253" s="44" t="inlineStr">
        <is>
          <t>edgar_2005_hb141</t>
        </is>
      </c>
      <c r="B253" s="44" t="inlineStr">
        <is>
          <t>H&amp;B 1.4.1 — Sediment</t>
        </is>
      </c>
      <c r="C253" s="44" t="inlineStr">
        <is>
          <t>Protocol</t>
        </is>
      </c>
      <c r="D253" s="44" t="inlineStr">
        <is>
          <t>Stable isotopes (d13C / d15N)</t>
        </is>
      </c>
      <c r="E253" s="44" t="inlineStr">
        <is>
          <t>Not listed</t>
        </is>
      </c>
      <c r="F253" s="44" t="inlineStr">
        <is>
          <t>Source kit only — Equipment Type (N), not in the protocol</t>
        </is>
      </c>
      <c r="G253" s="44" t="inlineStr">
        <is>
          <t>N: …elemental analyser and isotope-ratio mass spectrometry (csiro)…</t>
        </is>
      </c>
    </row>
    <row r="254">
      <c r="A254" s="44" t="inlineStr">
        <is>
          <t>sanchezjerez_2019</t>
        </is>
      </c>
      <c r="B254" s="44" t="inlineStr">
        <is>
          <t>H&amp;B 1.4.1 — Sediment, H&amp;B 1.3.1 — Benthic infauna</t>
        </is>
      </c>
      <c r="C254" s="44" t="inlineStr">
        <is>
          <t>Reference</t>
        </is>
      </c>
      <c r="D254" s="44" t="inlineStr">
        <is>
          <t>Visual census / belt transects</t>
        </is>
      </c>
      <c r="E254" s="44" t="inlineStr">
        <is>
          <t>Listed</t>
        </is>
      </c>
      <c r="F254" s="44" t="inlineStr">
        <is>
          <t>Method summary (AK)</t>
        </is>
      </c>
      <c r="G254" s="44" t="inlineStr">
        <is>
          <t>AK: … but the approach - sediment grabs/cores and visual survey along a distance gradient to map shell-debri…</t>
        </is>
      </c>
    </row>
    <row r="255">
      <c r="A255" s="44" t="inlineStr">
        <is>
          <t>murray_2007</t>
        </is>
      </c>
      <c r="B255" s="44" t="inlineStr">
        <is>
          <t>H&amp;B 1.1.1 — Epibiota, H&amp;B 2.1.1 — Community composition</t>
        </is>
      </c>
      <c r="C255" s="44" t="inlineStr">
        <is>
          <t>Reference</t>
        </is>
      </c>
      <c r="D255" s="44" t="inlineStr">
        <is>
          <t>Benthic infauna community</t>
        </is>
      </c>
      <c r="E255" s="44" t="inlineStr">
        <is>
          <t>Listed</t>
        </is>
      </c>
      <c r="F255" s="44" t="inlineStr">
        <is>
          <t>Method summary (AK)</t>
        </is>
      </c>
      <c r="G255" s="44" t="inlineStr">
        <is>
          <t>AK: …methods, focusing on epibiont and associated infaunal communities via diver/video sampling, sort…</t>
        </is>
      </c>
    </row>
    <row r="256">
      <c r="A256" s="44" t="inlineStr">
        <is>
          <t>murray_2007</t>
        </is>
      </c>
      <c r="B256" s="44" t="inlineStr">
        <is>
          <t>H&amp;B 1.1.1 — Epibiota, H&amp;B 2.1.1 — Community composition</t>
        </is>
      </c>
      <c r="C256" s="44" t="inlineStr">
        <is>
          <t>Reference</t>
        </is>
      </c>
      <c r="D256" s="44" t="inlineStr">
        <is>
          <t>Visual census / belt transects</t>
        </is>
      </c>
      <c r="E256" s="44" t="inlineStr">
        <is>
          <t>Listed</t>
        </is>
      </c>
      <c r="F256" s="44" t="inlineStr">
        <is>
          <t>Method summary (AK)</t>
        </is>
      </c>
      <c r="G256" s="44" t="inlineStr">
        <is>
          <t>AK: …iont and associated infaunal communities via diver/video sampling, sorting and taxonomy with standard…</t>
        </is>
      </c>
    </row>
    <row r="257">
      <c r="A257" s="44" t="inlineStr">
        <is>
          <t>murray_2007</t>
        </is>
      </c>
      <c r="B257" s="44" t="inlineStr">
        <is>
          <t>H&amp;B 1.1.1 — Epibiota, H&amp;B 2.1.1 — Community composition</t>
        </is>
      </c>
      <c r="C257" s="44" t="inlineStr">
        <is>
          <t>Reference</t>
        </is>
      </c>
      <c r="D257" s="44" t="inlineStr">
        <is>
          <t>Time-lapse / GoPro cameras</t>
        </is>
      </c>
      <c r="E257" s="44" t="inlineStr">
        <is>
          <t>Listed</t>
        </is>
      </c>
      <c r="F257" s="44" t="inlineStr">
        <is>
          <t>Method summary (AK)</t>
        </is>
      </c>
      <c r="G257" s="44" t="inlineStr">
        <is>
          <t>AK: …nd associated infaunal communities via diver/video sampling, sorting and taxonomy with standard diversit…</t>
        </is>
      </c>
    </row>
    <row r="258">
      <c r="A258" s="44" t="inlineStr">
        <is>
          <t>murray_2007</t>
        </is>
      </c>
      <c r="B258" s="44" t="inlineStr">
        <is>
          <t>H&amp;B 1.1.1 — Epibiota, H&amp;B 2.1.1 — Community composition</t>
        </is>
      </c>
      <c r="C258" s="44" t="inlineStr">
        <is>
          <t>Reference</t>
        </is>
      </c>
      <c r="D258" s="44" t="inlineStr">
        <is>
          <t>Epibiota on lines / structures</t>
        </is>
      </c>
      <c r="E258" s="44" t="inlineStr">
        <is>
          <t>Listed</t>
        </is>
      </c>
      <c r="F258" s="44" t="inlineStr">
        <is>
          <t>Method summary (AK)</t>
        </is>
      </c>
      <c r="G258" s="44" t="inlineStr">
        <is>
          <t>AK: …s under two cultivation methods, focusing on epibiont and associated infaunal communities via dive…</t>
        </is>
      </c>
    </row>
    <row r="259">
      <c r="A259" s="44" t="inlineStr">
        <is>
          <t>ysebaert_2009_hb131</t>
        </is>
      </c>
      <c r="B259" s="44" t="inlineStr">
        <is>
          <t>H&amp;B 1.3.1 — Benthic infauna</t>
        </is>
      </c>
      <c r="C259" s="44" t="inlineStr">
        <is>
          <t>Protocol</t>
        </is>
      </c>
      <c r="D259" s="44" t="inlineStr">
        <is>
          <t>Benthic infauna community</t>
        </is>
      </c>
      <c r="E259" s="44" t="inlineStr">
        <is>
          <t>Listed</t>
        </is>
      </c>
      <c r="F259" s="44" t="inlineStr">
        <is>
          <t>Method summary (AK)</t>
        </is>
      </c>
      <c r="G259" s="44" t="inlineStr">
        <is>
          <t>AK: …to check how your mussel culture affects the animals living in the seabed, take [3] grab or core samples (the source u…</t>
        </is>
      </c>
    </row>
    <row r="260">
      <c r="A260" s="44" t="inlineStr">
        <is>
          <t>ysebaert_2009_hb131</t>
        </is>
      </c>
      <c r="B260" s="44" t="inlineStr">
        <is>
          <t>H&amp;B 1.3.1 — Benthic infauna</t>
        </is>
      </c>
      <c r="C260" s="44" t="inlineStr">
        <is>
          <t>Protocol</t>
        </is>
      </c>
      <c r="D260" s="44" t="inlineStr">
        <is>
          <t>Towed video / ROV</t>
        </is>
      </c>
      <c r="E260" s="44" t="inlineStr">
        <is>
          <t>Not listed</t>
        </is>
      </c>
      <c r="F260" s="44" t="inlineStr">
        <is>
          <t>Source kit only — Equipment Type (N), not in the protocol</t>
        </is>
      </c>
      <c r="G260" s="44" t="inlineStr">
        <is>
          <t>N: …diver or towed video transects for mussel cover…</t>
        </is>
      </c>
    </row>
    <row r="261">
      <c r="A261" s="44" t="inlineStr">
        <is>
          <t>ysebaert_2009_hb141</t>
        </is>
      </c>
      <c r="B261" s="44" t="inlineStr">
        <is>
          <t>H&amp;B 1.4.1 — Sediment</t>
        </is>
      </c>
      <c r="C261" s="44" t="inlineStr">
        <is>
          <t>Protocol</t>
        </is>
      </c>
      <c r="D261" s="44" t="inlineStr">
        <is>
          <t>Chlorophyll-a (water)</t>
        </is>
      </c>
      <c r="E261" s="44" t="inlineStr">
        <is>
          <t>Listed</t>
        </is>
      </c>
      <c r="F261" s="44" t="inlineStr">
        <is>
          <t>Method summary (AK)</t>
        </is>
      </c>
      <c r="G261" s="44" t="inlineStr">
        <is>
          <t>AK: …phosphorus and phaeopigments (chlorophyll breakdown products from mussel faeces) are u…</t>
        </is>
      </c>
    </row>
    <row r="262">
      <c r="A262" s="44" t="inlineStr">
        <is>
          <t>ysebaert_2009_hb141</t>
        </is>
      </c>
      <c r="B262" s="44" t="inlineStr">
        <is>
          <t>H&amp;B 1.4.1 — Sediment</t>
        </is>
      </c>
      <c r="C262" s="44" t="inlineStr">
        <is>
          <t>Protocol</t>
        </is>
      </c>
      <c r="D262" s="44" t="inlineStr">
        <is>
          <t>Grain size / particle size</t>
        </is>
      </c>
      <c r="E262" s="44" t="inlineStr">
        <is>
          <t>Listed</t>
        </is>
      </c>
      <c r="F262" s="44" t="inlineStr">
        <is>
          <t>Method summary (AK)</t>
        </is>
      </c>
      <c r="G262" s="44" t="inlineStr">
        <is>
          <t>AK: …tner lab for organic carbon and nitrogen and grain size…</t>
        </is>
      </c>
    </row>
    <row r="263">
      <c r="A263" s="44" t="inlineStr">
        <is>
          <t>ysebaert_2009_hb141</t>
        </is>
      </c>
      <c r="B263" s="44" t="inlineStr">
        <is>
          <t>H&amp;B 1.4.1 — Sediment</t>
        </is>
      </c>
      <c r="C263" s="44" t="inlineStr">
        <is>
          <t>Protocol</t>
        </is>
      </c>
      <c r="D263" s="44" t="inlineStr">
        <is>
          <t>Sediment chemistry (OC / TN / redox / AVS)</t>
        </is>
      </c>
      <c r="E263" s="44" t="inlineStr">
        <is>
          <t>Listed</t>
        </is>
      </c>
      <c r="F263" s="44" t="inlineStr">
        <is>
          <t>Method summary (AK)</t>
        </is>
      </c>
      <c r="G263" s="44" t="inlineStr">
        <is>
          <t>AK: …finer, muddier sediment with more organic carbon than at the references signals biodeposition…</t>
        </is>
      </c>
    </row>
    <row r="264">
      <c r="A264" s="44" t="inlineStr">
        <is>
          <t>ysebaert_2009_hb141</t>
        </is>
      </c>
      <c r="B264" s="44" t="inlineStr">
        <is>
          <t>H&amp;B 1.4.1 — Sediment</t>
        </is>
      </c>
      <c r="C264" s="44" t="inlineStr">
        <is>
          <t>Protocol</t>
        </is>
      </c>
      <c r="D264" s="44" t="inlineStr">
        <is>
          <t>Biodeposition traps</t>
        </is>
      </c>
      <c r="E264" s="44" t="inlineStr">
        <is>
          <t>Listed</t>
        </is>
      </c>
      <c r="F264" s="44" t="inlineStr">
        <is>
          <t>Method summary (AK)</t>
        </is>
      </c>
      <c r="G264" s="44" t="inlineStr">
        <is>
          <t>AK: … (chlorophyll breakdown products from mussel faeces) are useful extras.…</t>
        </is>
      </c>
    </row>
    <row r="265">
      <c r="A265" s="44" t="inlineStr">
        <is>
          <t>ysebaert_2009_hb141</t>
        </is>
      </c>
      <c r="B265" s="44" t="inlineStr">
        <is>
          <t>H&amp;B 1.4.1 — Sediment</t>
        </is>
      </c>
      <c r="C265" s="44" t="inlineStr">
        <is>
          <t>Protocol</t>
        </is>
      </c>
      <c r="D265" s="44" t="inlineStr">
        <is>
          <t>Sediment-profile imaging (SPI)</t>
        </is>
      </c>
      <c r="E265" s="44" t="inlineStr">
        <is>
          <t>Listed</t>
        </is>
      </c>
      <c r="F265" s="44" t="inlineStr">
        <is>
          <t>Method summary (AK)</t>
        </is>
      </c>
      <c r="G265" s="44" t="inlineStr">
        <is>
          <t>AK: …hide reading would round out the framework's sediment profile.…</t>
        </is>
      </c>
    </row>
    <row r="266">
      <c r="A266" s="44" t="inlineStr">
        <is>
          <t>ysebaert_2009_hb141</t>
        </is>
      </c>
      <c r="B266" s="44" t="inlineStr">
        <is>
          <t>H&amp;B 1.4.1 — Sediment</t>
        </is>
      </c>
      <c r="C266" s="44" t="inlineStr">
        <is>
          <t>Protocol</t>
        </is>
      </c>
      <c r="D266" s="44" t="inlineStr">
        <is>
          <t>Size-fractionated pigments (HPLC)</t>
        </is>
      </c>
      <c r="E266" s="44" t="inlineStr">
        <is>
          <t>Not listed</t>
        </is>
      </c>
      <c r="F266" s="44" t="inlineStr">
        <is>
          <t>Source kit only — Equipment Type (N), not in the protocol</t>
        </is>
      </c>
      <c r="G266" s="44" t="inlineStr">
        <is>
          <t>N: …90% acetone extraction and hplc (chl a, phaeophytin a, phaeophorbide a).…</t>
        </is>
      </c>
    </row>
    <row r="267">
      <c r="A267" s="44" t="inlineStr">
        <is>
          <t>damours_2008_hb121</t>
        </is>
      </c>
      <c r="B267" s="44" t="inlineStr">
        <is>
          <t>H&amp;B 1.2.1 — Mobile fauna</t>
        </is>
      </c>
      <c r="C267" s="44" t="inlineStr">
        <is>
          <t>Protocol</t>
        </is>
      </c>
      <c r="D267" s="44" t="inlineStr">
        <is>
          <t>Visual census / belt transects</t>
        </is>
      </c>
      <c r="E267" s="44" t="inlineStr">
        <is>
          <t>Listed</t>
        </is>
      </c>
      <c r="F267" s="44" t="inlineStr">
        <is>
          <t>Method summary (AK)</t>
        </is>
      </c>
      <c r="G267" s="44" t="inlineStr">
        <is>
          <t>AK: … using your mussel farm, have two divers (or snorkellers, where the water is shallow) swim a 50 ×…</t>
        </is>
      </c>
    </row>
    <row r="268">
      <c r="A268" s="44" t="inlineStr">
        <is>
          <t>crawford_2003_hb131</t>
        </is>
      </c>
      <c r="B268" s="44" t="inlineStr">
        <is>
          <t>H&amp;B 1.3.1 — Benthic infauna</t>
        </is>
      </c>
      <c r="C268" s="44" t="inlineStr">
        <is>
          <t>Protocol</t>
        </is>
      </c>
      <c r="D268" s="44" t="inlineStr">
        <is>
          <t>Benthic infauna community</t>
        </is>
      </c>
      <c r="E268" s="44" t="inlineStr">
        <is>
          <t>Listed</t>
        </is>
      </c>
      <c r="F268" s="44" t="inlineStr">
        <is>
          <t>Method summary (AK)</t>
        </is>
      </c>
      <c r="G268" s="44" t="inlineStr">
        <is>
          <t>AK: …hether your shellfish lines are changing the animals living in the seabed beneath them, sample along [3] transects run…</t>
        </is>
      </c>
    </row>
    <row r="269">
      <c r="A269" s="44" t="inlineStr">
        <is>
          <t>crawford_2003_hb141</t>
        </is>
      </c>
      <c r="B269" s="44" t="inlineStr">
        <is>
          <t>H&amp;B 1.4.1 — Sediment</t>
        </is>
      </c>
      <c r="C269" s="44" t="inlineStr">
        <is>
          <t>Protocol</t>
        </is>
      </c>
      <c r="D269" s="44" t="inlineStr">
        <is>
          <t>pH</t>
        </is>
      </c>
      <c r="E269" s="44" t="inlineStr">
        <is>
          <t>Not listed</t>
        </is>
      </c>
      <c r="F269" s="44" t="inlineStr">
        <is>
          <t>Source kit only — Equipment Type (N), not in the protocol</t>
        </is>
      </c>
      <c r="G269" s="44" t="inlineStr">
        <is>
          <t>N: …mettler toledo ph/redox probe (zobell calibration) and cole-pa…</t>
        </is>
      </c>
    </row>
    <row r="270">
      <c r="A270" s="44" t="inlineStr">
        <is>
          <t>crawford_2003_hb141</t>
        </is>
      </c>
      <c r="B270" s="44" t="inlineStr">
        <is>
          <t>H&amp;B 1.4.1 — Sediment</t>
        </is>
      </c>
      <c r="C270" s="44" t="inlineStr">
        <is>
          <t>Protocol</t>
        </is>
      </c>
      <c r="D270" s="44" t="inlineStr">
        <is>
          <t>Grain size / particle size</t>
        </is>
      </c>
      <c r="E270" s="44" t="inlineStr">
        <is>
          <t>Listed</t>
        </is>
      </c>
      <c r="F270" s="44" t="inlineStr">
        <is>
          <t>Method summary (AK)</t>
        </is>
      </c>
      <c r="G270" s="44" t="inlineStr">
        <is>
          <t>AK: …2 cm to a partner lab for organic carbon and particle size.…</t>
        </is>
      </c>
    </row>
    <row r="271">
      <c r="A271" s="44" t="inlineStr">
        <is>
          <t>crawford_2003_hb141</t>
        </is>
      </c>
      <c r="B271" s="44" t="inlineStr">
        <is>
          <t>H&amp;B 1.4.1 — Sediment</t>
        </is>
      </c>
      <c r="C271" s="44" t="inlineStr">
        <is>
          <t>Protocol</t>
        </is>
      </c>
      <c r="D271" s="44" t="inlineStr">
        <is>
          <t>Sediment chemistry (OC / TN / redox / AVS)</t>
        </is>
      </c>
      <c r="E271" s="44" t="inlineStr">
        <is>
          <t>Listed</t>
        </is>
      </c>
      <c r="F271" s="44" t="inlineStr">
        <is>
          <t>Method summary (AK)</t>
        </is>
      </c>
      <c r="G271" s="44" t="inlineStr">
        <is>
          <t>AK: …a silver/sulphide electrode with antioxidant buffer adds sulph…</t>
        </is>
      </c>
    </row>
    <row r="272">
      <c r="A272" s="44" t="inlineStr">
        <is>
          <t>crawford_2003_hb141</t>
        </is>
      </c>
      <c r="B272" s="44" t="inlineStr">
        <is>
          <t>H&amp;B 1.4.1 — Sediment</t>
        </is>
      </c>
      <c r="C272" s="44" t="inlineStr">
        <is>
          <t>Protocol</t>
        </is>
      </c>
      <c r="D272" s="44" t="inlineStr">
        <is>
          <t>Biodeposition traps</t>
        </is>
      </c>
      <c r="E272" s="44" t="inlineStr">
        <is>
          <t>Not listed</t>
        </is>
      </c>
      <c r="F272" s="44" t="inlineStr">
        <is>
          <t>Only in a sentence about what the source found</t>
        </is>
      </c>
      <c r="G272" s="44" t="inlineStr">
        <is>
          <t>AK: …fallen mussels and algae from the lines, not biodeposits.…</t>
        </is>
      </c>
    </row>
    <row r="273">
      <c r="A273" s="44" t="inlineStr">
        <is>
          <t>yoo_2024</t>
        </is>
      </c>
      <c r="B273" s="44" t="inlineStr">
        <is>
          <t>H&amp;B 1.1.1 — Epibiota, H&amp;B 1.2.1 — Mobile fauna, H&amp;B 2.1.1 — Community composition</t>
        </is>
      </c>
      <c r="C273" s="44" t="inlineStr">
        <is>
          <t>Reference</t>
        </is>
      </c>
      <c r="D273" s="44" t="inlineStr">
        <is>
          <t>Visual census / belt transects</t>
        </is>
      </c>
      <c r="E273" s="44" t="inlineStr">
        <is>
          <t>Not listed</t>
        </is>
      </c>
      <c r="F273" s="44" t="inlineStr">
        <is>
          <t>Only in a sentence about what the source found</t>
        </is>
      </c>
      <c r="G273" s="44" t="inlineStr">
        <is>
          <t>AK: … using paired reef-versus-non-reef sampling (diver/video and traps) with diversity indices and commun…</t>
        </is>
      </c>
    </row>
    <row r="274">
      <c r="A274" s="44" t="inlineStr">
        <is>
          <t>yoo_2024</t>
        </is>
      </c>
      <c r="B274" s="44" t="inlineStr">
        <is>
          <t>H&amp;B 1.1.1 — Epibiota, H&amp;B 1.2.1 — Mobile fauna, H&amp;B 2.1.1 — Community composition</t>
        </is>
      </c>
      <c r="C274" s="44" t="inlineStr">
        <is>
          <t>Reference</t>
        </is>
      </c>
      <c r="D274" s="44" t="inlineStr">
        <is>
          <t>Time-lapse / GoPro cameras</t>
        </is>
      </c>
      <c r="E274" s="44" t="inlineStr">
        <is>
          <t>Not listed</t>
        </is>
      </c>
      <c r="F274" s="44" t="inlineStr">
        <is>
          <t>Source kit only — Equipment Type (N), not in the protocol</t>
        </is>
      </c>
      <c r="G274" s="44" t="inlineStr">
        <is>
          <t>N: …diver/video sampling, trap sampling, sample sorting + taxonomy…</t>
        </is>
      </c>
    </row>
    <row r="275">
      <c r="A275" s="44" t="inlineStr">
        <is>
          <t>yoo_2024</t>
        </is>
      </c>
      <c r="B275" s="44" t="inlineStr">
        <is>
          <t>H&amp;B 1.1.1 — Epibiota, H&amp;B 1.2.1 — Mobile fauna, H&amp;B 2.1.1 — Community composition</t>
        </is>
      </c>
      <c r="C275" s="44" t="inlineStr">
        <is>
          <t>Reference</t>
        </is>
      </c>
      <c r="D275" s="44" t="inlineStr">
        <is>
          <t>Nets &amp; baited traps</t>
        </is>
      </c>
      <c r="E275" s="44" t="inlineStr">
        <is>
          <t>Not listed</t>
        </is>
      </c>
      <c r="F275" s="44" t="inlineStr">
        <is>
          <t>Only in a sentence about what the source found</t>
        </is>
      </c>
      <c r="G275" s="44" t="inlineStr">
        <is>
          <t>AK: …ef-versus-non-reef sampling (diver/video and traps) with diversity indices and community ordina…</t>
        </is>
      </c>
    </row>
    <row r="276">
      <c r="A276" s="44" t="inlineStr">
        <is>
          <t>ferreira_2006</t>
        </is>
      </c>
      <c r="B276" s="44" t="inlineStr">
        <is>
          <t>WQ 1.2.1 — Dissolved oxygen, WQ 2.1.1 — Chlorophyll-a</t>
        </is>
      </c>
      <c r="C276" s="44" t="inlineStr">
        <is>
          <t>Reference</t>
        </is>
      </c>
      <c r="D276" s="44" t="inlineStr">
        <is>
          <t>Temperature / salinity</t>
        </is>
      </c>
      <c r="E276" s="44" t="inlineStr">
        <is>
          <t>Listed</t>
        </is>
      </c>
      <c r="F276" s="44" t="inlineStr">
        <is>
          <t>Method summary (AK)</t>
        </is>
      </c>
      <c r="G276" s="44" t="inlineStr">
        <is>
          <t>AK: …sonal physical-chemical seawater parameters (temperature, salinity, dissolved oxygen, nutrients, chlo…</t>
        </is>
      </c>
    </row>
    <row r="277">
      <c r="A277" s="44" t="inlineStr">
        <is>
          <t>ferreira_2006</t>
        </is>
      </c>
      <c r="B277" s="44" t="inlineStr">
        <is>
          <t>WQ 1.2.1 — Dissolved oxygen, WQ 2.1.1 — Chlorophyll-a</t>
        </is>
      </c>
      <c r="C277" s="44" t="inlineStr">
        <is>
          <t>Reference</t>
        </is>
      </c>
      <c r="D277" s="44" t="inlineStr">
        <is>
          <t>Dissolved oxygen</t>
        </is>
      </c>
      <c r="E277" s="44" t="inlineStr">
        <is>
          <t>Listed</t>
        </is>
      </c>
      <c r="F277" s="44" t="inlineStr">
        <is>
          <t>Method summary (AK)</t>
        </is>
      </c>
      <c r="G277" s="44" t="inlineStr">
        <is>
          <t>AK: … seawater parameters (temperature, salinity, dissolved oxygen, nutrients, chlorophyll-a) at mollusc cultur…</t>
        </is>
      </c>
    </row>
    <row r="278">
      <c r="A278" s="44" t="inlineStr">
        <is>
          <t>ferreira_2006</t>
        </is>
      </c>
      <c r="B278" s="44" t="inlineStr">
        <is>
          <t>WQ 1.2.1 — Dissolved oxygen, WQ 2.1.1 — Chlorophyll-a</t>
        </is>
      </c>
      <c r="C278" s="44" t="inlineStr">
        <is>
          <t>Reference</t>
        </is>
      </c>
      <c r="D278" s="44" t="inlineStr">
        <is>
          <t>Dissolved nutrients (N &amp; P)</t>
        </is>
      </c>
      <c r="E278" s="44" t="inlineStr">
        <is>
          <t>Listed</t>
        </is>
      </c>
      <c r="F278" s="44" t="inlineStr">
        <is>
          <t>Method summary (AK)</t>
        </is>
      </c>
      <c r="G278" s="44" t="inlineStr">
        <is>
          <t>AK: …robe/ctd and niskin sampling with laboratory nutrient analysis.…</t>
        </is>
      </c>
    </row>
    <row r="279">
      <c r="A279" s="44" t="inlineStr">
        <is>
          <t>ferreira_2006</t>
        </is>
      </c>
      <c r="B279" s="44" t="inlineStr">
        <is>
          <t>WQ 1.2.1 — Dissolved oxygen, WQ 2.1.1 — Chlorophyll-a</t>
        </is>
      </c>
      <c r="C279" s="44" t="inlineStr">
        <is>
          <t>Reference</t>
        </is>
      </c>
      <c r="D279" s="44" t="inlineStr">
        <is>
          <t>Chlorophyll-a (water)</t>
        </is>
      </c>
      <c r="E279" s="44" t="inlineStr">
        <is>
          <t>Listed</t>
        </is>
      </c>
      <c r="F279" s="44" t="inlineStr">
        <is>
          <t>Method summary (AK)</t>
        </is>
      </c>
      <c r="G279" s="44" t="inlineStr">
        <is>
          <t>AK: …ture, salinity, dissolved oxygen, nutrients, chlorophyll-a) at mollusc culture sites, using standard …</t>
        </is>
      </c>
    </row>
    <row r="280">
      <c r="A280" s="44" t="inlineStr">
        <is>
          <t>turner_2019_wq121</t>
        </is>
      </c>
      <c r="B280" s="44" t="inlineStr">
        <is>
          <t>WQ 1.2.1 — Dissolved oxygen</t>
        </is>
      </c>
      <c r="C280" s="44" t="inlineStr">
        <is>
          <t>Protocol</t>
        </is>
      </c>
      <c r="D280" s="44" t="inlineStr">
        <is>
          <t>Temperature / salinity</t>
        </is>
      </c>
      <c r="E280" s="44" t="inlineStr">
        <is>
          <t>Listed</t>
        </is>
      </c>
      <c r="F280" s="44" t="inlineStr">
        <is>
          <t>Method summary (AK)</t>
        </is>
      </c>
      <c r="G280" s="44" t="inlineStr">
        <is>
          <t>AK: …, remove the drift caused by time of day and salinity by fitting a trend to the outside readings,…</t>
        </is>
      </c>
    </row>
    <row r="281">
      <c r="A281" s="44" t="inlineStr">
        <is>
          <t>turner_2019_wq121</t>
        </is>
      </c>
      <c r="B281" s="44" t="inlineStr">
        <is>
          <t>WQ 1.2.1 — Dissolved oxygen</t>
        </is>
      </c>
      <c r="C281" s="44" t="inlineStr">
        <is>
          <t>Protocol</t>
        </is>
      </c>
      <c r="D281" s="44" t="inlineStr">
        <is>
          <t>Dissolved oxygen</t>
        </is>
      </c>
      <c r="E281" s="44" t="inlineStr">
        <is>
          <t>Listed</t>
        </is>
      </c>
      <c r="F281" s="44" t="inlineStr">
        <is>
          <t>Method summary (AK)</t>
        </is>
      </c>
      <c r="G281" s="44" t="inlineStr">
        <is>
          <t>AK: …to check whether your farm changes dissolved oxygen in the surrounding water, run a small boat s…</t>
        </is>
      </c>
    </row>
    <row r="282">
      <c r="A282" s="44" t="inlineStr">
        <is>
          <t>turner_2019_wq121</t>
        </is>
      </c>
      <c r="B282" s="44" t="inlineStr">
        <is>
          <t>WQ 1.2.1 — Dissolved oxygen</t>
        </is>
      </c>
      <c r="C282" s="44" t="inlineStr">
        <is>
          <t>Protocol</t>
        </is>
      </c>
      <c r="D282" s="44" t="inlineStr">
        <is>
          <t>Water clarity / turbidity (Secchi)</t>
        </is>
      </c>
      <c r="E282" s="44" t="inlineStr">
        <is>
          <t>Not listed</t>
        </is>
      </c>
      <c r="F282" s="44" t="inlineStr">
        <is>
          <t>Source kit only — Equipment Type (N), not in the protocol</t>
        </is>
      </c>
      <c r="G282" s="44" t="inlineStr">
        <is>
          <t>N: …ture, salinity, chlorophyll fluorescence and turbidity)…</t>
        </is>
      </c>
    </row>
    <row r="283">
      <c r="A283" s="44" t="inlineStr">
        <is>
          <t>turner_2019_wq121</t>
        </is>
      </c>
      <c r="B283" s="44" t="inlineStr">
        <is>
          <t>WQ 1.2.1 — Dissolved oxygen</t>
        </is>
      </c>
      <c r="C283" s="44" t="inlineStr">
        <is>
          <t>Protocol</t>
        </is>
      </c>
      <c r="D283" s="44" t="inlineStr">
        <is>
          <t>Chlorophyll-a (water)</t>
        </is>
      </c>
      <c r="E283" s="44" t="inlineStr">
        <is>
          <t>Not listed</t>
        </is>
      </c>
      <c r="F283" s="44" t="inlineStr">
        <is>
          <t>Source kit only — Equipment Type (N), not in the protocol</t>
        </is>
      </c>
      <c r="G283" s="44" t="inlineStr">
        <is>
          <t>N: …r sonde, also logging temperature, salinity, chlorophyll fluorescence and turbidity)…</t>
        </is>
      </c>
    </row>
    <row r="284">
      <c r="A284" s="44" t="inlineStr">
        <is>
          <t>turner_2019_wq121</t>
        </is>
      </c>
      <c r="B284" s="44" t="inlineStr">
        <is>
          <t>WQ 1.2.1 — Dissolved oxygen</t>
        </is>
      </c>
      <c r="C284" s="44" t="inlineStr">
        <is>
          <t>Protocol</t>
        </is>
      </c>
      <c r="D284" s="44" t="inlineStr">
        <is>
          <t>Continuous moored sensors</t>
        </is>
      </c>
      <c r="E284" s="44" t="inlineStr">
        <is>
          <t>Listed</t>
        </is>
      </c>
      <c r="F284" s="44" t="inlineStr">
        <is>
          <t>Method summary (AK)</t>
        </is>
      </c>
      <c r="G284" s="44" t="inlineStr">
        <is>
          <t>AK: … half entirely outside it - with a do sensor logging every few seconds just below the surface and a gps…</t>
        </is>
      </c>
    </row>
    <row r="285">
      <c r="A285" s="44" t="inlineStr">
        <is>
          <t>turner_2019_wq121</t>
        </is>
      </c>
      <c r="B285" s="44" t="inlineStr">
        <is>
          <t>WQ 1.2.1 — Dissolved oxygen</t>
        </is>
      </c>
      <c r="C285" s="44" t="inlineStr">
        <is>
          <t>Protocol</t>
        </is>
      </c>
      <c r="D285" s="44" t="inlineStr">
        <is>
          <t>ADCP (currents / waves)</t>
        </is>
      </c>
      <c r="E285" s="44" t="inlineStr">
        <is>
          <t>Not listed</t>
        </is>
      </c>
      <c r="F285" s="44" t="inlineStr">
        <is>
          <t>Source kit only — Equipment Type (N), not in the protocol</t>
        </is>
      </c>
      <c r="G285" s="44" t="inlineStr">
        <is>
          <t>N: …adcp for current speed (context)…</t>
        </is>
      </c>
    </row>
    <row r="286">
      <c r="A286" s="44" t="inlineStr">
        <is>
          <t>turner_2019_wq211</t>
        </is>
      </c>
      <c r="B286" s="44" t="inlineStr">
        <is>
          <t>WQ 2.1.1 — Chlorophyll-a</t>
        </is>
      </c>
      <c r="C286" s="44" t="inlineStr">
        <is>
          <t>Protocol</t>
        </is>
      </c>
      <c r="D286" s="44" t="inlineStr">
        <is>
          <t>Temperature / salinity</t>
        </is>
      </c>
      <c r="E286" s="44" t="inlineStr">
        <is>
          <t>Listed</t>
        </is>
      </c>
      <c r="F286" s="44" t="inlineStr">
        <is>
          <t>Method summary (AK)</t>
        </is>
      </c>
      <c r="G286" s="44" t="inlineStr">
        <is>
          <t>AK: …e the farm footprint, remove time-of-day and salinity trends using the outside readings, thin the…</t>
        </is>
      </c>
    </row>
    <row r="287">
      <c r="A287" s="44" t="inlineStr">
        <is>
          <t>turner_2019_wq211</t>
        </is>
      </c>
      <c r="B287" s="44" t="inlineStr">
        <is>
          <t>WQ 2.1.1 — Chlorophyll-a</t>
        </is>
      </c>
      <c r="C287" s="44" t="inlineStr">
        <is>
          <t>Protocol</t>
        </is>
      </c>
      <c r="D287" s="44" t="inlineStr">
        <is>
          <t>Chlorophyll-a (water)</t>
        </is>
      </c>
      <c r="E287" s="44" t="inlineStr">
        <is>
          <t>Listed</t>
        </is>
      </c>
      <c r="F287" s="44" t="inlineStr">
        <is>
          <t>Method summary (AK)</t>
        </is>
      </c>
      <c r="G287" s="44" t="inlineStr">
        <is>
          <t>AK: …toplankton in the surrounding water, carry a chlorophyll fluorescence sensor just below the surface w…</t>
        </is>
      </c>
    </row>
    <row r="288">
      <c r="A288" s="44" t="inlineStr">
        <is>
          <t>turner_2019_wq211</t>
        </is>
      </c>
      <c r="B288" s="44" t="inlineStr">
        <is>
          <t>WQ 2.1.1 — Chlorophyll-a</t>
        </is>
      </c>
      <c r="C288" s="44" t="inlineStr">
        <is>
          <t>Protocol</t>
        </is>
      </c>
      <c r="D288" s="44" t="inlineStr">
        <is>
          <t>Continuous moored sensors</t>
        </is>
      </c>
      <c r="E288" s="44" t="inlineStr">
        <is>
          <t>Not listed</t>
        </is>
      </c>
      <c r="F288" s="44" t="inlineStr">
        <is>
          <t>Source kit only — Equipment Type (N), not in the protocol</t>
        </is>
      </c>
      <c r="G288" s="44" t="inlineStr">
        <is>
          <t>N: …chlorophyll fluorescence sensor logging every ~1 s (source:…</t>
        </is>
      </c>
    </row>
    <row r="289">
      <c r="A289" s="44" t="inlineStr">
        <is>
          <t>christensen_2003_wq121</t>
        </is>
      </c>
      <c r="B289" s="44" t="inlineStr">
        <is>
          <t>WQ 1.2.1 — Dissolved oxygen</t>
        </is>
      </c>
      <c r="C289" s="44" t="inlineStr">
        <is>
          <t>Protocol</t>
        </is>
      </c>
      <c r="D289" s="44" t="inlineStr">
        <is>
          <t>Dissolved oxygen</t>
        </is>
      </c>
      <c r="E289" s="44" t="inlineStr">
        <is>
          <t>Listed</t>
        </is>
      </c>
      <c r="F289" s="44" t="inlineStr">
        <is>
          <t>Method summary (AK)</t>
        </is>
      </c>
      <c r="G289" s="44" t="inlineStr">
        <is>
          <t>AK: …to check whether your mussel farm lowers dissolved oxygen near the seabed, lower a calibrated handheld…</t>
        </is>
      </c>
    </row>
    <row r="290">
      <c r="A290" s="44" t="inlineStr">
        <is>
          <t>christensen_2003_wq121</t>
        </is>
      </c>
      <c r="B290" s="44" t="inlineStr">
        <is>
          <t>WQ 1.2.1 — Dissolved oxygen</t>
        </is>
      </c>
      <c r="C290" s="44" t="inlineStr">
        <is>
          <t>Protocol</t>
        </is>
      </c>
      <c r="D290" s="44" t="inlineStr">
        <is>
          <t>Bivalve condition index / growth</t>
        </is>
      </c>
      <c r="E290" s="44" t="inlineStr">
        <is>
          <t>Listed</t>
        </is>
      </c>
      <c r="F290" s="44" t="inlineStr">
        <is>
          <t>Method summary (AK)</t>
        </is>
      </c>
      <c r="G290" s="44" t="inlineStr">
        <is>
          <t>AK: …eabed, lower a calibrated handheld do meter (weighted probe on a long cable) to [1 m] above the…</t>
        </is>
      </c>
    </row>
    <row r="291">
      <c r="A291" s="44" t="inlineStr">
        <is>
          <t>christensen_2003_hb131</t>
        </is>
      </c>
      <c r="B291" s="44" t="inlineStr">
        <is>
          <t>H&amp;B 1.3.1 — Benthic infauna</t>
        </is>
      </c>
      <c r="C291" s="44" t="inlineStr">
        <is>
          <t>Protocol</t>
        </is>
      </c>
      <c r="D291" s="44" t="inlineStr">
        <is>
          <t>Benthic infauna community</t>
        </is>
      </c>
      <c r="E291" s="44" t="inlineStr">
        <is>
          <t>Listed</t>
        </is>
      </c>
      <c r="F291" s="44" t="inlineStr">
        <is>
          <t>Method summary (AK)</t>
        </is>
      </c>
      <c r="G291" s="44" t="inlineStr">
        <is>
          <t>AK: …to check how your mussel lines affect the animals living in the seabed, take [3-5] cores (about 13 cm wide, 10-12 c…</t>
        </is>
      </c>
    </row>
    <row r="292">
      <c r="A292" s="44" t="inlineStr">
        <is>
          <t>christensen_2003_hb141</t>
        </is>
      </c>
      <c r="B292" s="44" t="inlineStr">
        <is>
          <t>H&amp;B 1.4.1 — Sediment</t>
        </is>
      </c>
      <c r="C292" s="44" t="inlineStr">
        <is>
          <t>Protocol</t>
        </is>
      </c>
      <c r="D292" s="44" t="inlineStr">
        <is>
          <t>Dissolved oxygen</t>
        </is>
      </c>
      <c r="E292" s="44" t="inlineStr">
        <is>
          <t>Not listed</t>
        </is>
      </c>
      <c r="F292" s="44" t="inlineStr">
        <is>
          <t>Source kit only — Equipment Type (N), not in the protocol</t>
        </is>
      </c>
      <c r="G292" s="44" t="inlineStr">
        <is>
          <t>N: …clark-type o2 microelectrodes with micromanipulator.…</t>
        </is>
      </c>
    </row>
    <row r="293">
      <c r="A293" s="44" t="inlineStr">
        <is>
          <t>christensen_2003_hb141</t>
        </is>
      </c>
      <c r="B293" s="44" t="inlineStr">
        <is>
          <t>H&amp;B 1.4.1 — Sediment</t>
        </is>
      </c>
      <c r="C293" s="44" t="inlineStr">
        <is>
          <t>Protocol</t>
        </is>
      </c>
      <c r="D293" s="44" t="inlineStr">
        <is>
          <t>Sediment chemistry (OC / TN / redox / AVS)</t>
        </is>
      </c>
      <c r="E293" s="44" t="inlineStr">
        <is>
          <t>Listed</t>
        </is>
      </c>
      <c r="F293" s="44" t="inlineStr">
        <is>
          <t>Method summary (AK)</t>
        </is>
      </c>
      <c r="G293" s="44" t="inlineStr">
        <is>
          <t>AK: … and smell, and send it to a partner lab for organic matter (loss on ignition) and carbon and nitrogen.…</t>
        </is>
      </c>
    </row>
    <row r="294">
      <c r="A294" s="44" t="inlineStr">
        <is>
          <t>christensen_2003_hb141</t>
        </is>
      </c>
      <c r="B294" s="44" t="inlineStr">
        <is>
          <t>H&amp;B 1.4.1 — Sediment</t>
        </is>
      </c>
      <c r="C294" s="44" t="inlineStr">
        <is>
          <t>Protocol</t>
        </is>
      </c>
      <c r="D294" s="44" t="inlineStr">
        <is>
          <t>Phytoplankton community (microscopy)</t>
        </is>
      </c>
      <c r="E294" s="44" t="inlineStr">
        <is>
          <t>Not listed</t>
        </is>
      </c>
      <c r="F294" s="44" t="inlineStr">
        <is>
          <t>Source kit only — Equipment Type (N), not in the protocol</t>
        </is>
      </c>
      <c r="G294" s="44" t="inlineStr">
        <is>
          <t>N: …utermohl chambers and inverted microscope…</t>
        </is>
      </c>
    </row>
    <row r="295">
      <c r="A295" s="44" t="inlineStr">
        <is>
          <t>grant_1995_hb131</t>
        </is>
      </c>
      <c r="B295" s="44" t="inlineStr">
        <is>
          <t>H&amp;B 1.3.1 — Benthic infauna</t>
        </is>
      </c>
      <c r="C295" s="44" t="inlineStr">
        <is>
          <t>Protocol</t>
        </is>
      </c>
      <c r="D295" s="44" t="inlineStr">
        <is>
          <t>Benthic infauna community</t>
        </is>
      </c>
      <c r="E295" s="44" t="inlineStr">
        <is>
          <t>Listed</t>
        </is>
      </c>
      <c r="F295" s="44" t="inlineStr">
        <is>
          <t>Method summary (AK)</t>
        </is>
      </c>
      <c r="G295" s="44" t="inlineStr">
        <is>
          <t>AK: …to check how your mussel lines affect the animals living in the seabed, take [2-4] cores (about 11 cm wide, 10-15 c…</t>
        </is>
      </c>
    </row>
    <row r="296">
      <c r="A296" s="44" t="inlineStr">
        <is>
          <t>grant_1995_hb131</t>
        </is>
      </c>
      <c r="B296" s="44" t="inlineStr">
        <is>
          <t>H&amp;B 1.3.1 — Benthic infauna</t>
        </is>
      </c>
      <c r="C296" s="44" t="inlineStr">
        <is>
          <t>Protocol</t>
        </is>
      </c>
      <c r="D296" s="44" t="inlineStr">
        <is>
          <t>Bivalve condition index / growth</t>
        </is>
      </c>
      <c r="E296" s="44" t="inlineStr">
        <is>
          <t>Listed</t>
        </is>
      </c>
      <c r="F296" s="44" t="inlineStr">
        <is>
          <t>Method summary (AK)</t>
        </is>
      </c>
      <c r="G296" s="44" t="inlineStr">
        <is>
          <t>AK: …attracted snails and other molluscs, raising biomass under the farm.…</t>
        </is>
      </c>
    </row>
    <row r="297">
      <c r="A297" s="44" t="inlineStr">
        <is>
          <t>grant_1995_hb141</t>
        </is>
      </c>
      <c r="B297" s="44" t="inlineStr">
        <is>
          <t>H&amp;B 1.4.1 — Sediment</t>
        </is>
      </c>
      <c r="C297" s="44" t="inlineStr">
        <is>
          <t>Protocol</t>
        </is>
      </c>
      <c r="D297" s="44" t="inlineStr">
        <is>
          <t>Chlorophyll-a (water)</t>
        </is>
      </c>
      <c r="E297" s="44" t="inlineStr">
        <is>
          <t>Not listed</t>
        </is>
      </c>
      <c r="F297" s="44" t="inlineStr">
        <is>
          <t>Source kit only — Equipment Type (N), not in the protocol</t>
        </is>
      </c>
      <c r="G297" s="44" t="inlineStr">
        <is>
          <t>N: …acetone extraction and fluorometer…</t>
        </is>
      </c>
    </row>
    <row r="298">
      <c r="A298" s="44" t="inlineStr">
        <is>
          <t>grant_1995_hb141</t>
        </is>
      </c>
      <c r="B298" s="44" t="inlineStr">
        <is>
          <t>H&amp;B 1.4.1 — Sediment</t>
        </is>
      </c>
      <c r="C298" s="44" t="inlineStr">
        <is>
          <t>Protocol</t>
        </is>
      </c>
      <c r="D298" s="44" t="inlineStr">
        <is>
          <t>Grain size / particle size</t>
        </is>
      </c>
      <c r="E298" s="44" t="inlineStr">
        <is>
          <t>Listed</t>
        </is>
      </c>
      <c r="F298" s="44" t="inlineStr">
        <is>
          <t>Method summary (AK)</t>
        </is>
      </c>
      <c r="G298" s="44" t="inlineStr">
        <is>
          <t>AK: …tner lab for organic carbon and nitrogen and grain size.…</t>
        </is>
      </c>
    </row>
    <row r="299">
      <c r="A299" s="44" t="inlineStr">
        <is>
          <t>grant_1995_hb141</t>
        </is>
      </c>
      <c r="B299" s="44" t="inlineStr">
        <is>
          <t>H&amp;B 1.4.1 — Sediment</t>
        </is>
      </c>
      <c r="C299" s="44" t="inlineStr">
        <is>
          <t>Protocol</t>
        </is>
      </c>
      <c r="D299" s="44" t="inlineStr">
        <is>
          <t>Sediment chemistry (OC / TN / redox / AVS)</t>
        </is>
      </c>
      <c r="E299" s="44" t="inlineStr">
        <is>
          <t>Listed</t>
        </is>
      </c>
      <c r="F299" s="44" t="inlineStr">
        <is>
          <t>Method summary (AK)</t>
        </is>
      </c>
      <c r="G299" s="44" t="inlineStr">
        <is>
          <t>AK: …read redox potential down the core with a platinum elec…</t>
        </is>
      </c>
    </row>
    <row r="300">
      <c r="A300" s="44" t="inlineStr">
        <is>
          <t>grant_1995_hb141</t>
        </is>
      </c>
      <c r="B300" s="44" t="inlineStr">
        <is>
          <t>H&amp;B 1.4.1 — Sediment</t>
        </is>
      </c>
      <c r="C300" s="44" t="inlineStr">
        <is>
          <t>Protocol</t>
        </is>
      </c>
      <c r="D300" s="44" t="inlineStr">
        <is>
          <t>Benthic infauna community</t>
        </is>
      </c>
      <c r="E300" s="44" t="inlineStr">
        <is>
          <t>Not listed</t>
        </is>
      </c>
      <c r="F300" s="44" t="inlineStr">
        <is>
          <t>Source kit only — Equipment Type (N), not in the protocol</t>
        </is>
      </c>
      <c r="G300" s="44" t="inlineStr">
        <is>
          <t>N: grab/core + sieve + identification</t>
        </is>
      </c>
    </row>
    <row r="301">
      <c r="A301" s="44" t="inlineStr">
        <is>
          <t>grant_1995_hb141</t>
        </is>
      </c>
      <c r="B301" s="44" t="inlineStr">
        <is>
          <t>H&amp;B 1.4.1 — Sediment</t>
        </is>
      </c>
      <c r="C301" s="44" t="inlineStr">
        <is>
          <t>Protocol</t>
        </is>
      </c>
      <c r="D301" s="44" t="inlineStr">
        <is>
          <t>Biodeposition traps</t>
        </is>
      </c>
      <c r="E301" s="44" t="inlineStr">
        <is>
          <t>Not listed</t>
        </is>
      </c>
      <c r="F301" s="44" t="inlineStr">
        <is>
          <t>Only in a sentence about what the source found</t>
        </is>
      </c>
      <c r="G301" s="44" t="inlineStr">
        <is>
          <t>AK: …the source also used sediment traps, porewater sulphate and sulphide and sedime…</t>
        </is>
      </c>
    </row>
    <row r="302">
      <c r="A302" s="44" t="inlineStr">
        <is>
          <t>souchu_2001</t>
        </is>
      </c>
      <c r="B302" s="44" t="inlineStr">
        <is>
          <t>WQ 2.1.1 — Chlorophyll-a</t>
        </is>
      </c>
      <c r="C302" s="44" t="inlineStr">
        <is>
          <t>Protocol</t>
        </is>
      </c>
      <c r="D302" s="44" t="inlineStr">
        <is>
          <t>Chlorophyll-a (water)</t>
        </is>
      </c>
      <c r="E302" s="44" t="inlineStr">
        <is>
          <t>Listed</t>
        </is>
      </c>
      <c r="F302" s="44" t="inlineStr">
        <is>
          <t>Method summary (AK)</t>
        </is>
      </c>
      <c r="G302" s="44" t="inlineStr">
        <is>
          <t>AK: …trogen, phosphorus and silicon nutrients and chlorophyll-a (fluorometer) and identifying phytoplankto…</t>
        </is>
      </c>
    </row>
    <row r="303">
      <c r="A303" s="44" t="inlineStr">
        <is>
          <t>souchu_2001</t>
        </is>
      </c>
      <c r="B303" s="44" t="inlineStr">
        <is>
          <t>WQ 2.1.1 — Chlorophyll-a</t>
        </is>
      </c>
      <c r="C303" s="44" t="inlineStr">
        <is>
          <t>Protocol</t>
        </is>
      </c>
      <c r="D303" s="44" t="inlineStr">
        <is>
          <t>Phytoplankton community (microscopy)</t>
        </is>
      </c>
      <c r="E303" s="44" t="inlineStr">
        <is>
          <t>Listed</t>
        </is>
      </c>
      <c r="F303" s="44" t="inlineStr">
        <is>
          <t>Method summary (AK)</t>
        </is>
      </c>
      <c r="G303" s="44" t="inlineStr">
        <is>
          <t>AK: …luorometer) and identifying phytoplankton by microscopy.…</t>
        </is>
      </c>
    </row>
    <row r="304">
      <c r="A304" s="44" t="inlineStr">
        <is>
          <t>fernandeztejedor_2022</t>
        </is>
      </c>
      <c r="B304" s="44" t="inlineStr">
        <is>
          <t>WQ 2.1.1 — Chlorophyll-a</t>
        </is>
      </c>
      <c r="C304" s="44" t="inlineStr">
        <is>
          <t>Protocol</t>
        </is>
      </c>
      <c r="D304" s="44" t="inlineStr">
        <is>
          <t>Temperature / salinity</t>
        </is>
      </c>
      <c r="E304" s="44" t="inlineStr">
        <is>
          <t>Listed</t>
        </is>
      </c>
      <c r="F304" s="44" t="inlineStr">
        <is>
          <t>Method summary (AK)</t>
        </is>
      </c>
      <c r="G304" s="44" t="inlineStr">
        <is>
          <t>AK: …nd outside the bay, measure secchi depth and temperature/salinity profiles with a ctd, and collect wa…</t>
        </is>
      </c>
    </row>
    <row r="305">
      <c r="A305" s="44" t="inlineStr">
        <is>
          <t>fernandeztejedor_2022</t>
        </is>
      </c>
      <c r="B305" s="44" t="inlineStr">
        <is>
          <t>WQ 2.1.1 — Chlorophyll-a</t>
        </is>
      </c>
      <c r="C305" s="44" t="inlineStr">
        <is>
          <t>Protocol</t>
        </is>
      </c>
      <c r="D305" s="44" t="inlineStr">
        <is>
          <t>Water clarity / turbidity (Secchi)</t>
        </is>
      </c>
      <c r="E305" s="44" t="inlineStr">
        <is>
          <t>Listed</t>
        </is>
      </c>
      <c r="F305" s="44" t="inlineStr">
        <is>
          <t>Method summary (AK)</t>
        </is>
      </c>
      <c r="G305" s="44" t="inlineStr">
        <is>
          <t>AK: …stations inside and outside the bay, measure secchi depth and temperature/salinity profiles with…</t>
        </is>
      </c>
    </row>
    <row r="306">
      <c r="A306" s="44" t="inlineStr">
        <is>
          <t>fernandeztejedor_2022</t>
        </is>
      </c>
      <c r="B306" s="44" t="inlineStr">
        <is>
          <t>WQ 2.1.1 — Chlorophyll-a</t>
        </is>
      </c>
      <c r="C306" s="44" t="inlineStr">
        <is>
          <t>Protocol</t>
        </is>
      </c>
      <c r="D306" s="44" t="inlineStr">
        <is>
          <t>Size-fractionated pigments (HPLC)</t>
        </is>
      </c>
      <c r="E306" s="44" t="inlineStr">
        <is>
          <t>Not listed</t>
        </is>
      </c>
      <c r="F306" s="44" t="inlineStr">
        <is>
          <t>Source kit only — Equipment Type (N), not in the protocol</t>
        </is>
      </c>
      <c r="G306" s="44" t="inlineStr">
        <is>
          <t>N: … sentinel-3 imagery, in-situ chl-a sampling (hplc / fluorometer), gis / rs software…</t>
        </is>
      </c>
    </row>
    <row r="307">
      <c r="A307" s="44" t="inlineStr">
        <is>
          <t>fernandeztejedor_2022</t>
        </is>
      </c>
      <c r="B307" s="44" t="inlineStr">
        <is>
          <t>WQ 2.1.1 — Chlorophyll-a</t>
        </is>
      </c>
      <c r="C307" s="44" t="inlineStr">
        <is>
          <t>Protocol</t>
        </is>
      </c>
      <c r="D307" s="44" t="inlineStr">
        <is>
          <t>Satellite ocean colour (chl-a)</t>
        </is>
      </c>
      <c r="E307" s="44" t="inlineStr">
        <is>
          <t>Listed</t>
        </is>
      </c>
      <c r="F307" s="44" t="inlineStr">
        <is>
          <t>Method summary (AK)</t>
        </is>
      </c>
      <c r="G307" s="44" t="inlineStr">
        <is>
          <t>AK: …ophyll-a across a shellfish-farming bay from satellite, pair in-situ sampling with sentinel-2 image…</t>
        </is>
      </c>
    </row>
    <row r="308">
      <c r="A308" s="44" t="inlineStr">
        <is>
          <t>toro_1999</t>
        </is>
      </c>
      <c r="B308" s="44" t="inlineStr">
        <is>
          <t>WQ 2.1.1 — Chlorophyll-a</t>
        </is>
      </c>
      <c r="C308" s="44" t="inlineStr">
        <is>
          <t>Reference</t>
        </is>
      </c>
      <c r="D308" s="44" t="inlineStr">
        <is>
          <t>Suspended solids (TSS / SPM)</t>
        </is>
      </c>
      <c r="E308" s="44" t="inlineStr">
        <is>
          <t>Listed</t>
        </is>
      </c>
      <c r="F308" s="44" t="inlineStr">
        <is>
          <t>Method summary (AK)</t>
        </is>
      </c>
      <c r="G308" s="44" t="inlineStr">
        <is>
          <t>AK: …udy tracks seasonal phytoplankton community, seston and environmental variables at oyster cultur…</t>
        </is>
      </c>
    </row>
    <row r="309">
      <c r="A309" s="44" t="inlineStr">
        <is>
          <t>toro_1999</t>
        </is>
      </c>
      <c r="B309" s="44" t="inlineStr">
        <is>
          <t>WQ 2.1.1 — Chlorophyll-a</t>
        </is>
      </c>
      <c r="C309" s="44" t="inlineStr">
        <is>
          <t>Reference</t>
        </is>
      </c>
      <c r="D309" s="44" t="inlineStr">
        <is>
          <t>Phytoplankton community (microscopy)</t>
        </is>
      </c>
      <c r="E309" s="44" t="inlineStr">
        <is>
          <t>Listed</t>
        </is>
      </c>
      <c r="F309" s="44" t="inlineStr">
        <is>
          <t>Method summary (AK)</t>
        </is>
      </c>
      <c r="G309" s="44" t="inlineStr">
        <is>
          <t>AK: …s two-year descriptive study tracks seasonal phytoplankton community, seston and environmental variables at oyste…</t>
        </is>
      </c>
    </row>
    <row r="310">
      <c r="A310" s="44" t="inlineStr">
        <is>
          <t>walker_2009</t>
        </is>
      </c>
      <c r="B310" s="44" t="inlineStr">
        <is>
          <t>H&amp;B 1.4.1 — Sediment</t>
        </is>
      </c>
      <c r="C310" s="44" t="inlineStr">
        <is>
          <t>Protocol</t>
        </is>
      </c>
      <c r="D310" s="44" t="inlineStr">
        <is>
          <t>Grain size / particle size</t>
        </is>
      </c>
      <c r="E310" s="44" t="inlineStr">
        <is>
          <t>Listed</t>
        </is>
      </c>
      <c r="F310" s="44" t="inlineStr">
        <is>
          <t>Method summary (AK)</t>
        </is>
      </c>
      <c r="G310" s="44" t="inlineStr">
        <is>
          <t>AK: …uspended and deposited material, and analyse grain size.…</t>
        </is>
      </c>
    </row>
    <row r="311">
      <c r="A311" s="44" t="inlineStr">
        <is>
          <t>walker_2009</t>
        </is>
      </c>
      <c r="B311" s="44" t="inlineStr">
        <is>
          <t>H&amp;B 1.4.1 — Sediment</t>
        </is>
      </c>
      <c r="C311" s="44" t="inlineStr">
        <is>
          <t>Protocol</t>
        </is>
      </c>
      <c r="D311" s="44" t="inlineStr">
        <is>
          <t>Biodeposition traps</t>
        </is>
      </c>
      <c r="E311" s="44" t="inlineStr">
        <is>
          <t>Listed</t>
        </is>
      </c>
      <c r="F311" s="44" t="inlineStr">
        <is>
          <t>Method summary (AK)</t>
        </is>
      </c>
      <c r="G311" s="44" t="inlineStr">
        <is>
          <t>AK: …r stress and erosion rate of the bed, deploy sediment traps to capture resuspended and deposited materi…</t>
        </is>
      </c>
    </row>
    <row r="312">
      <c r="A312" s="44" t="inlineStr">
        <is>
          <t>walker_2009</t>
        </is>
      </c>
      <c r="B312" s="44" t="inlineStr">
        <is>
          <t>H&amp;B 1.4.1 — Sediment</t>
        </is>
      </c>
      <c r="C312" s="44" t="inlineStr">
        <is>
          <t>Protocol</t>
        </is>
      </c>
      <c r="D312" s="44" t="inlineStr">
        <is>
          <t>Bed stability / erosion</t>
        </is>
      </c>
      <c r="E312" s="44" t="inlineStr">
        <is>
          <t>Listed</t>
        </is>
      </c>
      <c r="F312" s="44" t="inlineStr">
        <is>
          <t>Method summary (AK)</t>
        </is>
      </c>
      <c r="G312" s="44" t="inlineStr">
        <is>
          <t>AK: …to measure sediment stability and resuspension under mussel gear, use an e…</t>
        </is>
      </c>
    </row>
    <row r="313">
      <c r="A313" s="44" t="inlineStr">
        <is>
          <t>silva_2019</t>
        </is>
      </c>
      <c r="B313" s="44" t="inlineStr">
        <is>
          <t>H&amp;B 1.4.1 — Sediment</t>
        </is>
      </c>
      <c r="C313" s="44" t="inlineStr">
        <is>
          <t>Protocol</t>
        </is>
      </c>
      <c r="D313" s="44" t="inlineStr">
        <is>
          <t>Biodeposition traps</t>
        </is>
      </c>
      <c r="E313" s="44" t="inlineStr">
        <is>
          <t>Listed</t>
        </is>
      </c>
      <c r="F313" s="44" t="inlineStr">
        <is>
          <t>Method summary (AK)</t>
        </is>
      </c>
      <c r="G313" s="44" t="inlineStr">
        <is>
          <t>AK: …odelling method for predicting where bivalve biodeposits (faeces and pseudofaeces) settle:…</t>
        </is>
      </c>
    </row>
    <row r="314">
      <c r="A314" s="44" t="inlineStr">
        <is>
          <t>silva_2019</t>
        </is>
      </c>
      <c r="B314" s="44" t="inlineStr">
        <is>
          <t>H&amp;B 1.4.1 — Sediment</t>
        </is>
      </c>
      <c r="C314" s="44" t="inlineStr">
        <is>
          <t>Protocol</t>
        </is>
      </c>
      <c r="D314" s="44" t="inlineStr">
        <is>
          <t>Hydrodynamic + particle tracking</t>
        </is>
      </c>
      <c r="E314" s="44" t="inlineStr">
        <is>
          <t>Listed</t>
        </is>
      </c>
      <c r="F314" s="44" t="inlineStr">
        <is>
          <t>Method summary (AK)</t>
        </is>
      </c>
      <c r="G314" s="44" t="inlineStr">
        <is>
          <t>AK: …couple a hydrodynamic model with lagrangian particle-tracking of settlin…</t>
        </is>
      </c>
    </row>
    <row r="315">
      <c r="A315" s="44" t="inlineStr">
        <is>
          <t>fernandez_2019</t>
        </is>
      </c>
      <c r="B315" s="44" t="inlineStr">
        <is>
          <t>WQ 1.2.1 — Dissolved oxygen</t>
        </is>
      </c>
      <c r="C315" s="44" t="inlineStr">
        <is>
          <t>Reference</t>
        </is>
      </c>
      <c r="D315" s="44" t="inlineStr">
        <is>
          <t>Dissolved oxygen</t>
        </is>
      </c>
      <c r="E315" s="44" t="inlineStr">
        <is>
          <t>Listed</t>
        </is>
      </c>
      <c r="F315" s="44" t="inlineStr">
        <is>
          <t>Method summary (AK)</t>
        </is>
      </c>
      <c r="G315" s="44" t="inlineStr">
        <is>
          <t>AK: …rming bivalves in an imta layout, monitoring dissolved oxygen alongside carbonate chemistry (ph, dic) and …</t>
        </is>
      </c>
    </row>
    <row r="316">
      <c r="A316" s="44" t="inlineStr">
        <is>
          <t>fernandez_2019</t>
        </is>
      </c>
      <c r="B316" s="44" t="inlineStr">
        <is>
          <t>WQ 1.2.1 — Dissolved oxygen</t>
        </is>
      </c>
      <c r="C316" s="44" t="inlineStr">
        <is>
          <t>Reference</t>
        </is>
      </c>
      <c r="D316" s="44" t="inlineStr">
        <is>
          <t>pH</t>
        </is>
      </c>
      <c r="E316" s="44" t="inlineStr">
        <is>
          <t>Listed</t>
        </is>
      </c>
      <c r="F316" s="44" t="inlineStr">
        <is>
          <t>Method summary (AK)</t>
        </is>
      </c>
      <c r="G316" s="44" t="inlineStr">
        <is>
          <t>AK: …solved oxygen alongside carbonate chemistry (ph, dic) and bivalve growth in paired treatment…</t>
        </is>
      </c>
    </row>
    <row r="317">
      <c r="A317" s="44" t="inlineStr">
        <is>
          <t>fernandez_2019</t>
        </is>
      </c>
      <c r="B317" s="44" t="inlineStr">
        <is>
          <t>WQ 1.2.1 — Dissolved oxygen</t>
        </is>
      </c>
      <c r="C317" s="44" t="inlineStr">
        <is>
          <t>Reference</t>
        </is>
      </c>
      <c r="D317" s="44" t="inlineStr">
        <is>
          <t>Carbonate system (pH / OA)</t>
        </is>
      </c>
      <c r="E317" s="44" t="inlineStr">
        <is>
          <t>Listed</t>
        </is>
      </c>
      <c r="F317" s="44" t="inlineStr">
        <is>
          <t>Method summary (AK)</t>
        </is>
      </c>
      <c r="G317" s="44" t="inlineStr">
        <is>
          <t>AK: … co-cultivated macroalgae can locally buffer acidification for shell-forming bivalves in an imta layout…</t>
        </is>
      </c>
    </row>
    <row r="318">
      <c r="A318" s="44" t="inlineStr">
        <is>
          <t>fernandez_2019</t>
        </is>
      </c>
      <c r="B318" s="44" t="inlineStr">
        <is>
          <t>WQ 1.2.1 — Dissolved oxygen</t>
        </is>
      </c>
      <c r="C318" s="44" t="inlineStr">
        <is>
          <t>Reference</t>
        </is>
      </c>
      <c r="D318" s="44" t="inlineStr">
        <is>
          <t>Bivalve condition index / growth</t>
        </is>
      </c>
      <c r="E318" s="44" t="inlineStr">
        <is>
          <t>Listed</t>
        </is>
      </c>
      <c r="F318" s="44" t="inlineStr">
        <is>
          <t>Method summary (AK)</t>
        </is>
      </c>
      <c r="G318" s="44" t="inlineStr">
        <is>
          <t>AK: …de carbonate chemistry (ph, dic) and bivalve growth in paired treatments.…</t>
        </is>
      </c>
    </row>
    <row r="319">
      <c r="A319" s="44" t="inlineStr">
        <is>
          <t>ferriss_2021_hb121</t>
        </is>
      </c>
      <c r="B319" s="44" t="inlineStr">
        <is>
          <t>H&amp;B 1.2.1 — Mobile fauna</t>
        </is>
      </c>
      <c r="C319" s="44" t="inlineStr">
        <is>
          <t>Protocol</t>
        </is>
      </c>
      <c r="D319" s="44" t="inlineStr">
        <is>
          <t>Time-lapse / GoPro cameras</t>
        </is>
      </c>
      <c r="E319" s="44" t="inlineStr">
        <is>
          <t>Listed</t>
        </is>
      </c>
      <c r="F319" s="44" t="inlineStr">
        <is>
          <t>Method summary (AK)</t>
        </is>
      </c>
      <c r="G319" s="44" t="inlineStr">
        <is>
          <t>AK: …he fish and crabs using your farm, mount two action cameras side by side on a pvc pole about 30 cm abov…</t>
        </is>
      </c>
    </row>
    <row r="320">
      <c r="A320" s="44" t="inlineStr">
        <is>
          <t>ferriss_2021_hb211</t>
        </is>
      </c>
      <c r="B320" s="44" t="inlineStr">
        <is>
          <t>H&amp;B 2.1.1 — Community composition</t>
        </is>
      </c>
      <c r="C320" s="44" t="inlineStr">
        <is>
          <t>Protocol</t>
        </is>
      </c>
      <c r="D320" s="44" t="inlineStr">
        <is>
          <t>Time-lapse / GoPro cameras</t>
        </is>
      </c>
      <c r="E320" s="44" t="inlineStr">
        <is>
          <t>Listed</t>
        </is>
      </c>
      <c r="F320" s="44" t="inlineStr">
        <is>
          <t>Method summary (AK)</t>
        </is>
      </c>
      <c r="G320" s="44" t="inlineStr">
        <is>
          <t>AK: …arm with nearby unfarmed habitat, set paired action cameras on pvc poles about 30 cm up, angled 20° at …</t>
        </is>
      </c>
    </row>
    <row r="321">
      <c r="A321" s="44" t="inlineStr">
        <is>
          <t>liu_2024_hb131</t>
        </is>
      </c>
      <c r="B321" s="44" t="inlineStr">
        <is>
          <t>H&amp;B 1.3.1 — Benthic infauna</t>
        </is>
      </c>
      <c r="C321" s="44" t="inlineStr">
        <is>
          <t>Protocol</t>
        </is>
      </c>
      <c r="D321" s="44" t="inlineStr">
        <is>
          <t>Benthic infauna community</t>
        </is>
      </c>
      <c r="E321" s="44" t="inlineStr">
        <is>
          <t>Listed</t>
        </is>
      </c>
      <c r="F321" s="44" t="inlineStr">
        <is>
          <t>Method summary (AK)</t>
        </is>
      </c>
      <c r="G321" s="44" t="inlineStr">
        <is>
          <t>AK: …ow shore - sieve them and record whether any animals are present…</t>
        </is>
      </c>
    </row>
    <row r="322">
      <c r="A322" s="44" t="inlineStr">
        <is>
          <t>liu_2024_hb141</t>
        </is>
      </c>
      <c r="B322" s="44" t="inlineStr">
        <is>
          <t>H&amp;B 1.4.1 — Sediment</t>
        </is>
      </c>
      <c r="C322" s="44" t="inlineStr">
        <is>
          <t>Protocol</t>
        </is>
      </c>
      <c r="D322" s="44" t="inlineStr">
        <is>
          <t>Temperature / salinity</t>
        </is>
      </c>
      <c r="E322" s="44" t="inlineStr">
        <is>
          <t>Not listed</t>
        </is>
      </c>
      <c r="F322" s="44" t="inlineStr">
        <is>
          <t>Source kit only — Equipment Type (N), not in the protocol</t>
        </is>
      </c>
      <c r="G322" s="44" t="inlineStr">
        <is>
          <t>N: …temperature loggers 5 cm above the sediment (context).…</t>
        </is>
      </c>
    </row>
    <row r="323">
      <c r="A323" s="44" t="inlineStr">
        <is>
          <t>liu_2024_hb141</t>
        </is>
      </c>
      <c r="B323" s="44" t="inlineStr">
        <is>
          <t>H&amp;B 1.4.1 — Sediment</t>
        </is>
      </c>
      <c r="C323" s="44" t="inlineStr">
        <is>
          <t>Protocol</t>
        </is>
      </c>
      <c r="D323" s="44" t="inlineStr">
        <is>
          <t>pH</t>
        </is>
      </c>
      <c r="E323" s="44" t="inlineStr">
        <is>
          <t>Listed</t>
        </is>
      </c>
      <c r="F323" s="44" t="inlineStr">
        <is>
          <t>Method summary (AK)</t>
        </is>
      </c>
      <c r="G323" s="44" t="inlineStr">
        <is>
          <t>AK: …middle and low shore and immediately measure ph and redox potential at the sediment surface …</t>
        </is>
      </c>
    </row>
    <row r="324">
      <c r="A324" s="44" t="inlineStr">
        <is>
          <t>liu_2024_hb141</t>
        </is>
      </c>
      <c r="B324" s="44" t="inlineStr">
        <is>
          <t>H&amp;B 1.4.1 — Sediment</t>
        </is>
      </c>
      <c r="C324" s="44" t="inlineStr">
        <is>
          <t>Protocol</t>
        </is>
      </c>
      <c r="D324" s="44" t="inlineStr">
        <is>
          <t>Continuous moored sensors</t>
        </is>
      </c>
      <c r="E324" s="44" t="inlineStr">
        <is>
          <t>Not listed</t>
        </is>
      </c>
      <c r="F324" s="44" t="inlineStr">
        <is>
          <t>Source kit only — Equipment Type (N), not in the protocol</t>
        </is>
      </c>
      <c r="G324" s="44" t="inlineStr">
        <is>
          <t>N: …temperature loggers 5 cm above the sediment (context).…</t>
        </is>
      </c>
    </row>
    <row r="325">
      <c r="A325" s="44" t="inlineStr">
        <is>
          <t>liu_2024_hb141</t>
        </is>
      </c>
      <c r="B325" s="44" t="inlineStr">
        <is>
          <t>H&amp;B 1.4.1 — Sediment</t>
        </is>
      </c>
      <c r="C325" s="44" t="inlineStr">
        <is>
          <t>Protocol</t>
        </is>
      </c>
      <c r="D325" s="44" t="inlineStr">
        <is>
          <t>Sediment chemistry (OC / TN / redox / AVS)</t>
        </is>
      </c>
      <c r="E325" s="44" t="inlineStr">
        <is>
          <t>Listed</t>
        </is>
      </c>
      <c r="F325" s="44" t="inlineStr">
        <is>
          <t>Method summary (AK)</t>
        </is>
      </c>
      <c r="G325" s="44" t="inlineStr">
        <is>
          <t>AK: …and low shore and immediately measure ph and redox potential at the sediment surface with a por…</t>
        </is>
      </c>
    </row>
    <row r="326">
      <c r="A326" s="44" t="inlineStr">
        <is>
          <t>liu_2024_hb141</t>
        </is>
      </c>
      <c r="B326" s="44" t="inlineStr">
        <is>
          <t>H&amp;B 1.4.1 — Sediment</t>
        </is>
      </c>
      <c r="C326" s="44" t="inlineStr">
        <is>
          <t>Protocol</t>
        </is>
      </c>
      <c r="D326" s="44" t="inlineStr">
        <is>
          <t>MOM-B condition survey</t>
        </is>
      </c>
      <c r="E326" s="44" t="inlineStr">
        <is>
          <t>Listed</t>
        </is>
      </c>
      <c r="F326" s="44" t="inlineStr">
        <is>
          <t>Method summary (AK)</t>
        </is>
      </c>
      <c r="G326" s="44" t="inlineStr">
        <is>
          <t>AK: …s and thickness of any sludge layer - on the mom-b sheet, combine them with the ph/redox score,…</t>
        </is>
      </c>
    </row>
    <row r="327">
      <c r="A327" s="44" t="inlineStr">
        <is>
          <t>liu_2024_wq211</t>
        </is>
      </c>
      <c r="B327" s="44" t="inlineStr">
        <is>
          <t>WQ 2.1.1 — Chlorophyll-a</t>
        </is>
      </c>
      <c r="C327" s="44" t="inlineStr">
        <is>
          <t>Protocol</t>
        </is>
      </c>
      <c r="D327" s="44" t="inlineStr">
        <is>
          <t>Chlorophyll-a (water)</t>
        </is>
      </c>
      <c r="E327" s="44" t="inlineStr">
        <is>
          <t>Listed</t>
        </is>
      </c>
      <c r="F327" s="44" t="inlineStr">
        <is>
          <t>Method summary (AK)</t>
        </is>
      </c>
      <c r="G327" s="44" t="inlineStr">
        <is>
          <t>AK: … small cells, and have a partner lab measure chlorophyll-a by fluorometry, summing fractions for the …</t>
        </is>
      </c>
    </row>
    <row r="328">
      <c r="A328" s="44" t="inlineStr">
        <is>
          <t>whiteley_2007_hb131</t>
        </is>
      </c>
      <c r="B328" s="44" t="inlineStr">
        <is>
          <t>H&amp;B 1.3.1 — Benthic infauna</t>
        </is>
      </c>
      <c r="C328" s="44" t="inlineStr">
        <is>
          <t>Protocol</t>
        </is>
      </c>
      <c r="D328" s="44" t="inlineStr">
        <is>
          <t>Grain size / particle size</t>
        </is>
      </c>
      <c r="E328" s="44" t="inlineStr">
        <is>
          <t>Not listed</t>
        </is>
      </c>
      <c r="F328" s="44" t="inlineStr">
        <is>
          <t>Source kit only — Equipment Type (N), not in the protocol</t>
        </is>
      </c>
      <c r="G328" s="44" t="inlineStr">
        <is>
          <t>N: …5 × 10 cm sediment cores wet-sieved for grain size.…</t>
        </is>
      </c>
    </row>
    <row r="329">
      <c r="A329" s="44" t="inlineStr">
        <is>
          <t>whiteley_2007_hb131</t>
        </is>
      </c>
      <c r="B329" s="44" t="inlineStr">
        <is>
          <t>H&amp;B 1.3.1 — Benthic infauna</t>
        </is>
      </c>
      <c r="C329" s="44" t="inlineStr">
        <is>
          <t>Protocol</t>
        </is>
      </c>
      <c r="D329" s="44" t="inlineStr">
        <is>
          <t>Benthic infauna community</t>
        </is>
      </c>
      <c r="E329" s="44" t="inlineStr">
        <is>
          <t>Listed</t>
        </is>
      </c>
      <c r="F329" s="44" t="inlineStr">
        <is>
          <t>Method summary (AK)</t>
        </is>
      </c>
      <c r="G329" s="44" t="inlineStr">
        <is>
          <t>AK: …bivalves only, which made up over 80% of the infauna on these coarse beaches…</t>
        </is>
      </c>
    </row>
    <row r="330">
      <c r="A330" s="44" t="inlineStr">
        <is>
          <t>whiteley_2007_hb211</t>
        </is>
      </c>
      <c r="B330" s="44" t="inlineStr">
        <is>
          <t>H&amp;B 2.1.1 — Community composition</t>
        </is>
      </c>
      <c r="C330" s="44" t="inlineStr">
        <is>
          <t>Protocol</t>
        </is>
      </c>
      <c r="D330" s="44" t="inlineStr">
        <is>
          <t>Grain size / particle size</t>
        </is>
      </c>
      <c r="E330" s="44" t="inlineStr">
        <is>
          <t>Not listed</t>
        </is>
      </c>
      <c r="F330" s="44" t="inlineStr">
        <is>
          <t>Source kit only — Equipment Type (N), not in the protocol</t>
        </is>
      </c>
      <c r="G330" s="44" t="inlineStr">
        <is>
          <t>N: …5 × 10 cm sediment cores wet-sieved for grain size.…</t>
        </is>
      </c>
    </row>
    <row r="331">
      <c r="A331" s="44" t="inlineStr">
        <is>
          <t>whiteley_2007_hb211</t>
        </is>
      </c>
      <c r="B331" s="44" t="inlineStr">
        <is>
          <t>H&amp;B 2.1.1 — Community composition</t>
        </is>
      </c>
      <c r="C331" s="44" t="inlineStr">
        <is>
          <t>Protocol</t>
        </is>
      </c>
      <c r="D331" s="44" t="inlineStr">
        <is>
          <t>Site exposure characterisation</t>
        </is>
      </c>
      <c r="E331" s="44" t="inlineStr">
        <is>
          <t>Listed</t>
        </is>
      </c>
      <c r="F331" s="44" t="inlineStr">
        <is>
          <t>Method summary (AK)</t>
        </is>
      </c>
      <c r="G331" s="44" t="inlineStr">
        <is>
          <t>AK: …our plots for sediment type, slope, size and wave exposure.…</t>
        </is>
      </c>
    </row>
    <row r="332">
      <c r="A332" s="44" t="inlineStr">
        <is>
          <t>zydelis_2009</t>
        </is>
      </c>
      <c r="B332" s="44" t="inlineStr">
        <is>
          <t>H&amp;B 1.2.1 — Mobile fauna</t>
        </is>
      </c>
      <c r="C332" s="44" t="inlineStr">
        <is>
          <t>Protocol</t>
        </is>
      </c>
      <c r="D332" s="44" t="inlineStr">
        <is>
          <t>Bird / shorebird counts</t>
        </is>
      </c>
      <c r="E332" s="44" t="inlineStr">
        <is>
          <t>Listed</t>
        </is>
      </c>
      <c r="F332" s="44" t="inlineStr">
        <is>
          <t>Method summary (AK)</t>
        </is>
      </c>
      <c r="G332" s="44" t="inlineStr">
        <is>
          <t>AK: …ish farm attracts diving sea ducks and other waterbirds, divide the shoreline out to about 250 m in…</t>
        </is>
      </c>
    </row>
    <row r="333">
      <c r="A333" s="44" t="inlineStr">
        <is>
          <t>maurin_2019_hb111</t>
        </is>
      </c>
      <c r="B333" s="44" t="inlineStr">
        <is>
          <t>H&amp;B 1.1.1 — Epibiota</t>
        </is>
      </c>
      <c r="C333" s="44" t="inlineStr">
        <is>
          <t>Protocol</t>
        </is>
      </c>
      <c r="D333" s="44" t="inlineStr">
        <is>
          <t>Temperature / salinity</t>
        </is>
      </c>
      <c r="E333" s="44" t="inlineStr">
        <is>
          <t>Not listed</t>
        </is>
      </c>
      <c r="F333" s="44" t="inlineStr">
        <is>
          <t>Source kit only — Equipment Type (N), not in the protocol</t>
        </is>
      </c>
      <c r="G333" s="44" t="inlineStr">
        <is>
          <t>N: …hobo temperature, onset dissolved-oxygen and salinity loggers…</t>
        </is>
      </c>
    </row>
    <row r="334">
      <c r="A334" s="44" t="inlineStr">
        <is>
          <t>maurin_2019_hb111</t>
        </is>
      </c>
      <c r="B334" s="44" t="inlineStr">
        <is>
          <t>H&amp;B 1.1.1 — Epibiota</t>
        </is>
      </c>
      <c r="C334" s="44" t="inlineStr">
        <is>
          <t>Protocol</t>
        </is>
      </c>
      <c r="D334" s="44" t="inlineStr">
        <is>
          <t>Continuous moored sensors</t>
        </is>
      </c>
      <c r="E334" s="44" t="inlineStr">
        <is>
          <t>Not listed</t>
        </is>
      </c>
      <c r="F334" s="44" t="inlineStr">
        <is>
          <t>Source kit only — Equipment Type (N), not in the protocol</t>
        </is>
      </c>
      <c r="G334" s="44" t="inlineStr">
        <is>
          <t>N: …erature, onset dissolved-oxygen and salinity loggers (context)…</t>
        </is>
      </c>
    </row>
    <row r="335">
      <c r="A335" s="44" t="inlineStr">
        <is>
          <t>maurin_2019_hb111</t>
        </is>
      </c>
      <c r="B335" s="44" t="inlineStr">
        <is>
          <t>H&amp;B 1.1.1 — Epibiota</t>
        </is>
      </c>
      <c r="C335" s="44" t="inlineStr">
        <is>
          <t>Protocol</t>
        </is>
      </c>
      <c r="D335" s="44" t="inlineStr">
        <is>
          <t>Benthic infauna community</t>
        </is>
      </c>
      <c r="E335" s="44" t="inlineStr">
        <is>
          <t>Not listed</t>
        </is>
      </c>
      <c r="F335" s="44" t="inlineStr">
        <is>
          <t>Source kit only — Equipment Type (N), not in the protocol</t>
        </is>
      </c>
      <c r="G335" s="44" t="inlineStr">
        <is>
          <t>N: …macrofauna counted, macroalgae wet-weighed by pigment …</t>
        </is>
      </c>
    </row>
    <row r="336">
      <c r="A336" s="44" t="inlineStr">
        <is>
          <t>maurin_2019_hb111</t>
        </is>
      </c>
      <c r="B336" s="44" t="inlineStr">
        <is>
          <t>H&amp;B 1.1.1 — Epibiota</t>
        </is>
      </c>
      <c r="C336" s="44" t="inlineStr">
        <is>
          <t>Protocol</t>
        </is>
      </c>
      <c r="D336" s="44" t="inlineStr">
        <is>
          <t>Biodeposition traps</t>
        </is>
      </c>
      <c r="E336" s="44" t="inlineStr">
        <is>
          <t>Not listed</t>
        </is>
      </c>
      <c r="F336" s="44" t="inlineStr">
        <is>
          <t>Source kit only — Equipment Type (N), not in the protocol</t>
        </is>
      </c>
      <c r="G336" s="44" t="inlineStr">
        <is>
          <t>N: …pvc sediment traps (biodeposition, 2016).…</t>
        </is>
      </c>
    </row>
    <row r="337">
      <c r="A337" s="44" t="inlineStr">
        <is>
          <t>maurin_2019_hb111</t>
        </is>
      </c>
      <c r="B337" s="44" t="inlineStr">
        <is>
          <t>H&amp;B 1.1.1 — Epibiota</t>
        </is>
      </c>
      <c r="C337" s="44" t="inlineStr">
        <is>
          <t>Protocol</t>
        </is>
      </c>
      <c r="D337" s="44" t="inlineStr">
        <is>
          <t>Epibiota on lines / structures</t>
        </is>
      </c>
      <c r="E337" s="44" t="inlineStr">
        <is>
          <t>Listed</t>
        </is>
      </c>
      <c r="F337" s="44" t="inlineStr">
        <is>
          <t>Method summary (AK)</t>
        </is>
      </c>
      <c r="G337" s="44" t="inlineStr">
        <is>
          <t>AK: …t grows on your farm gear, hold a 10 × 10 cm quadrat against the sunlit side of a float, or again…</t>
        </is>
      </c>
    </row>
    <row r="338">
      <c r="A338" s="44" t="inlineStr">
        <is>
          <t>maurin_2019_hb111</t>
        </is>
      </c>
      <c r="B338" s="44" t="inlineStr">
        <is>
          <t>H&amp;B 1.1.1 — Epibiota</t>
        </is>
      </c>
      <c r="C338" s="44" t="inlineStr">
        <is>
          <t>Protocol</t>
        </is>
      </c>
      <c r="D338" s="44" t="inlineStr">
        <is>
          <t>Stable isotopes (d13C / d15N)</t>
        </is>
      </c>
      <c r="E338" s="44" t="inlineStr">
        <is>
          <t>Not listed</t>
        </is>
      </c>
      <c r="F338" s="44" t="inlineStr">
        <is>
          <t>Source kit only — Equipment Type (N), not in the protocol</t>
        </is>
      </c>
      <c r="G338" s="44" t="inlineStr">
        <is>
          <t>N: …freeze-drying and ea-irms (uc davis stable isotope facility) for d13c/…</t>
        </is>
      </c>
    </row>
    <row r="339">
      <c r="A339" s="44" t="inlineStr">
        <is>
          <t>maurin_2019_hb211</t>
        </is>
      </c>
      <c r="B339" s="44" t="inlineStr">
        <is>
          <t>H&amp;B 2.1.1 — Community composition</t>
        </is>
      </c>
      <c r="C339" s="44" t="inlineStr">
        <is>
          <t>Protocol</t>
        </is>
      </c>
      <c r="D339" s="44" t="inlineStr">
        <is>
          <t>Temperature / salinity</t>
        </is>
      </c>
      <c r="E339" s="44" t="inlineStr">
        <is>
          <t>Not listed</t>
        </is>
      </c>
      <c r="F339" s="44" t="inlineStr">
        <is>
          <t>Source kit only — Equipment Type (N), not in the protocol</t>
        </is>
      </c>
      <c r="G339" s="44" t="inlineStr">
        <is>
          <t>N: …hobo temperature, onset dissolved-oxygen and salinity loggers…</t>
        </is>
      </c>
    </row>
    <row r="340">
      <c r="A340" s="44" t="inlineStr">
        <is>
          <t>maurin_2019_hb211</t>
        </is>
      </c>
      <c r="B340" s="44" t="inlineStr">
        <is>
          <t>H&amp;B 2.1.1 — Community composition</t>
        </is>
      </c>
      <c r="C340" s="44" t="inlineStr">
        <is>
          <t>Protocol</t>
        </is>
      </c>
      <c r="D340" s="44" t="inlineStr">
        <is>
          <t>Continuous moored sensors</t>
        </is>
      </c>
      <c r="E340" s="44" t="inlineStr">
        <is>
          <t>Not listed</t>
        </is>
      </c>
      <c r="F340" s="44" t="inlineStr">
        <is>
          <t>Source kit only — Equipment Type (N), not in the protocol</t>
        </is>
      </c>
      <c r="G340" s="44" t="inlineStr">
        <is>
          <t>N: …erature, onset dissolved-oxygen and salinity loggers (context)…</t>
        </is>
      </c>
    </row>
    <row r="341">
      <c r="A341" s="44" t="inlineStr">
        <is>
          <t>maurin_2019_hb211</t>
        </is>
      </c>
      <c r="B341" s="44" t="inlineStr">
        <is>
          <t>H&amp;B 2.1.1 — Community composition</t>
        </is>
      </c>
      <c r="C341" s="44" t="inlineStr">
        <is>
          <t>Protocol</t>
        </is>
      </c>
      <c r="D341" s="44" t="inlineStr">
        <is>
          <t>Benthic infauna community</t>
        </is>
      </c>
      <c r="E341" s="44" t="inlineStr">
        <is>
          <t>Not listed</t>
        </is>
      </c>
      <c r="F341" s="44" t="inlineStr">
        <is>
          <t>Source kit only — Equipment Type (N), not in the protocol</t>
        </is>
      </c>
      <c r="G341" s="44" t="inlineStr">
        <is>
          <t>N: …macrofauna counted, macroalgae wet-weighed by pigment …</t>
        </is>
      </c>
    </row>
    <row r="342">
      <c r="A342" s="44" t="inlineStr">
        <is>
          <t>maurin_2019_hb211</t>
        </is>
      </c>
      <c r="B342" s="44" t="inlineStr">
        <is>
          <t>H&amp;B 2.1.1 — Community composition</t>
        </is>
      </c>
      <c r="C342" s="44" t="inlineStr">
        <is>
          <t>Protocol</t>
        </is>
      </c>
      <c r="D342" s="44" t="inlineStr">
        <is>
          <t>Biodeposition traps</t>
        </is>
      </c>
      <c r="E342" s="44" t="inlineStr">
        <is>
          <t>Not listed</t>
        </is>
      </c>
      <c r="F342" s="44" t="inlineStr">
        <is>
          <t>Source kit only — Equipment Type (N), not in the protocol</t>
        </is>
      </c>
      <c r="G342" s="44" t="inlineStr">
        <is>
          <t>N: …pvc sediment traps (biodeposition, 2016).…</t>
        </is>
      </c>
    </row>
    <row r="343">
      <c r="A343" s="44" t="inlineStr">
        <is>
          <t>maurin_2019_hb211</t>
        </is>
      </c>
      <c r="B343" s="44" t="inlineStr">
        <is>
          <t>H&amp;B 2.1.1 — Community composition</t>
        </is>
      </c>
      <c r="C343" s="44" t="inlineStr">
        <is>
          <t>Protocol</t>
        </is>
      </c>
      <c r="D343" s="44" t="inlineStr">
        <is>
          <t>Epibiota on lines / structures</t>
        </is>
      </c>
      <c r="E343" s="44" t="inlineStr">
        <is>
          <t>Listed</t>
        </is>
      </c>
      <c r="F343" s="44" t="inlineStr">
        <is>
          <t>Method summary (AK)</t>
        </is>
      </c>
      <c r="G343" s="44" t="inlineStr">
        <is>
          <t>AK: …n, within a few days, scrape [10] 10 × 10 cm quadrats from the sunlit float surfaces just below t…</t>
        </is>
      </c>
    </row>
    <row r="344">
      <c r="A344" s="44" t="inlineStr">
        <is>
          <t>maurin_2019_hb211</t>
        </is>
      </c>
      <c r="B344" s="44" t="inlineStr">
        <is>
          <t>H&amp;B 2.1.1 — Community composition</t>
        </is>
      </c>
      <c r="C344" s="44" t="inlineStr">
        <is>
          <t>Protocol</t>
        </is>
      </c>
      <c r="D344" s="44" t="inlineStr">
        <is>
          <t>Stable isotopes (d13C / d15N)</t>
        </is>
      </c>
      <c r="E344" s="44" t="inlineStr">
        <is>
          <t>Not listed</t>
        </is>
      </c>
      <c r="F344" s="44" t="inlineStr">
        <is>
          <t>Source kit only — Equipment Type (N), not in the protocol</t>
        </is>
      </c>
      <c r="G344" s="44" t="inlineStr">
        <is>
          <t>N: …freeze-drying and ea-irms (uc davis stable isotope facility) for d13c/…</t>
        </is>
      </c>
    </row>
    <row r="345">
      <c r="A345" s="44" t="inlineStr">
        <is>
          <t>callier_2008_hb131</t>
        </is>
      </c>
      <c r="B345" s="44" t="inlineStr">
        <is>
          <t>H&amp;B 1.3.1 — Benthic infauna</t>
        </is>
      </c>
      <c r="C345" s="44" t="inlineStr">
        <is>
          <t>Protocol</t>
        </is>
      </c>
      <c r="D345" s="44" t="inlineStr">
        <is>
          <t>Benthic infauna community</t>
        </is>
      </c>
      <c r="E345" s="44" t="inlineStr">
        <is>
          <t>Listed</t>
        </is>
      </c>
      <c r="F345" s="44" t="inlineStr">
        <is>
          <t>Method summary (AK)</t>
        </is>
      </c>
      <c r="G345" s="44" t="inlineStr">
        <is>
          <t>AK: …to check how your mussel lines affect the animals living in the seabed, take [5] sediment cores (10 cm wide, 15 cm …</t>
        </is>
      </c>
    </row>
    <row r="346">
      <c r="A346" s="44" t="inlineStr">
        <is>
          <t>callier_2008_hb131</t>
        </is>
      </c>
      <c r="B346" s="44" t="inlineStr">
        <is>
          <t>H&amp;B 1.3.1 — Benthic infauna</t>
        </is>
      </c>
      <c r="C346" s="44" t="inlineStr">
        <is>
          <t>Protocol</t>
        </is>
      </c>
      <c r="D346" s="44" t="inlineStr">
        <is>
          <t>Sediment-profile imaging (SPI)</t>
        </is>
      </c>
      <c r="E346" s="44" t="inlineStr">
        <is>
          <t>Not listed</t>
        </is>
      </c>
      <c r="F346" s="44" t="inlineStr">
        <is>
          <t>Only in a sentence about what the source found</t>
        </is>
      </c>
      <c r="G346" s="44" t="inlineStr">
        <is>
          <t>AK: …ion - in the source, community structure and sediment profile images picked up farm effects more reliably …</t>
        </is>
      </c>
    </row>
    <row r="347">
      <c r="A347" s="44" t="inlineStr">
        <is>
          <t>callier_2008_hb141</t>
        </is>
      </c>
      <c r="B347" s="44" t="inlineStr">
        <is>
          <t>H&amp;B 1.4.1 — Sediment</t>
        </is>
      </c>
      <c r="C347" s="44" t="inlineStr">
        <is>
          <t>Protocol</t>
        </is>
      </c>
      <c r="D347" s="44" t="inlineStr">
        <is>
          <t>Grain size / particle size</t>
        </is>
      </c>
      <c r="E347" s="44" t="inlineStr">
        <is>
          <t>Listed</t>
        </is>
      </c>
      <c r="F347" s="44" t="inlineStr">
        <is>
          <t>Method summary (AK)</t>
        </is>
      </c>
      <c r="G347" s="44" t="inlineStr">
        <is>
          <t>AK: …ab for organic matter (loss on ignition) and grain size, and compare stations:…</t>
        </is>
      </c>
    </row>
    <row r="348">
      <c r="A348" s="44" t="inlineStr">
        <is>
          <t>callier_2008_hb141</t>
        </is>
      </c>
      <c r="B348" s="44" t="inlineStr">
        <is>
          <t>H&amp;B 1.4.1 — Sediment</t>
        </is>
      </c>
      <c r="C348" s="44" t="inlineStr">
        <is>
          <t>Protocol</t>
        </is>
      </c>
      <c r="D348" s="44" t="inlineStr">
        <is>
          <t>Sediment chemistry (OC / TN / redox / AVS)</t>
        </is>
      </c>
      <c r="E348" s="44" t="inlineStr">
        <is>
          <t>Listed</t>
        </is>
      </c>
      <c r="F348" s="44" t="inlineStr">
        <is>
          <t>Method summary (AK)</t>
        </is>
      </c>
      <c r="G348" s="44" t="inlineStr">
        <is>
          <t>AK: …higher organic matter and finer sediment under the lines signal en…</t>
        </is>
      </c>
    </row>
    <row r="349">
      <c r="A349" s="44" t="inlineStr">
        <is>
          <t>callier_2008_hb141</t>
        </is>
      </c>
      <c r="B349" s="44" t="inlineStr">
        <is>
          <t>H&amp;B 1.4.1 — Sediment</t>
        </is>
      </c>
      <c r="C349" s="44" t="inlineStr">
        <is>
          <t>Protocol</t>
        </is>
      </c>
      <c r="D349" s="44" t="inlineStr">
        <is>
          <t>Sediment-profile imaging (SPI)</t>
        </is>
      </c>
      <c r="E349" s="44" t="inlineStr">
        <is>
          <t>Not listed</t>
        </is>
      </c>
      <c r="F349" s="44" t="inlineStr">
        <is>
          <t>Source kit only — Equipment Type (N), not in the protocol</t>
        </is>
      </c>
      <c r="G349" s="44" t="inlineStr">
        <is>
          <t>N: …edge corer, camera and image-pro express for spi.…</t>
        </is>
      </c>
    </row>
    <row r="350">
      <c r="A350" s="44" t="inlineStr">
        <is>
          <t>mascordacabre_2024-b_hb121</t>
        </is>
      </c>
      <c r="B350" s="44" t="inlineStr">
        <is>
          <t>H&amp;B 1.2.1 — Mobile fauna</t>
        </is>
      </c>
      <c r="C350" s="44" t="inlineStr">
        <is>
          <t>Protocol</t>
        </is>
      </c>
      <c r="D350" s="44" t="inlineStr">
        <is>
          <t>Baited remote underwater video (BRUV)</t>
        </is>
      </c>
      <c r="E350" s="44" t="inlineStr">
        <is>
          <t>Listed</t>
        </is>
      </c>
      <c r="F350" s="44" t="inlineStr">
        <is>
          <t>Method summary (AK)</t>
        </is>
      </c>
      <c r="G350" s="44" t="inlineStr">
        <is>
          <t>AK: … and lobsters using your mussel farm, drop a baited underwater camera - an action camera and light on a weighted f…</t>
        </is>
      </c>
    </row>
    <row r="351">
      <c r="A351" s="44" t="inlineStr">
        <is>
          <t>mascordacabre_2024-b_hb121</t>
        </is>
      </c>
      <c r="B351" s="44" t="inlineStr">
        <is>
          <t>H&amp;B 1.2.1 — Mobile fauna</t>
        </is>
      </c>
      <c r="C351" s="44" t="inlineStr">
        <is>
          <t>Protocol</t>
        </is>
      </c>
      <c r="D351" s="44" t="inlineStr">
        <is>
          <t>Bivalve condition index / growth</t>
        </is>
      </c>
      <c r="E351" s="44" t="inlineStr">
        <is>
          <t>Listed</t>
        </is>
      </c>
      <c r="F351" s="44" t="inlineStr">
        <is>
          <t>Method summary (AK)</t>
        </is>
      </c>
      <c r="G351" s="44" t="inlineStr">
        <is>
          <t>AK: …ter camera - an action camera and light on a weighted frame, with [100] g of oily fish such as …</t>
        </is>
      </c>
    </row>
    <row r="352">
      <c r="A352" s="44" t="inlineStr">
        <is>
          <t>mascordacabre_2024-b_hb211</t>
        </is>
      </c>
      <c r="B352" s="44" t="inlineStr">
        <is>
          <t>H&amp;B 2.1.1 — Community composition</t>
        </is>
      </c>
      <c r="C352" s="44" t="inlineStr">
        <is>
          <t>Protocol</t>
        </is>
      </c>
      <c r="D352" s="44" t="inlineStr">
        <is>
          <t>Baited remote underwater video (BRUV)</t>
        </is>
      </c>
      <c r="E352" s="44" t="inlineStr">
        <is>
          <t>Listed</t>
        </is>
      </c>
      <c r="F352" s="44" t="inlineStr">
        <is>
          <t>Method summary (AK)</t>
        </is>
      </c>
      <c r="G352" s="44" t="inlineStr">
        <is>
          <t>AK: …ra drops of [45] minutes per area, scored as maxn for fish and crabs.…</t>
        </is>
      </c>
    </row>
    <row r="353">
      <c r="A353" s="44" t="inlineStr">
        <is>
          <t>mascordacabre_2024-b_hb211</t>
        </is>
      </c>
      <c r="B353" s="44" t="inlineStr">
        <is>
          <t>H&amp;B 2.1.1 — Community composition</t>
        </is>
      </c>
      <c r="C353" s="44" t="inlineStr">
        <is>
          <t>Protocol</t>
        </is>
      </c>
      <c r="D353" s="44" t="inlineStr">
        <is>
          <t>Towed video / ROV</t>
        </is>
      </c>
      <c r="E353" s="44" t="inlineStr">
        <is>
          <t>Listed</t>
        </is>
      </c>
      <c r="F353" s="44" t="inlineStr">
        <is>
          <t>Method summary (AK)</t>
        </is>
      </c>
      <c r="G353" s="44" t="inlineStr">
        <is>
          <t>AK: …in each area make [3] drop-down camera recordings of the seabed from a frame carryi…</t>
        </is>
      </c>
    </row>
    <row r="354">
      <c r="A354" s="44" t="inlineStr">
        <is>
          <t>mascordacabre_2024-b_hb211</t>
        </is>
      </c>
      <c r="B354" s="44" t="inlineStr">
        <is>
          <t>H&amp;B 2.1.1 — Community composition</t>
        </is>
      </c>
      <c r="C354" s="44" t="inlineStr">
        <is>
          <t>Protocol</t>
        </is>
      </c>
      <c r="D354" s="44" t="inlineStr">
        <is>
          <t>Nets &amp; baited traps</t>
        </is>
      </c>
      <c r="E354" s="44" t="inlineStr">
        <is>
          <t>Listed</t>
        </is>
      </c>
      <c r="F354" s="44" t="inlineStr">
        <is>
          <t>Method summary (AK)</t>
        </is>
      </c>
      <c r="G354" s="44" t="inlineStr">
        <is>
          <t>AK: …references trawled up to the farm edge differ partly because …</t>
        </is>
      </c>
    </row>
    <row r="355">
      <c r="A355" s="44" t="inlineStr">
        <is>
          <t>chan_2022_hb111</t>
        </is>
      </c>
      <c r="B355" s="44" t="inlineStr">
        <is>
          <t>H&amp;B 1.1.1 — Epibiota</t>
        </is>
      </c>
      <c r="C355" s="44" t="inlineStr">
        <is>
          <t>Protocol</t>
        </is>
      </c>
      <c r="D355" s="44" t="inlineStr">
        <is>
          <t>Benthic infauna community</t>
        </is>
      </c>
      <c r="E355" s="44" t="inlineStr">
        <is>
          <t>Listed</t>
        </is>
      </c>
      <c r="F355" s="44" t="inlineStr">
        <is>
          <t>Method summary (AK) — inferred from the overall procedure</t>
        </is>
      </c>
      <c r="G355" s="44" t="inlineStr">
        <is>
          <t>AK: grab/core + sieve + identification</t>
        </is>
      </c>
    </row>
    <row r="356">
      <c r="A356" s="44" t="inlineStr">
        <is>
          <t>chan_2022_hb111</t>
        </is>
      </c>
      <c r="B356" s="44" t="inlineStr">
        <is>
          <t>H&amp;B 1.1.1 — Epibiota</t>
        </is>
      </c>
      <c r="C356" s="44" t="inlineStr">
        <is>
          <t>Protocol</t>
        </is>
      </c>
      <c r="D356" s="44" t="inlineStr">
        <is>
          <t>Epibiota on lines / structures</t>
        </is>
      </c>
      <c r="E356" s="44" t="inlineStr">
        <is>
          <t>Listed</t>
        </is>
      </c>
      <c r="F356" s="44" t="inlineStr">
        <is>
          <t>Method summary (AK)</t>
        </is>
      </c>
      <c r="G356" s="44" t="inlineStr">
        <is>
          <t>AK: …re shell length, then pick or wash off every animal living on the live and dead shells, sieve the washings…</t>
        </is>
      </c>
    </row>
    <row r="357">
      <c r="A357" s="44" t="inlineStr">
        <is>
          <t>chan_2022_hb111</t>
        </is>
      </c>
      <c r="B357" s="44" t="inlineStr">
        <is>
          <t>H&amp;B 1.1.1 — Epibiota</t>
        </is>
      </c>
      <c r="C357" s="44" t="inlineStr">
        <is>
          <t>Protocol</t>
        </is>
      </c>
      <c r="D357" s="44" t="inlineStr">
        <is>
          <t>Bivalve condition index / growth</t>
        </is>
      </c>
      <c r="E357" s="44" t="inlineStr">
        <is>
          <t>Listed</t>
        </is>
      </c>
      <c r="F357" s="44" t="inlineStr">
        <is>
          <t>Method summary (AK) — inferred from the overall procedure</t>
        </is>
      </c>
      <c r="G357" s="44" t="inlineStr">
        <is>
          <t>AK: size of the stock (mollusc row)</t>
        </is>
      </c>
    </row>
    <row r="358">
      <c r="A358" s="44" t="inlineStr">
        <is>
          <t>chan_2022_hb131</t>
        </is>
      </c>
      <c r="B358" s="44" t="inlineStr">
        <is>
          <t>H&amp;B 1.3.1 — Benthic infauna</t>
        </is>
      </c>
      <c r="C358" s="44" t="inlineStr">
        <is>
          <t>Protocol</t>
        </is>
      </c>
      <c r="D358" s="44" t="inlineStr">
        <is>
          <t>Benthic infauna community</t>
        </is>
      </c>
      <c r="E358" s="44" t="inlineStr">
        <is>
          <t>Listed</t>
        </is>
      </c>
      <c r="F358" s="44" t="inlineStr">
        <is>
          <t>Method summary (AK) — inferred from the overall procedure</t>
        </is>
      </c>
      <c r="G358" s="44" t="inlineStr">
        <is>
          <t>AK: …udflat, but the mudflat was almost all small polychaetes and burrowing tube worms were twice as comm…</t>
        </is>
      </c>
    </row>
    <row r="359">
      <c r="A359" s="44" t="inlineStr">
        <is>
          <t>chan_2022_hb131</t>
        </is>
      </c>
      <c r="B359" s="44" t="inlineStr">
        <is>
          <t>H&amp;B 1.3.1 — Benthic infauna</t>
        </is>
      </c>
      <c r="C359" s="44" t="inlineStr">
        <is>
          <t>Protocol</t>
        </is>
      </c>
      <c r="D359" s="44" t="inlineStr">
        <is>
          <t>Bivalve condition index / growth</t>
        </is>
      </c>
      <c r="E359" s="44" t="inlineStr">
        <is>
          <t>Not listed</t>
        </is>
      </c>
      <c r="F359" s="44" t="inlineStr">
        <is>
          <t>Source kit only — Equipment Type (N), not in the protocol</t>
        </is>
      </c>
      <c r="G359" s="44" t="inlineStr">
        <is>
          <t>N: …dial callipers (oyster shell length to 0.1 mm)…</t>
        </is>
      </c>
    </row>
    <row r="360">
      <c r="A360" s="44" t="inlineStr">
        <is>
          <t>chan_2022_hb211</t>
        </is>
      </c>
      <c r="B360" s="44" t="inlineStr">
        <is>
          <t>H&amp;B 2.1.1 — Community composition</t>
        </is>
      </c>
      <c r="C360" s="44" t="inlineStr">
        <is>
          <t>Protocol</t>
        </is>
      </c>
      <c r="D360" s="44" t="inlineStr">
        <is>
          <t>Benthic infauna community</t>
        </is>
      </c>
      <c r="E360" s="44" t="inlineStr">
        <is>
          <t>Listed</t>
        </is>
      </c>
      <c r="F360" s="44" t="inlineStr">
        <is>
          <t>Method summary (AK) — inferred from the overall procedure</t>
        </is>
      </c>
      <c r="G360" s="44" t="inlineStr">
        <is>
          <t>AK: grab/core + sieve + identification</t>
        </is>
      </c>
    </row>
    <row r="361">
      <c r="A361" s="44" t="inlineStr">
        <is>
          <t>chan_2022_hb211</t>
        </is>
      </c>
      <c r="B361" s="44" t="inlineStr">
        <is>
          <t>H&amp;B 2.1.1 — Community composition</t>
        </is>
      </c>
      <c r="C361" s="44" t="inlineStr">
        <is>
          <t>Protocol</t>
        </is>
      </c>
      <c r="D361" s="44" t="inlineStr">
        <is>
          <t>Epibiota on lines / structures</t>
        </is>
      </c>
      <c r="E361" s="44" t="inlineStr">
        <is>
          <t>Listed</t>
        </is>
      </c>
      <c r="F361" s="44" t="inlineStr">
        <is>
          <t>Method summary (AK)</t>
        </is>
      </c>
      <c r="G361" s="44" t="inlineStr">
        <is>
          <t>AK: …in each quadrat strip the animals off the oyster shells, then take a 10 cm wide core 10 cm deep from…</t>
        </is>
      </c>
    </row>
    <row r="362">
      <c r="A362" s="44" t="inlineStr">
        <is>
          <t>chan_2022_hb211</t>
        </is>
      </c>
      <c r="B362" s="44" t="inlineStr">
        <is>
          <t>H&amp;B 2.1.1 — Community composition</t>
        </is>
      </c>
      <c r="C362" s="44" t="inlineStr">
        <is>
          <t>Protocol</t>
        </is>
      </c>
      <c r="D362" s="44" t="inlineStr">
        <is>
          <t>Bivalve condition index / growth</t>
        </is>
      </c>
      <c r="E362" s="44" t="inlineStr">
        <is>
          <t>Not listed</t>
        </is>
      </c>
      <c r="F362" s="44" t="inlineStr">
        <is>
          <t>Source kit only — Equipment Type (N), not in the protocol</t>
        </is>
      </c>
      <c r="G362" s="44" t="inlineStr">
        <is>
          <t>N: …dial callipers (oyster shell length to 0.1 mm)…</t>
        </is>
      </c>
    </row>
    <row r="363">
      <c r="A363" s="44" t="inlineStr">
        <is>
          <t>zhang_2009_hb131</t>
        </is>
      </c>
      <c r="B363" s="44" t="inlineStr">
        <is>
          <t>H&amp;B 1.3.1 — Benthic infauna</t>
        </is>
      </c>
      <c r="C363" s="44" t="inlineStr">
        <is>
          <t>Protocol</t>
        </is>
      </c>
      <c r="D363" s="44" t="inlineStr">
        <is>
          <t>Benthic infauna community</t>
        </is>
      </c>
      <c r="E363" s="44" t="inlineStr">
        <is>
          <t>Listed</t>
        </is>
      </c>
      <c r="F363" s="44" t="inlineStr">
        <is>
          <t>Method summary (AK)</t>
        </is>
      </c>
      <c r="G363" s="44" t="inlineStr">
        <is>
          <t>AK: …to check the bottom-living animals (infauna) under your farm, take [2] sedimen…</t>
        </is>
      </c>
    </row>
    <row r="364">
      <c r="A364" s="44" t="inlineStr">
        <is>
          <t>zhang_2009_hb141</t>
        </is>
      </c>
      <c r="B364" s="44" t="inlineStr">
        <is>
          <t>H&amp;B 1.4.1 — Sediment</t>
        </is>
      </c>
      <c r="C364" s="44" t="inlineStr">
        <is>
          <t>Protocol</t>
        </is>
      </c>
      <c r="D364" s="44" t="inlineStr">
        <is>
          <t>pH</t>
        </is>
      </c>
      <c r="E364" s="44" t="inlineStr">
        <is>
          <t>Listed</t>
        </is>
      </c>
      <c r="F364" s="44" t="inlineStr">
        <is>
          <t>Method summary (AK)</t>
        </is>
      </c>
      <c r="G364" s="44" t="inlineStr">
        <is>
          <t>AK: …in each sample measure ph and redox potential with a portable meter ab…</t>
        </is>
      </c>
    </row>
    <row r="365">
      <c r="A365" s="44" t="inlineStr">
        <is>
          <t>zhang_2009_hb141</t>
        </is>
      </c>
      <c r="B365" s="44" t="inlineStr">
        <is>
          <t>H&amp;B 1.4.1 — Sediment</t>
        </is>
      </c>
      <c r="C365" s="44" t="inlineStr">
        <is>
          <t>Protocol</t>
        </is>
      </c>
      <c r="D365" s="44" t="inlineStr">
        <is>
          <t>Sediment chemistry (OC / TN / redox / AVS)</t>
        </is>
      </c>
      <c r="E365" s="44" t="inlineStr">
        <is>
          <t>Listed</t>
        </is>
      </c>
      <c r="F365" s="44" t="inlineStr">
        <is>
          <t>Method summary (AK)</t>
        </is>
      </c>
      <c r="G365" s="44" t="inlineStr">
        <is>
          <t>AK: …in each sample measure ph and redox potential with a portable meter about 2 cm b…</t>
        </is>
      </c>
    </row>
    <row r="366">
      <c r="A366" s="44" t="inlineStr">
        <is>
          <t>zhang_2009_hb141</t>
        </is>
      </c>
      <c r="B366" s="44" t="inlineStr">
        <is>
          <t>H&amp;B 1.4.1 — Sediment</t>
        </is>
      </c>
      <c r="C366" s="44" t="inlineStr">
        <is>
          <t>Protocol</t>
        </is>
      </c>
      <c r="D366" s="44" t="inlineStr">
        <is>
          <t>MOM-B condition survey</t>
        </is>
      </c>
      <c r="E366" s="44" t="inlineStr">
        <is>
          <t>Listed</t>
        </is>
      </c>
      <c r="F366" s="44" t="inlineStr">
        <is>
          <t>Method summary (AK)</t>
        </is>
      </c>
      <c r="G366" s="44" t="inlineStr">
        <is>
          <t>AK: …ckness of any sludge layer - on the standard mom-b sheet.…</t>
        </is>
      </c>
    </row>
    <row r="367">
      <c r="A367" s="44" t="inlineStr">
        <is>
          <t>ping_2023_hb131</t>
        </is>
      </c>
      <c r="B367" s="44" t="inlineStr">
        <is>
          <t>H&amp;B 1.3.1 — Benthic infauna</t>
        </is>
      </c>
      <c r="C367" s="44" t="inlineStr">
        <is>
          <t>Protocol</t>
        </is>
      </c>
      <c r="D367" s="44" t="inlineStr">
        <is>
          <t>Benthic infauna community</t>
        </is>
      </c>
      <c r="E367" s="44" t="inlineStr">
        <is>
          <t>Listed</t>
        </is>
      </c>
      <c r="F367" s="44" t="inlineStr">
        <is>
          <t>Method summary (AK)</t>
        </is>
      </c>
      <c r="G367" s="44" t="inlineStr">
        <is>
          <t>AK: …ck how your oyster rafts or lines affect the animals living in the seabed, take [3] grabs of known area (the source us…</t>
        </is>
      </c>
    </row>
    <row r="368">
      <c r="A368" s="44" t="inlineStr">
        <is>
          <t>ping_2023_hb131</t>
        </is>
      </c>
      <c r="B368" s="44" t="inlineStr">
        <is>
          <t>H&amp;B 1.3.1 — Benthic infauna</t>
        </is>
      </c>
      <c r="C368" s="44" t="inlineStr">
        <is>
          <t>Protocol</t>
        </is>
      </c>
      <c r="D368" s="44" t="inlineStr">
        <is>
          <t>Bivalve condition index / growth</t>
        </is>
      </c>
      <c r="E368" s="44" t="inlineStr">
        <is>
          <t>Not listed</t>
        </is>
      </c>
      <c r="F368" s="44" t="inlineStr">
        <is>
          <t>Source kit only — Equipment Type (N), not in the protocol</t>
        </is>
      </c>
      <c r="G368" s="44" t="inlineStr">
        <is>
          <t>N: …vernier calipers and balance for ark shell length and wet we…</t>
        </is>
      </c>
    </row>
    <row r="369">
      <c r="A369" s="44" t="inlineStr">
        <is>
          <t>ping_2023_hb141</t>
        </is>
      </c>
      <c r="B369" s="44" t="inlineStr">
        <is>
          <t>H&amp;B 1.4.1 — Sediment</t>
        </is>
      </c>
      <c r="C369" s="44" t="inlineStr">
        <is>
          <t>Protocol</t>
        </is>
      </c>
      <c r="D369" s="44" t="inlineStr">
        <is>
          <t>Grain size / particle size</t>
        </is>
      </c>
      <c r="E369" s="44" t="inlineStr">
        <is>
          <t>Not listed</t>
        </is>
      </c>
      <c r="F369" s="44" t="inlineStr">
        <is>
          <t>Source kit only — Equipment Type (N), not in the protocol</t>
        </is>
      </c>
      <c r="G369" s="44" t="inlineStr">
        <is>
          <t>N: …malvern laser particle-size analyser…</t>
        </is>
      </c>
    </row>
    <row r="370">
      <c r="A370" s="44" t="inlineStr">
        <is>
          <t>ping_2023_hb141</t>
        </is>
      </c>
      <c r="B370" s="44" t="inlineStr">
        <is>
          <t>H&amp;B 1.4.1 — Sediment</t>
        </is>
      </c>
      <c r="C370" s="44" t="inlineStr">
        <is>
          <t>Protocol</t>
        </is>
      </c>
      <c r="D370" s="44" t="inlineStr">
        <is>
          <t>Sediment chemistry (OC / TN / redox / AVS)</t>
        </is>
      </c>
      <c r="E370" s="44" t="inlineStr">
        <is>
          <t>Listed</t>
        </is>
      </c>
      <c r="F370" s="44" t="inlineStr">
        <is>
          <t>Method summary (AK)</t>
        </is>
      </c>
      <c r="G370" s="44" t="inlineStr">
        <is>
          <t>AK: …f possible) and send it to a partner lab for acid-volatile sulphide (avs) and total organic carbon…</t>
        </is>
      </c>
    </row>
    <row r="371">
      <c r="A371" s="44" t="inlineStr">
        <is>
          <t>outinen_2019_hb111</t>
        </is>
      </c>
      <c r="B371" s="44" t="inlineStr">
        <is>
          <t>H&amp;B 1.1.1 — Epibiota</t>
        </is>
      </c>
      <c r="C371" s="44" t="inlineStr">
        <is>
          <t>Protocol</t>
        </is>
      </c>
      <c r="D371" s="44" t="inlineStr">
        <is>
          <t>Epibiota on lines / structures</t>
        </is>
      </c>
      <c r="E371" s="44" t="inlineStr">
        <is>
          <t>Listed</t>
        </is>
      </c>
      <c r="F371" s="44" t="inlineStr">
        <is>
          <t>Method summary (AK)</t>
        </is>
      </c>
      <c r="G371" s="44" t="inlineStr">
        <is>
          <t>AK: …a partner lab identifies all organisms and estimates their cover from [5] random squares of a 100-square grid…</t>
        </is>
      </c>
    </row>
    <row r="372">
      <c r="A372" s="44" t="inlineStr">
        <is>
          <t>outinen_2019_hb111</t>
        </is>
      </c>
      <c r="B372" s="44" t="inlineStr">
        <is>
          <t>H&amp;B 1.1.1 — Epibiota</t>
        </is>
      </c>
      <c r="C372" s="44" t="inlineStr">
        <is>
          <t>Protocol</t>
        </is>
      </c>
      <c r="D372" s="44" t="inlineStr">
        <is>
          <t>Settlement plates / artificial substrata</t>
        </is>
      </c>
      <c r="E372" s="44" t="inlineStr">
        <is>
          <t>Listed</t>
        </is>
      </c>
      <c r="F372" s="44" t="inlineStr">
        <is>
          <t>Method summary (AK)</t>
        </is>
      </c>
      <c r="G372" s="44" t="inlineStr">
        <is>
          <t>AK: …to track what settles on surfaces at your farm, including non-nati…</t>
        </is>
      </c>
    </row>
    <row r="373">
      <c r="A373" s="44" t="inlineStr">
        <is>
          <t>outinen_2019_hb121</t>
        </is>
      </c>
      <c r="B373" s="44" t="inlineStr">
        <is>
          <t>H&amp;B 1.2.1 — Mobile fauna</t>
        </is>
      </c>
      <c r="C373" s="44" t="inlineStr">
        <is>
          <t>Protocol</t>
        </is>
      </c>
      <c r="D373" s="44" t="inlineStr">
        <is>
          <t>Epifauna on crop / rope</t>
        </is>
      </c>
      <c r="E373" s="44" t="inlineStr">
        <is>
          <t>Listed</t>
        </is>
      </c>
      <c r="F373" s="44" t="inlineStr">
        <is>
          <t>Method summary (AK)</t>
        </is>
      </c>
      <c r="G373" s="44" t="inlineStr">
        <is>
          <t>AK: …h a field guide (sending hard groups such as amphipods for checking), and return the gear to the s…</t>
        </is>
      </c>
    </row>
    <row r="374">
      <c r="A374" s="44" t="inlineStr">
        <is>
          <t>outinen_2019_hb121</t>
        </is>
      </c>
      <c r="B374" s="44" t="inlineStr">
        <is>
          <t>H&amp;B 1.2.1 — Mobile fauna</t>
        </is>
      </c>
      <c r="C374" s="44" t="inlineStr">
        <is>
          <t>Protocol</t>
        </is>
      </c>
      <c r="D374" s="44" t="inlineStr">
        <is>
          <t>Nets &amp; baited traps</t>
        </is>
      </c>
      <c r="E374" s="44" t="inlineStr">
        <is>
          <t>Not listed</t>
        </is>
      </c>
      <c r="F374" s="44" t="inlineStr">
        <is>
          <t>Source kit only — Equipment Type (N), not in the protocol</t>
        </is>
      </c>
      <c r="G374" s="44" t="inlineStr">
        <is>
          <t>N: …gee's minnow traps (6.4 mm mesh) and goby traps…</t>
        </is>
      </c>
    </row>
    <row r="375">
      <c r="A375" s="44" t="inlineStr">
        <is>
          <t>sun_2021_hb131</t>
        </is>
      </c>
      <c r="B375" s="44" t="inlineStr">
        <is>
          <t>H&amp;B 1.3.1 — Benthic infauna</t>
        </is>
      </c>
      <c r="C375" s="44" t="inlineStr">
        <is>
          <t>Protocol</t>
        </is>
      </c>
      <c r="D375" s="44" t="inlineStr">
        <is>
          <t>Benthic infauna community</t>
        </is>
      </c>
      <c r="E375" s="44" t="inlineStr">
        <is>
          <t>Listed</t>
        </is>
      </c>
      <c r="F375" s="44" t="inlineStr">
        <is>
          <t>Method summary (AK)</t>
        </is>
      </c>
      <c r="G375" s="44" t="inlineStr">
        <is>
          <t>AK: …to check how your shellfish farm affects the animals living in the seabed, take [3] grabs of known area (the source us…</t>
        </is>
      </c>
    </row>
    <row r="376">
      <c r="A376" s="44" t="inlineStr">
        <is>
          <t>sun_2021_hb211</t>
        </is>
      </c>
      <c r="B376" s="44" t="inlineStr">
        <is>
          <t>H&amp;B 2.1.1 — Community composition</t>
        </is>
      </c>
      <c r="C376" s="44" t="inlineStr">
        <is>
          <t>Protocol</t>
        </is>
      </c>
      <c r="D376" s="44" t="inlineStr">
        <is>
          <t>Benthic infauna community</t>
        </is>
      </c>
      <c r="E376" s="44" t="inlineStr">
        <is>
          <t>Listed</t>
        </is>
      </c>
      <c r="F376" s="44" t="inlineStr">
        <is>
          <t>Method summary (AK)</t>
        </is>
      </c>
      <c r="G376" s="44" t="inlineStr">
        <is>
          <t>AK: …to compare the seabed community at your farm with unfarmed seabed nearby, t…</t>
        </is>
      </c>
    </row>
    <row r="377">
      <c r="A377" s="44" t="inlineStr">
        <is>
          <t>bridger_2022_hb121</t>
        </is>
      </c>
      <c r="B377" s="44" t="inlineStr">
        <is>
          <t>H&amp;B 1.2.1 — Mobile fauna</t>
        </is>
      </c>
      <c r="C377" s="44" t="inlineStr">
        <is>
          <t>Protocol</t>
        </is>
      </c>
      <c r="D377" s="44" t="inlineStr">
        <is>
          <t>Baited remote underwater video (BRUV)</t>
        </is>
      </c>
      <c r="E377" s="44" t="inlineStr">
        <is>
          <t>Listed</t>
        </is>
      </c>
      <c r="F377" s="44" t="inlineStr">
        <is>
          <t>Method summary (AK)</t>
        </is>
      </c>
      <c r="G377" s="44" t="inlineStr">
        <is>
          <t>AK: …rm attracts fish, crabs and lobsters, drop a baited underwater camera ([100] g of oily fish such as mackerel in a …</t>
        </is>
      </c>
    </row>
    <row r="378">
      <c r="A378" s="44" t="inlineStr">
        <is>
          <t>bridger_2022_hb211</t>
        </is>
      </c>
      <c r="B378" s="44" t="inlineStr">
        <is>
          <t>H&amp;B 2.1.1 — Community composition</t>
        </is>
      </c>
      <c r="C378" s="44" t="inlineStr">
        <is>
          <t>Protocol</t>
        </is>
      </c>
      <c r="D378" s="44" t="inlineStr">
        <is>
          <t>Benthic infauna community</t>
        </is>
      </c>
      <c r="E378" s="44" t="inlineStr">
        <is>
          <t>Listed</t>
        </is>
      </c>
      <c r="F378" s="44" t="inlineStr">
        <is>
          <t>Method summary (AK)</t>
        </is>
      </c>
      <c r="G378" s="44" t="inlineStr">
        <is>
          <t>AK: …to compare the seabed community under your mussel farm with nearby unfarmed…</t>
        </is>
      </c>
    </row>
    <row r="379">
      <c r="A379" s="44" t="inlineStr">
        <is>
          <t>bridger_2022_hb211</t>
        </is>
      </c>
      <c r="B379" s="44" t="inlineStr">
        <is>
          <t>H&amp;B 2.1.1 — Community composition</t>
        </is>
      </c>
      <c r="C379" s="44" t="inlineStr">
        <is>
          <t>Protocol</t>
        </is>
      </c>
      <c r="D379" s="44" t="inlineStr">
        <is>
          <t>Baited remote underwater video (BRUV)</t>
        </is>
      </c>
      <c r="E379" s="44" t="inlineStr">
        <is>
          <t>Listed</t>
        </is>
      </c>
      <c r="F379" s="44" t="inlineStr">
        <is>
          <t>Method summary (AK)</t>
        </is>
      </c>
      <c r="G379" s="44" t="inlineStr">
        <is>
          <t>AK: … baited-camera drops of 40 minutes scored as maxn for mobile species.…</t>
        </is>
      </c>
    </row>
    <row r="380">
      <c r="A380" s="44" t="inlineStr">
        <is>
          <t>bridger_2022_hb211</t>
        </is>
      </c>
      <c r="B380" s="44" t="inlineStr">
        <is>
          <t>H&amp;B 2.1.1 — Community composition</t>
        </is>
      </c>
      <c r="C380" s="44" t="inlineStr">
        <is>
          <t>Protocol</t>
        </is>
      </c>
      <c r="D380" s="44" t="inlineStr">
        <is>
          <t>Towed video / ROV</t>
        </is>
      </c>
      <c r="E380" s="44" t="inlineStr">
        <is>
          <t>Listed</t>
        </is>
      </c>
      <c r="F380" s="44" t="inlineStr">
        <is>
          <t>Method summary (AK)</t>
        </is>
      </c>
      <c r="G380" s="44" t="inlineStr">
        <is>
          <t>AK: …in each area make [3] drop-down camera recordings of the seabed (frame with scaling…</t>
        </is>
      </c>
    </row>
    <row r="381">
      <c r="A381" s="44" t="inlineStr">
        <is>
          <t>bridger_2022_hb211</t>
        </is>
      </c>
      <c r="B381" s="44" t="inlineStr">
        <is>
          <t>H&amp;B 2.1.1 — Community composition</t>
        </is>
      </c>
      <c r="C381" s="44" t="inlineStr">
        <is>
          <t>Protocol</t>
        </is>
      </c>
      <c r="D381" s="44" t="inlineStr">
        <is>
          <t>Nets &amp; baited traps</t>
        </is>
      </c>
      <c r="E381" s="44" t="inlineStr">
        <is>
          <t>Listed</t>
        </is>
      </c>
      <c r="F381" s="44" t="inlineStr">
        <is>
          <t>Method summary (AK)</t>
        </is>
      </c>
      <c r="G381" s="44" t="inlineStr">
        <is>
          <t>AK: …controls open to trawling or dredging will differ partly because th…</t>
        </is>
      </c>
    </row>
    <row r="382">
      <c r="A382" s="44" t="inlineStr">
        <is>
          <t>pedro_2026_wq121</t>
        </is>
      </c>
      <c r="B382" s="44" t="inlineStr">
        <is>
          <t>WQ 1.2.1 — Dissolved oxygen</t>
        </is>
      </c>
      <c r="C382" s="44" t="inlineStr">
        <is>
          <t>Protocol</t>
        </is>
      </c>
      <c r="D382" s="44" t="inlineStr">
        <is>
          <t>Temperature / salinity</t>
        </is>
      </c>
      <c r="E382" s="44" t="inlineStr">
        <is>
          <t>Listed</t>
        </is>
      </c>
      <c r="F382" s="44" t="inlineStr">
        <is>
          <t>Method summary (AK)</t>
        </is>
      </c>
      <c r="G382" s="44" t="inlineStr">
        <is>
          <t>AK: … same water body, once per season, recording temperature and salinity alongside.…</t>
        </is>
      </c>
    </row>
    <row r="383">
      <c r="A383" s="44" t="inlineStr">
        <is>
          <t>pedro_2026_wq121</t>
        </is>
      </c>
      <c r="B383" s="44" t="inlineStr">
        <is>
          <t>WQ 1.2.1 — Dissolved oxygen</t>
        </is>
      </c>
      <c r="C383" s="44" t="inlineStr">
        <is>
          <t>Protocol</t>
        </is>
      </c>
      <c r="D383" s="44" t="inlineStr">
        <is>
          <t>Dissolved oxygen</t>
        </is>
      </c>
      <c r="E383" s="44" t="inlineStr">
        <is>
          <t>Listed</t>
        </is>
      </c>
      <c r="F383" s="44" t="inlineStr">
        <is>
          <t>Method summary (AK)</t>
        </is>
      </c>
      <c r="G383" s="44" t="inlineStr">
        <is>
          <t>AK: …to track dissolved oxygen in your shellfish growing area, read surface…</t>
        </is>
      </c>
    </row>
    <row r="384">
      <c r="A384" s="44" t="inlineStr">
        <is>
          <t>pedro_2026_wq121</t>
        </is>
      </c>
      <c r="B384" s="44" t="inlineStr">
        <is>
          <t>WQ 1.2.1 — Dissolved oxygen</t>
        </is>
      </c>
      <c r="C384" s="44" t="inlineStr">
        <is>
          <t>Protocol</t>
        </is>
      </c>
      <c r="D384" s="44" t="inlineStr">
        <is>
          <t>pH</t>
        </is>
      </c>
      <c r="E384" s="44" t="inlineStr">
        <is>
          <t>Not listed</t>
        </is>
      </c>
      <c r="F384" s="44" t="inlineStr">
        <is>
          <t>Source kit only — Equipment Type (N), not in the protocol</t>
        </is>
      </c>
      <c r="G384" s="44" t="inlineStr">
        <is>
          <t>N: …hanna hi98192 probe for temperature and ph in situ…</t>
        </is>
      </c>
    </row>
    <row r="385">
      <c r="A385" s="44" t="inlineStr">
        <is>
          <t>maar_2024</t>
        </is>
      </c>
      <c r="B385" s="44" t="inlineStr">
        <is>
          <t>WQ 1.2.1 — Dissolved oxygen, WQ 2.1.1 — Chlorophyll-a</t>
        </is>
      </c>
      <c r="C385" s="44" t="inlineStr">
        <is>
          <t>Reference</t>
        </is>
      </c>
      <c r="D385" s="44" t="inlineStr">
        <is>
          <t>Dissolved oxygen</t>
        </is>
      </c>
      <c r="E385" s="44" t="inlineStr">
        <is>
          <t>Not listed</t>
        </is>
      </c>
      <c r="F385" s="44" t="inlineStr">
        <is>
          <t>Review / framework reference (no procedure)</t>
        </is>
      </c>
      <c r="G385" s="44" t="inlineStr">
        <is>
          <t>AK: …module) applied to project chlorophyll-a and dissolved oxygen for a shallow eutrophic estuary under climat…</t>
        </is>
      </c>
    </row>
    <row r="386">
      <c r="A386" s="44" t="inlineStr">
        <is>
          <t>maar_2024</t>
        </is>
      </c>
      <c r="B386" s="44" t="inlineStr">
        <is>
          <t>WQ 1.2.1 — Dissolved oxygen, WQ 2.1.1 — Chlorophyll-a</t>
        </is>
      </c>
      <c r="C386" s="44" t="inlineStr">
        <is>
          <t>Reference</t>
        </is>
      </c>
      <c r="D386" s="44" t="inlineStr">
        <is>
          <t>Sediment chemistry (OC / TN / redox / AVS)</t>
        </is>
      </c>
      <c r="E386" s="44" t="inlineStr">
        <is>
          <t>Not listed</t>
        </is>
      </c>
      <c r="F386" s="44" t="inlineStr">
        <is>
          <t>Review / framework reference (no procedure)</t>
        </is>
      </c>
      <c r="G386" s="44" t="inlineStr">
        <is>
          <t>AK: …rgy-budget mussel module) applied to project chlorophyll-a and dissolved oxygen for a shallow eutroph…</t>
        </is>
      </c>
    </row>
    <row r="387">
      <c r="A387" s="44" t="inlineStr">
        <is>
          <t>maar_2024</t>
        </is>
      </c>
      <c r="B387" s="44" t="inlineStr">
        <is>
          <t>WQ 1.2.1 — Dissolved oxygen, WQ 2.1.1 — Chlorophyll-a</t>
        </is>
      </c>
      <c r="C387" s="44" t="inlineStr">
        <is>
          <t>Reference</t>
        </is>
      </c>
      <c r="D387" s="44" t="inlineStr">
        <is>
          <t>Coupled biogeochemical / DEB model</t>
        </is>
      </c>
      <c r="E387" s="44" t="inlineStr">
        <is>
          <t>Not listed</t>
        </is>
      </c>
      <c r="F387" s="44" t="inlineStr">
        <is>
          <t>Review / framework reference (no procedure)</t>
        </is>
      </c>
      <c r="G387" s="44" t="inlineStr">
        <is>
          <t>AK: …geochemistry, a sediment-benthos model and a dynamic-energy-budget mussel module) applied to project chlorophyl…</t>
        </is>
      </c>
    </row>
    <row r="388">
      <c r="A388" s="44" t="inlineStr">
        <is>
          <t>bergquist_2009_wq121</t>
        </is>
      </c>
      <c r="B388" s="44" t="inlineStr">
        <is>
          <t>WQ 1.2.1 — Dissolved oxygen</t>
        </is>
      </c>
      <c r="C388" s="44" t="inlineStr">
        <is>
          <t>Protocol</t>
        </is>
      </c>
      <c r="D388" s="44" t="inlineStr">
        <is>
          <t>Temperature / salinity</t>
        </is>
      </c>
      <c r="E388" s="44" t="inlineStr">
        <is>
          <t>Not listed</t>
        </is>
      </c>
      <c r="F388" s="44" t="inlineStr">
        <is>
          <t>Source kit only — Equipment Type (N), not in the protocol</t>
        </is>
      </c>
      <c r="G388" s="44" t="inlineStr">
        <is>
          <t>N: …d-pulse do, wiped chlorophyll and turbidity, temperature/conductivity and depth sensors) in a 20 cm p…</t>
        </is>
      </c>
    </row>
    <row r="389">
      <c r="A389" s="44" t="inlineStr">
        <is>
          <t>bergquist_2009_wq121</t>
        </is>
      </c>
      <c r="B389" s="44" t="inlineStr">
        <is>
          <t>WQ 1.2.1 — Dissolved oxygen</t>
        </is>
      </c>
      <c r="C389" s="44" t="inlineStr">
        <is>
          <t>Protocol</t>
        </is>
      </c>
      <c r="D389" s="44" t="inlineStr">
        <is>
          <t>Dissolved oxygen</t>
        </is>
      </c>
      <c r="E389" s="44" t="inlineStr">
        <is>
          <t>Listed</t>
        </is>
      </c>
      <c r="F389" s="44" t="inlineStr">
        <is>
          <t>Method summary (AK)</t>
        </is>
      </c>
      <c r="G389" s="44" t="inlineStr">
        <is>
          <t>AK: …to keep a continuous record of dissolved oxygen at your lease, mount a do logger in a perfor…</t>
        </is>
      </c>
    </row>
    <row r="390">
      <c r="A390" s="44" t="inlineStr">
        <is>
          <t>bergquist_2009_wq121</t>
        </is>
      </c>
      <c r="B390" s="44" t="inlineStr">
        <is>
          <t>WQ 1.2.1 — Dissolved oxygen</t>
        </is>
      </c>
      <c r="C390" s="44" t="inlineStr">
        <is>
          <t>Protocol</t>
        </is>
      </c>
      <c r="D390" s="44" t="inlineStr">
        <is>
          <t>Water clarity / turbidity (Secchi)</t>
        </is>
      </c>
      <c r="E390" s="44" t="inlineStr">
        <is>
          <t>Not listed</t>
        </is>
      </c>
      <c r="F390" s="44" t="inlineStr">
        <is>
          <t>Source kit only — Equipment Type (N), not in the protocol</t>
        </is>
      </c>
      <c r="G390" s="44" t="inlineStr">
        <is>
          <t>N: …0 with rapid-pulse do, wiped chlorophyll and turbidity, temperature/conductivity and depth sensors…</t>
        </is>
      </c>
    </row>
    <row r="391">
      <c r="A391" s="44" t="inlineStr">
        <is>
          <t>bergquist_2009_wq121</t>
        </is>
      </c>
      <c r="B391" s="44" t="inlineStr">
        <is>
          <t>WQ 1.2.1 — Dissolved oxygen</t>
        </is>
      </c>
      <c r="C391" s="44" t="inlineStr">
        <is>
          <t>Protocol</t>
        </is>
      </c>
      <c r="D391" s="44" t="inlineStr">
        <is>
          <t>Chlorophyll-a (water)</t>
        </is>
      </c>
      <c r="E391" s="44" t="inlineStr">
        <is>
          <t>Not listed</t>
        </is>
      </c>
      <c r="F391" s="44" t="inlineStr">
        <is>
          <t>Source kit only — Equipment Type (N), not in the protocol</t>
        </is>
      </c>
      <c r="G391" s="44" t="inlineStr">
        <is>
          <t>N: …ysi 6600 with rapid-pulse do, wiped chlorophyll and turbidity, temperature/conductivity and …</t>
        </is>
      </c>
    </row>
    <row r="392">
      <c r="A392" s="44" t="inlineStr">
        <is>
          <t>bergquist_2009_wq121</t>
        </is>
      </c>
      <c r="B392" s="44" t="inlineStr">
        <is>
          <t>WQ 1.2.1 — Dissolved oxygen</t>
        </is>
      </c>
      <c r="C392" s="44" t="inlineStr">
        <is>
          <t>Protocol</t>
        </is>
      </c>
      <c r="D392" s="44" t="inlineStr">
        <is>
          <t>Continuous moored sensors</t>
        </is>
      </c>
      <c r="E392" s="44" t="inlineStr">
        <is>
          <t>Listed</t>
        </is>
      </c>
      <c r="F392" s="44" t="inlineStr">
        <is>
          <t>Method summary (AK)</t>
        </is>
      </c>
      <c r="G392" s="44" t="inlineStr">
        <is>
          <t>AK: …to keep a continuous record of dissolved oxygen at your lease, mount a d…</t>
        </is>
      </c>
    </row>
    <row r="393">
      <c r="A393" s="44" t="inlineStr">
        <is>
          <t>bergquist_2009_wq211</t>
        </is>
      </c>
      <c r="B393" s="44" t="inlineStr">
        <is>
          <t>WQ 2.1.1 — Chlorophyll-a</t>
        </is>
      </c>
      <c r="C393" s="44" t="inlineStr">
        <is>
          <t>Protocol</t>
        </is>
      </c>
      <c r="D393" s="44" t="inlineStr">
        <is>
          <t>Temperature / salinity</t>
        </is>
      </c>
      <c r="E393" s="44" t="inlineStr">
        <is>
          <t>Not listed</t>
        </is>
      </c>
      <c r="F393" s="44" t="inlineStr">
        <is>
          <t>Source kit only — Equipment Type (N), not in the protocol</t>
        </is>
      </c>
      <c r="G393" s="44" t="inlineStr">
        <is>
          <t>N: …d-pulse do, wiped chlorophyll and turbidity, temperature/conductivity and depth sensors) in a 20 cm p…</t>
        </is>
      </c>
    </row>
    <row r="394">
      <c r="A394" s="44" t="inlineStr">
        <is>
          <t>bergquist_2009_wq211</t>
        </is>
      </c>
      <c r="B394" s="44" t="inlineStr">
        <is>
          <t>WQ 2.1.1 — Chlorophyll-a</t>
        </is>
      </c>
      <c r="C394" s="44" t="inlineStr">
        <is>
          <t>Protocol</t>
        </is>
      </c>
      <c r="D394" s="44" t="inlineStr">
        <is>
          <t>Water clarity / turbidity (Secchi)</t>
        </is>
      </c>
      <c r="E394" s="44" t="inlineStr">
        <is>
          <t>Not listed</t>
        </is>
      </c>
      <c r="F394" s="44" t="inlineStr">
        <is>
          <t>Source kit only — Equipment Type (N), not in the protocol</t>
        </is>
      </c>
      <c r="G394" s="44" t="inlineStr">
        <is>
          <t>N: …0 with rapid-pulse do, wiped chlorophyll and turbidity, temperature/conductivity and depth sensors…</t>
        </is>
      </c>
    </row>
    <row r="395">
      <c r="A395" s="44" t="inlineStr">
        <is>
          <t>bergquist_2009_wq211</t>
        </is>
      </c>
      <c r="B395" s="44" t="inlineStr">
        <is>
          <t>WQ 2.1.1 — Chlorophyll-a</t>
        </is>
      </c>
      <c r="C395" s="44" t="inlineStr">
        <is>
          <t>Protocol</t>
        </is>
      </c>
      <c r="D395" s="44" t="inlineStr">
        <is>
          <t>Chlorophyll-a (water)</t>
        </is>
      </c>
      <c r="E395" s="44" t="inlineStr">
        <is>
          <t>Listed</t>
        </is>
      </c>
      <c r="F395" s="44" t="inlineStr">
        <is>
          <t>Method summary (AK)</t>
        </is>
      </c>
      <c r="G395" s="44" t="inlineStr">
        <is>
          <t>AK: …plankton at your lease continuously, mount a chlorophyll fluorescence logger with a wiper in a perfor…</t>
        </is>
      </c>
    </row>
    <row r="396">
      <c r="A396" s="44" t="inlineStr">
        <is>
          <t>bergquist_2009_wq211</t>
        </is>
      </c>
      <c r="B396" s="44" t="inlineStr">
        <is>
          <t>WQ 2.1.1 — Chlorophyll-a</t>
        </is>
      </c>
      <c r="C396" s="44" t="inlineStr">
        <is>
          <t>Protocol</t>
        </is>
      </c>
      <c r="D396" s="44" t="inlineStr">
        <is>
          <t>Continuous moored sensors</t>
        </is>
      </c>
      <c r="E396" s="44" t="inlineStr">
        <is>
          <t>Listed</t>
        </is>
      </c>
      <c r="F396" s="44" t="inlineStr">
        <is>
          <t>Method summary (AK)</t>
        </is>
      </c>
      <c r="G396" s="44" t="inlineStr">
        <is>
          <t>AK: …ntinuously, mount a chlorophyll fluorescence logger with a wiper in a perforated pipe on a pilin…</t>
        </is>
      </c>
    </row>
    <row r="397">
      <c r="A397" s="44" t="inlineStr">
        <is>
          <t>ray_2015_wq121</t>
        </is>
      </c>
      <c r="B397" s="44" t="inlineStr">
        <is>
          <t>WQ 1.2.1 — Dissolved oxygen</t>
        </is>
      </c>
      <c r="C397" s="44" t="inlineStr">
        <is>
          <t>Protocol</t>
        </is>
      </c>
      <c r="D397" s="44" t="inlineStr">
        <is>
          <t>Temperature / salinity</t>
        </is>
      </c>
      <c r="E397" s="44" t="inlineStr">
        <is>
          <t>Listed</t>
        </is>
      </c>
      <c r="F397" s="44" t="inlineStr">
        <is>
          <t>Method summary (AK)</t>
        </is>
      </c>
      <c r="G397" s="44" t="inlineStr">
        <is>
          <t>AK: …read do, temperature and salinity with a handheld meter at both p…</t>
        </is>
      </c>
    </row>
    <row r="398">
      <c r="A398" s="44" t="inlineStr">
        <is>
          <t>ray_2015_wq121</t>
        </is>
      </c>
      <c r="B398" s="44" t="inlineStr">
        <is>
          <t>WQ 1.2.1 — Dissolved oxygen</t>
        </is>
      </c>
      <c r="C398" s="44" t="inlineStr">
        <is>
          <t>Protocol</t>
        </is>
      </c>
      <c r="D398" s="44" t="inlineStr">
        <is>
          <t>Dissolved oxygen</t>
        </is>
      </c>
      <c r="E398" s="44" t="inlineStr">
        <is>
          <t>Listed</t>
        </is>
      </c>
      <c r="F398" s="44" t="inlineStr">
        <is>
          <t>Method summary (AK)</t>
        </is>
      </c>
      <c r="G398" s="44" t="inlineStr">
        <is>
          <t>AK: …to check whether your farm lowers dissolved oxygen in water passing through it, first find whic…</t>
        </is>
      </c>
    </row>
    <row r="399">
      <c r="A399" s="44" t="inlineStr">
        <is>
          <t>ray_2015_wq211</t>
        </is>
      </c>
      <c r="B399" s="44" t="inlineStr">
        <is>
          <t>WQ 2.1.1 — Chlorophyll-a</t>
        </is>
      </c>
      <c r="C399" s="44" t="inlineStr">
        <is>
          <t>Protocol</t>
        </is>
      </c>
      <c r="D399" s="44" t="inlineStr">
        <is>
          <t>Chlorophyll-a (water)</t>
        </is>
      </c>
      <c r="E399" s="44" t="inlineStr">
        <is>
          <t>Listed</t>
        </is>
      </c>
      <c r="F399" s="44" t="inlineStr">
        <is>
          <t>Method summary (AK)</t>
        </is>
      </c>
      <c r="G399" s="44" t="inlineStr">
        <is>
          <t>AK: …e the filters and have a partner lab measure chlorophyll-a within a month.…</t>
        </is>
      </c>
    </row>
    <row r="400">
      <c r="A400" s="44" t="inlineStr">
        <is>
          <t>ray_2015_wq211</t>
        </is>
      </c>
      <c r="B400" s="44" t="inlineStr">
        <is>
          <t>WQ 2.1.1 — Chlorophyll-a</t>
        </is>
      </c>
      <c r="C400" s="44" t="inlineStr">
        <is>
          <t>Protocol</t>
        </is>
      </c>
      <c r="D400" s="44" t="inlineStr">
        <is>
          <t>ADCP (currents / waves)</t>
        </is>
      </c>
      <c r="E400" s="44" t="inlineStr">
        <is>
          <t>Not listed</t>
        </is>
      </c>
      <c r="F400" s="44" t="inlineStr">
        <is>
          <t>Source kit only — Equipment Type (N), not in the protocol</t>
        </is>
      </c>
      <c r="G400" s="44" t="inlineStr">
        <is>
          <t>N: …float and compass plus current meter for flow.…</t>
        </is>
      </c>
    </row>
    <row r="401">
      <c r="A401" s="44" t="inlineStr">
        <is>
          <t>carmichael_2012</t>
        </is>
      </c>
      <c r="B401" s="44" t="inlineStr">
        <is>
          <t>WQ 1.1.1 — N and P bioextraction</t>
        </is>
      </c>
      <c r="C401" s="44" t="inlineStr">
        <is>
          <t>Protocol</t>
        </is>
      </c>
      <c r="D401" s="44" t="inlineStr">
        <is>
          <t>Temperature / salinity</t>
        </is>
      </c>
      <c r="E401" s="44" t="inlineStr">
        <is>
          <t>Not listed</t>
        </is>
      </c>
      <c r="F401" s="44" t="inlineStr">
        <is>
          <t>Source kit only — Equipment Type (N), not in the protocol</t>
        </is>
      </c>
      <c r="G401" s="44" t="inlineStr">
        <is>
          <t>N: …gf/f filters and spectrophotometer (chl-a), refractometer and thermometer for site conditions.…</t>
        </is>
      </c>
    </row>
    <row r="402">
      <c r="A402" s="44" t="inlineStr">
        <is>
          <t>carmichael_2012</t>
        </is>
      </c>
      <c r="B402" s="44" t="inlineStr">
        <is>
          <t>WQ 1.1.1 — N and P bioextraction</t>
        </is>
      </c>
      <c r="C402" s="44" t="inlineStr">
        <is>
          <t>Protocol</t>
        </is>
      </c>
      <c r="D402" s="44" t="inlineStr">
        <is>
          <t>Chlorophyll-a (water)</t>
        </is>
      </c>
      <c r="E402" s="44" t="inlineStr">
        <is>
          <t>Not listed</t>
        </is>
      </c>
      <c r="F402" s="44" t="inlineStr">
        <is>
          <t>Source kit only — Equipment Type (N), not in the protocol</t>
        </is>
      </c>
      <c r="G402" s="44" t="inlineStr">
        <is>
          <t>N: …gf/f filters and spectrophotometer (chl-a), refra…</t>
        </is>
      </c>
    </row>
    <row r="403">
      <c r="A403" s="44" t="inlineStr">
        <is>
          <t>carmichael_2012</t>
        </is>
      </c>
      <c r="B403" s="44" t="inlineStr">
        <is>
          <t>WQ 1.1.1 — N and P bioextraction</t>
        </is>
      </c>
      <c r="C403" s="44" t="inlineStr">
        <is>
          <t>Protocol</t>
        </is>
      </c>
      <c r="D403" s="44" t="inlineStr">
        <is>
          <t>Tissue elemental (CHN) analysis</t>
        </is>
      </c>
      <c r="E403" s="44" t="inlineStr">
        <is>
          <t>Listed</t>
        </is>
      </c>
      <c r="F403" s="44" t="inlineStr">
        <is>
          <t>Method summary (AK)</t>
        </is>
      </c>
      <c r="G403" s="44" t="inlineStr">
        <is>
          <t>AK: … it, then send the dried, ground tissue to a lab for n and p content.…</t>
        </is>
      </c>
    </row>
    <row r="404">
      <c r="A404" s="44" t="inlineStr">
        <is>
          <t>carmichael_2012</t>
        </is>
      </c>
      <c r="B404" s="44" t="inlineStr">
        <is>
          <t>WQ 1.1.1 — N and P bioextraction</t>
        </is>
      </c>
      <c r="C404" s="44" t="inlineStr">
        <is>
          <t>Protocol</t>
        </is>
      </c>
      <c r="D404" s="44" t="inlineStr">
        <is>
          <t>Stable isotopes (d13C / d15N)</t>
        </is>
      </c>
      <c r="E404" s="44" t="inlineStr">
        <is>
          <t>Not listed</t>
        </is>
      </c>
      <c r="F404" s="44" t="inlineStr">
        <is>
          <t>Source kit only — Equipment Type (N), not in the protocol</t>
        </is>
      </c>
      <c r="G404" s="44" t="inlineStr">
        <is>
          <t>N: …artner-lab elemental analyser for tissue %n (d15n by ea-irms)…</t>
        </is>
      </c>
    </row>
    <row r="405">
      <c r="A405" s="44" t="inlineStr">
        <is>
          <t>carmichael_2012</t>
        </is>
      </c>
      <c r="B405" s="44" t="inlineStr">
        <is>
          <t>WQ 1.1.1 — N and P bioextraction</t>
        </is>
      </c>
      <c r="C405" s="44" t="inlineStr">
        <is>
          <t>Protocol</t>
        </is>
      </c>
      <c r="D405" s="44" t="inlineStr">
        <is>
          <t>Bivalve condition index / growth</t>
        </is>
      </c>
      <c r="E405" s="44" t="inlineStr">
        <is>
          <t>Listed</t>
        </is>
      </c>
      <c r="F405" s="44" t="inlineStr">
        <is>
          <t>Method summary (AK)</t>
        </is>
      </c>
      <c r="G405" s="44" t="inlineStr">
        <is>
          <t>AK: …vest, take [3] random samples of [10] market-size oysters from the harvested stock at harvest …</t>
        </is>
      </c>
    </row>
    <row r="406">
      <c r="A406" s="44" t="inlineStr">
        <is>
          <t>pernet_2012</t>
        </is>
      </c>
      <c r="B406" s="44" t="inlineStr">
        <is>
          <t>WQ 2.1.1 — Chlorophyll-a</t>
        </is>
      </c>
      <c r="C406" s="44" t="inlineStr">
        <is>
          <t>Protocol</t>
        </is>
      </c>
      <c r="D406" s="44" t="inlineStr">
        <is>
          <t>Chlorophyll-a (water)</t>
        </is>
      </c>
      <c r="E406" s="44" t="inlineStr">
        <is>
          <t>Listed</t>
        </is>
      </c>
      <c r="F406" s="44" t="inlineStr">
        <is>
          <t>Method summary (AK)</t>
        </is>
      </c>
      <c r="G406" s="44" t="inlineStr">
        <is>
          <t>AK: …-weighed gf/c filters, dried then ashed) and chlorophyll-a (gf/f, 90% acetone, spectrofluorometer), a…</t>
        </is>
      </c>
    </row>
    <row r="407">
      <c r="A407" s="44" t="inlineStr">
        <is>
          <t>pernet_2012</t>
        </is>
      </c>
      <c r="B407" s="44" t="inlineStr">
        <is>
          <t>WQ 2.1.1 — Chlorophyll-a</t>
        </is>
      </c>
      <c r="C407" s="44" t="inlineStr">
        <is>
          <t>Protocol</t>
        </is>
      </c>
      <c r="D407" s="44" t="inlineStr">
        <is>
          <t>Suspended solids (TSS / SPM)</t>
        </is>
      </c>
      <c r="E407" s="44" t="inlineStr">
        <is>
          <t>Listed</t>
        </is>
      </c>
      <c r="F407" s="44" t="inlineStr">
        <is>
          <t>Method summary (AK)</t>
        </is>
      </c>
      <c r="G407" s="44" t="inlineStr">
        <is>
          <t>AK: …nd mussels on ropes at set depths and sample seston plus candidate food sources (river inputs, a…</t>
        </is>
      </c>
    </row>
    <row r="408">
      <c r="A408" s="44" t="inlineStr">
        <is>
          <t>pernet_2012</t>
        </is>
      </c>
      <c r="B408" s="44" t="inlineStr">
        <is>
          <t>WQ 2.1.1 — Chlorophyll-a</t>
        </is>
      </c>
      <c r="C408" s="44" t="inlineStr">
        <is>
          <t>Protocol</t>
        </is>
      </c>
      <c r="D408" s="44" t="inlineStr">
        <is>
          <t>Stable isotopes (d13C / d15N)</t>
        </is>
      </c>
      <c r="E408" s="44" t="inlineStr">
        <is>
          <t>Listed</t>
        </is>
      </c>
      <c r="F408" s="44" t="inlineStr">
        <is>
          <t>Method summary (AK)</t>
        </is>
      </c>
      <c r="G408" s="44" t="inlineStr">
        <is>
          <t>AK: …meter), and freeze filters for carbon stable isotopes (delta-13-c) and fatty-acid biomarkers.…</t>
        </is>
      </c>
    </row>
    <row r="409">
      <c r="A409" s="44" t="inlineStr">
        <is>
          <t>pernet_2012</t>
        </is>
      </c>
      <c r="B409" s="44" t="inlineStr">
        <is>
          <t>WQ 2.1.1 — Chlorophyll-a</t>
        </is>
      </c>
      <c r="C409" s="44" t="inlineStr">
        <is>
          <t>Protocol</t>
        </is>
      </c>
      <c r="D409" s="44" t="inlineStr">
        <is>
          <t>Phytoplankton community (microscopy)</t>
        </is>
      </c>
      <c r="E409" s="44" t="inlineStr">
        <is>
          <t>Not listed</t>
        </is>
      </c>
      <c r="F409" s="44" t="inlineStr">
        <is>
          <t>Source kit only — Equipment Type (N), not in the protocol</t>
        </is>
      </c>
      <c r="G409" s="44" t="inlineStr">
        <is>
          <t>N: …microscope phytoplankton id…</t>
        </is>
      </c>
    </row>
    <row r="410">
      <c r="A410" s="44" t="inlineStr">
        <is>
          <t>nizzoli_2006-b_wq112</t>
        </is>
      </c>
      <c r="B410" s="44" t="inlineStr">
        <is>
          <t>WQ 1.1.2 — Rate of denitrification</t>
        </is>
      </c>
      <c r="C410" s="44" t="inlineStr">
        <is>
          <t>Protocol</t>
        </is>
      </c>
      <c r="D410" s="44" t="inlineStr">
        <is>
          <t>Dissolved nutrients (N &amp; P)</t>
        </is>
      </c>
      <c r="E410" s="44" t="inlineStr">
        <is>
          <t>Not listed</t>
        </is>
      </c>
      <c r="F410" s="44" t="inlineStr">
        <is>
          <t>Only in a sentence about what the source found</t>
        </is>
      </c>
      <c r="G410" s="44" t="inlineStr">
        <is>
          <t>AK: …ment under suspended mussels mostly recycled nitrate as ammonium - so this route is for clam beds…</t>
        </is>
      </c>
    </row>
    <row r="411">
      <c r="A411" s="44" t="inlineStr">
        <is>
          <t>nizzoli_2006-b_wq112</t>
        </is>
      </c>
      <c r="B411" s="44" t="inlineStr">
        <is>
          <t>WQ 1.1.2 — Rate of denitrification</t>
        </is>
      </c>
      <c r="C411" s="44" t="inlineStr">
        <is>
          <t>Protocol</t>
        </is>
      </c>
      <c r="D411" s="44" t="inlineStr">
        <is>
          <t>Sediment / benthic flux incubation</t>
        </is>
      </c>
      <c r="E411" s="44" t="inlineStr">
        <is>
          <t>Not listed</t>
        </is>
      </c>
      <c r="F411" s="44" t="inlineStr">
        <is>
          <t>Only in a sentence about what the source found</t>
        </is>
      </c>
      <c r="G411" s="44" t="inlineStr">
        <is>
          <t>AK: …the source measured denitrification directly (15n isotope pairing in inta…</t>
        </is>
      </c>
    </row>
    <row r="412">
      <c r="A412" s="44" t="inlineStr">
        <is>
          <t>nizzoli_2006-b_wq112</t>
        </is>
      </c>
      <c r="B412" s="44" t="inlineStr">
        <is>
          <t>WQ 1.1.2 — Rate of denitrification</t>
        </is>
      </c>
      <c r="C412" s="44" t="inlineStr">
        <is>
          <t>Protocol</t>
        </is>
      </c>
      <c r="D412" s="44" t="inlineStr">
        <is>
          <t>Stable isotopes (d13C / d15N)</t>
        </is>
      </c>
      <c r="E412" s="44" t="inlineStr">
        <is>
          <t>Not listed</t>
        </is>
      </c>
      <c r="F412" s="44" t="inlineStr">
        <is>
          <t>Source kit only — Equipment Type (N), not in the protocol</t>
        </is>
      </c>
      <c r="G412" s="44" t="inlineStr">
        <is>
          <t>N: ….9 atom% 15n-nitrate, zncl2, kcl extraction, isotope-ratio mass spectrometry.…</t>
        </is>
      </c>
    </row>
    <row r="413">
      <c r="A413" s="44" t="inlineStr">
        <is>
          <t>nizzoli_2006-b_wq112</t>
        </is>
      </c>
      <c r="B413" s="44" t="inlineStr">
        <is>
          <t>WQ 1.1.2 — Rate of denitrification</t>
        </is>
      </c>
      <c r="C413" s="44" t="inlineStr">
        <is>
          <t>Protocol</t>
        </is>
      </c>
      <c r="D413" s="44" t="inlineStr">
        <is>
          <t>Bivalve condition index / growth</t>
        </is>
      </c>
      <c r="E413" s="44" t="inlineStr">
        <is>
          <t>Listed</t>
        </is>
      </c>
      <c r="F413" s="44" t="inlineStr">
        <is>
          <t>Method summary (AK)</t>
        </is>
      </c>
      <c r="G413" s="44" t="inlineStr">
        <is>
          <t>AK: …bivalve tissue biomass on the plot before seeding, or at a nearby u…</t>
        </is>
      </c>
    </row>
    <row r="414">
      <c r="A414" s="44" t="inlineStr">
        <is>
          <t>nizzoli_2006-b_hb141</t>
        </is>
      </c>
      <c r="B414" s="44" t="inlineStr">
        <is>
          <t>H&amp;B 1.4.1 — Sediment</t>
        </is>
      </c>
      <c r="C414" s="44" t="inlineStr">
        <is>
          <t>Protocol</t>
        </is>
      </c>
      <c r="D414" s="44" t="inlineStr">
        <is>
          <t>Sediment chemistry (OC / TN / redox / AVS)</t>
        </is>
      </c>
      <c r="E414" s="44" t="inlineStr">
        <is>
          <t>Listed</t>
        </is>
      </c>
      <c r="F414" s="44" t="inlineStr">
        <is>
          <t>Method summary (AK)</t>
        </is>
      </c>
      <c r="G414" s="44" t="inlineStr">
        <is>
          <t>AK: …ll, and send the slices to a partner lab for organic matter (loss on ignition) and, if wanted, porosity …</t>
        </is>
      </c>
    </row>
    <row r="415">
      <c r="A415" s="44" t="inlineStr">
        <is>
          <t>lienart_2025</t>
        </is>
      </c>
      <c r="B415" s="44" t="inlineStr">
        <is>
          <t>WQ 1.1.1 — N and P bioextraction</t>
        </is>
      </c>
      <c r="C415" s="44" t="inlineStr">
        <is>
          <t>Protocol</t>
        </is>
      </c>
      <c r="D415" s="44" t="inlineStr">
        <is>
          <t>Tissue elemental (CHN) analysis</t>
        </is>
      </c>
      <c r="E415" s="44" t="inlineStr">
        <is>
          <t>Listed</t>
        </is>
      </c>
      <c r="F415" s="44" t="inlineStr">
        <is>
          <t>Method summary (AK)</t>
        </is>
      </c>
      <c r="G415" s="44" t="inlineStr">
        <is>
          <t>AK: …eze-dry and grind it, and analyse carbon and nitrogen content plus delta-13-c and delta-15-n on an element…</t>
        </is>
      </c>
    </row>
    <row r="416">
      <c r="A416" s="44" t="inlineStr">
        <is>
          <t>lienart_2025</t>
        </is>
      </c>
      <c r="B416" s="44" t="inlineStr">
        <is>
          <t>WQ 1.1.1 — N and P bioextraction</t>
        </is>
      </c>
      <c r="C416" s="44" t="inlineStr">
        <is>
          <t>Protocol</t>
        </is>
      </c>
      <c r="D416" s="44" t="inlineStr">
        <is>
          <t>Stable isotopes (d13C / d15N)</t>
        </is>
      </c>
      <c r="E416" s="44" t="inlineStr">
        <is>
          <t>Listed</t>
        </is>
      </c>
      <c r="F416" s="44" t="inlineStr">
        <is>
          <t>Method summary (AK)</t>
        </is>
      </c>
      <c r="G416" s="44" t="inlineStr">
        <is>
          <t>AK: …-15-n on an elemental analyser coupled to an isotope-ratio mass spectrometer, calibrated against…</t>
        </is>
      </c>
    </row>
    <row r="417">
      <c r="A417" s="44" t="inlineStr">
        <is>
          <t>sasikumar_2011</t>
        </is>
      </c>
      <c r="B417" s="44" t="inlineStr">
        <is>
          <t>WQ 2.1.1 — Chlorophyll-a</t>
        </is>
      </c>
      <c r="C417" s="44" t="inlineStr">
        <is>
          <t>Protocol</t>
        </is>
      </c>
      <c r="D417" s="44" t="inlineStr">
        <is>
          <t>Temperature / salinity</t>
        </is>
      </c>
      <c r="E417" s="44" t="inlineStr">
        <is>
          <t>Listed</t>
        </is>
      </c>
      <c r="F417" s="44" t="inlineStr">
        <is>
          <t>Method summary (AK)</t>
        </is>
      </c>
      <c r="G417" s="44" t="inlineStr">
        <is>
          <t>AK: …measure the environment - temperature, salinity, do and ph by multiprobe…</t>
        </is>
      </c>
    </row>
    <row r="418">
      <c r="A418" s="44" t="inlineStr">
        <is>
          <t>sasikumar_2011</t>
        </is>
      </c>
      <c r="B418" s="44" t="inlineStr">
        <is>
          <t>WQ 2.1.1 — Chlorophyll-a</t>
        </is>
      </c>
      <c r="C418" s="44" t="inlineStr">
        <is>
          <t>Protocol</t>
        </is>
      </c>
      <c r="D418" s="44" t="inlineStr">
        <is>
          <t>pH</t>
        </is>
      </c>
      <c r="E418" s="44" t="inlineStr">
        <is>
          <t>Listed</t>
        </is>
      </c>
      <c r="F418" s="44" t="inlineStr">
        <is>
          <t>Method summary (AK)</t>
        </is>
      </c>
      <c r="G418" s="44" t="inlineStr">
        <is>
          <t>AK: … environment - temperature, salinity, do and ph by multiprobe…</t>
        </is>
      </c>
    </row>
    <row r="419">
      <c r="A419" s="44" t="inlineStr">
        <is>
          <t>sasikumar_2011</t>
        </is>
      </c>
      <c r="B419" s="44" t="inlineStr">
        <is>
          <t>WQ 2.1.1 — Chlorophyll-a</t>
        </is>
      </c>
      <c r="C419" s="44" t="inlineStr">
        <is>
          <t>Protocol</t>
        </is>
      </c>
      <c r="D419" s="44" t="inlineStr">
        <is>
          <t>Chlorophyll-a (water)</t>
        </is>
      </c>
      <c r="E419" s="44" t="inlineStr">
        <is>
          <t>Listed</t>
        </is>
      </c>
      <c r="F419" s="44" t="inlineStr">
        <is>
          <t>Method summary (AK)</t>
        </is>
      </c>
      <c r="G419" s="44" t="inlineStr">
        <is>
          <t>AK: …chlorophyll-a by spectrophotometry after acetone extract…</t>
        </is>
      </c>
    </row>
    <row r="420">
      <c r="A420" s="44" t="inlineStr">
        <is>
          <t>sasikumar_2011</t>
        </is>
      </c>
      <c r="B420" s="44" t="inlineStr">
        <is>
          <t>WQ 2.1.1 — Chlorophyll-a</t>
        </is>
      </c>
      <c r="C420" s="44" t="inlineStr">
        <is>
          <t>Protocol</t>
        </is>
      </c>
      <c r="D420" s="44" t="inlineStr">
        <is>
          <t>Suspended solids (TSS / SPM)</t>
        </is>
      </c>
      <c r="E420" s="44" t="inlineStr">
        <is>
          <t>Listed</t>
        </is>
      </c>
      <c r="F420" s="44" t="inlineStr">
        <is>
          <t>Method summary (AK)</t>
        </is>
      </c>
      <c r="G420" s="44" t="inlineStr">
        <is>
          <t>AK: …and seston as suspended particulate matter and particul…</t>
        </is>
      </c>
    </row>
    <row r="421">
      <c r="A421" s="44" t="inlineStr">
        <is>
          <t>sasikumar_2011</t>
        </is>
      </c>
      <c r="B421" s="44" t="inlineStr">
        <is>
          <t>WQ 2.1.1 — Chlorophyll-a</t>
        </is>
      </c>
      <c r="C421" s="44" t="inlineStr">
        <is>
          <t>Protocol</t>
        </is>
      </c>
      <c r="D421" s="44" t="inlineStr">
        <is>
          <t>Bivalve condition index / growth</t>
        </is>
      </c>
      <c r="E421" s="44" t="inlineStr">
        <is>
          <t>Listed</t>
        </is>
      </c>
      <c r="F421" s="44" t="inlineStr">
        <is>
          <t>Method summary (AK)</t>
        </is>
      </c>
      <c r="G421" s="44" t="inlineStr">
        <is>
          <t>AK: …to use mussel condition index (ci) as an integrative environmental bioindi…</t>
        </is>
      </c>
    </row>
    <row r="422">
      <c r="A422" s="44" t="inlineStr">
        <is>
          <t>gernez_2017</t>
        </is>
      </c>
      <c r="B422" s="44" t="inlineStr">
        <is>
          <t>WQ 2.1.1 — Chlorophyll-a</t>
        </is>
      </c>
      <c r="C422" s="44" t="inlineStr">
        <is>
          <t>Protocol</t>
        </is>
      </c>
      <c r="D422" s="44" t="inlineStr">
        <is>
          <t>Water clarity / turbidity (Secchi)</t>
        </is>
      </c>
      <c r="E422" s="44" t="inlineStr">
        <is>
          <t>Listed</t>
        </is>
      </c>
      <c r="F422" s="44" t="inlineStr">
        <is>
          <t>Method summary (AK)</t>
        </is>
      </c>
      <c r="G422" s="44" t="inlineStr">
        <is>
          <t>AK: …to monitor turbidity, chlorophyll-a and even oyster feeding cond…</t>
        </is>
      </c>
    </row>
    <row r="423">
      <c r="A423" s="44" t="inlineStr">
        <is>
          <t>gernez_2017</t>
        </is>
      </c>
      <c r="B423" s="44" t="inlineStr">
        <is>
          <t>WQ 2.1.1 — Chlorophyll-a</t>
        </is>
      </c>
      <c r="C423" s="44" t="inlineStr">
        <is>
          <t>Protocol</t>
        </is>
      </c>
      <c r="D423" s="44" t="inlineStr">
        <is>
          <t>Chlorophyll-a (water)</t>
        </is>
      </c>
      <c r="E423" s="44" t="inlineStr">
        <is>
          <t>Listed</t>
        </is>
      </c>
      <c r="F423" s="44" t="inlineStr">
        <is>
          <t>Method summary (AK)</t>
        </is>
      </c>
      <c r="G423" s="44" t="inlineStr">
        <is>
          <t>AK: …suspended particulate matter (gravimetric on gf/f) and chlorophyll-a (hplc pigments) to calibr…</t>
        </is>
      </c>
    </row>
    <row r="424">
      <c r="A424" s="44" t="inlineStr">
        <is>
          <t>gernez_2017</t>
        </is>
      </c>
      <c r="B424" s="44" t="inlineStr">
        <is>
          <t>WQ 2.1.1 — Chlorophyll-a</t>
        </is>
      </c>
      <c r="C424" s="44" t="inlineStr">
        <is>
          <t>Protocol</t>
        </is>
      </c>
      <c r="D424" s="44" t="inlineStr">
        <is>
          <t>Suspended solids (TSS / SPM)</t>
        </is>
      </c>
      <c r="E424" s="44" t="inlineStr">
        <is>
          <t>Listed</t>
        </is>
      </c>
      <c r="F424" s="44" t="inlineStr">
        <is>
          <t>Method summary (AK)</t>
        </is>
      </c>
      <c r="G424" s="44" t="inlineStr">
        <is>
          <t>AK: …adiometers plus water samples for turbidity, suspended particulate matter (gravimetric on gf/f) and chlorophyll…</t>
        </is>
      </c>
    </row>
    <row r="425">
      <c r="A425" s="44" t="inlineStr">
        <is>
          <t>gernez_2017</t>
        </is>
      </c>
      <c r="B425" s="44" t="inlineStr">
        <is>
          <t>WQ 2.1.1 — Chlorophyll-a</t>
        </is>
      </c>
      <c r="C425" s="44" t="inlineStr">
        <is>
          <t>Protocol</t>
        </is>
      </c>
      <c r="D425" s="44" t="inlineStr">
        <is>
          <t>Size-fractionated pigments (HPLC)</t>
        </is>
      </c>
      <c r="E425" s="44" t="inlineStr">
        <is>
          <t>Listed</t>
        </is>
      </c>
      <c r="F425" s="44" t="inlineStr">
        <is>
          <t>Method summary (AK)</t>
        </is>
      </c>
      <c r="G425" s="44" t="inlineStr">
        <is>
          <t>AK: …ter (gravimetric on gf/f) and chlorophyll-a (hplc pigments) to calibrate and validate the retr…</t>
        </is>
      </c>
    </row>
    <row r="426">
      <c r="A426" s="44" t="inlineStr">
        <is>
          <t>gernez_2017</t>
        </is>
      </c>
      <c r="B426" s="44" t="inlineStr">
        <is>
          <t>WQ 2.1.1 — Chlorophyll-a</t>
        </is>
      </c>
      <c r="C426" s="44" t="inlineStr">
        <is>
          <t>Protocol</t>
        </is>
      </c>
      <c r="D426" s="44" t="inlineStr">
        <is>
          <t>Clearance-rate / filtration assays</t>
        </is>
      </c>
      <c r="E426" s="44" t="inlineStr">
        <is>
          <t>Listed</t>
        </is>
      </c>
      <c r="F426" s="44" t="inlineStr">
        <is>
          <t>Method summary (AK)</t>
        </is>
      </c>
      <c r="G426" s="44" t="inlineStr">
        <is>
          <t>AK: …e mapped spm and chl-a per pixel into oyster clearance rate (a known non-linear function of spm) and chl…</t>
        </is>
      </c>
    </row>
    <row r="427">
      <c r="A427" s="44" t="inlineStr">
        <is>
          <t>gernez_2017</t>
        </is>
      </c>
      <c r="B427" s="44" t="inlineStr">
        <is>
          <t>WQ 2.1.1 — Chlorophyll-a</t>
        </is>
      </c>
      <c r="C427" s="44" t="inlineStr">
        <is>
          <t>Protocol</t>
        </is>
      </c>
      <c r="D427" s="44" t="inlineStr">
        <is>
          <t>Satellite ocean colour (chl-a)</t>
        </is>
      </c>
      <c r="E427" s="44" t="inlineStr">
        <is>
          <t>Listed</t>
        </is>
      </c>
      <c r="F427" s="44" t="inlineStr">
        <is>
          <t>Method summary (AK)</t>
        </is>
      </c>
      <c r="G427" s="44" t="inlineStr">
        <is>
          <t>AK: …feeding conditions across a farming bay from satellite, pair in-situ bio-optical measurements with …</t>
        </is>
      </c>
    </row>
    <row r="428">
      <c r="A428" s="44" t="inlineStr">
        <is>
          <t>gernez_2017</t>
        </is>
      </c>
      <c r="B428" s="44" t="inlineStr">
        <is>
          <t>WQ 2.1.1 — Chlorophyll-a</t>
        </is>
      </c>
      <c r="C428" s="44" t="inlineStr">
        <is>
          <t>Protocol</t>
        </is>
      </c>
      <c r="D428" s="44" t="inlineStr">
        <is>
          <t>Coupled biogeochemical / DEB model</t>
        </is>
      </c>
      <c r="E428" s="44" t="inlineStr">
        <is>
          <t>Not listed</t>
        </is>
      </c>
      <c r="F428" s="44" t="inlineStr">
        <is>
          <t>Source kit only — Equipment Type (N), not in the protocol</t>
        </is>
      </c>
      <c r="G428" s="44" t="inlineStr">
        <is>
          <t>N: …shellfish deb-style physiology model…</t>
        </is>
      </c>
    </row>
    <row r="429">
      <c r="A429" s="44" t="inlineStr">
        <is>
          <t>george_2019</t>
        </is>
      </c>
      <c r="B429" s="44" t="inlineStr">
        <is>
          <t>WQ 1.2.1 — Dissolved oxygen</t>
        </is>
      </c>
      <c r="C429" s="44" t="inlineStr">
        <is>
          <t>Protocol</t>
        </is>
      </c>
      <c r="D429" s="44" t="inlineStr">
        <is>
          <t>Temperature / salinity</t>
        </is>
      </c>
      <c r="E429" s="44" t="inlineStr">
        <is>
          <t>Listed</t>
        </is>
      </c>
      <c r="F429" s="44" t="inlineStr">
        <is>
          <t>Method summary (AK)</t>
        </is>
      </c>
      <c r="G429" s="44" t="inlineStr">
        <is>
          <t>AK: …ences, suspend water-quality sondes (logging temperature, salinity, ph, do and chlorophyll) at more t…</t>
        </is>
      </c>
    </row>
    <row r="430">
      <c r="A430" s="44" t="inlineStr">
        <is>
          <t>george_2019</t>
        </is>
      </c>
      <c r="B430" s="44" t="inlineStr">
        <is>
          <t>WQ 1.2.1 — Dissolved oxygen</t>
        </is>
      </c>
      <c r="C430" s="44" t="inlineStr">
        <is>
          <t>Protocol</t>
        </is>
      </c>
      <c r="D430" s="44" t="inlineStr">
        <is>
          <t>Dissolved oxygen</t>
        </is>
      </c>
      <c r="E430" s="44" t="inlineStr">
        <is>
          <t>Listed</t>
        </is>
      </c>
      <c r="F430" s="44" t="inlineStr">
        <is>
          <t>Method summary (AK)</t>
        </is>
      </c>
      <c r="G430" s="44" t="inlineStr">
        <is>
          <t>AK: …e mussel clumps, embed a ph electrode and an oxygen probe in the centre of mesh bags of mussels hung b…</t>
        </is>
      </c>
    </row>
    <row r="431">
      <c r="A431" s="44" t="inlineStr">
        <is>
          <t>george_2019</t>
        </is>
      </c>
      <c r="B431" s="44" t="inlineStr">
        <is>
          <t>WQ 1.2.1 — Dissolved oxygen</t>
        </is>
      </c>
      <c r="C431" s="44" t="inlineStr">
        <is>
          <t>Protocol</t>
        </is>
      </c>
      <c r="D431" s="44" t="inlineStr">
        <is>
          <t>pH</t>
        </is>
      </c>
      <c r="E431" s="44" t="inlineStr">
        <is>
          <t>Listed</t>
        </is>
      </c>
      <c r="F431" s="44" t="inlineStr">
        <is>
          <t>Method summary (AK)</t>
        </is>
      </c>
      <c r="G431" s="44" t="inlineStr">
        <is>
          <t>AK: …to characterise the ph and dissolved-oxygen conditions a raft musse…</t>
        </is>
      </c>
    </row>
    <row r="432">
      <c r="A432" s="44" t="inlineStr">
        <is>
          <t>george_2019</t>
        </is>
      </c>
      <c r="B432" s="44" t="inlineStr">
        <is>
          <t>WQ 1.2.1 — Dissolved oxygen</t>
        </is>
      </c>
      <c r="C432" s="44" t="inlineStr">
        <is>
          <t>Protocol</t>
        </is>
      </c>
      <c r="D432" s="44" t="inlineStr">
        <is>
          <t>Chlorophyll-a (water)</t>
        </is>
      </c>
      <c r="E432" s="44" t="inlineStr">
        <is>
          <t>Listed</t>
        </is>
      </c>
      <c r="F432" s="44" t="inlineStr">
        <is>
          <t>Method summary (AK)</t>
        </is>
      </c>
      <c r="G432" s="44" t="inlineStr">
        <is>
          <t>AK: …s (logging temperature, salinity, ph, do and chlorophyll) at more than one depth (for example 1 and 7…</t>
        </is>
      </c>
    </row>
    <row r="433">
      <c r="A433" s="44" t="inlineStr">
        <is>
          <t>george_2019</t>
        </is>
      </c>
      <c r="B433" s="44" t="inlineStr">
        <is>
          <t>WQ 1.2.1 — Dissolved oxygen</t>
        </is>
      </c>
      <c r="C433" s="44" t="inlineStr">
        <is>
          <t>Protocol</t>
        </is>
      </c>
      <c r="D433" s="44" t="inlineStr">
        <is>
          <t>Carbonate system (pH / OA)</t>
        </is>
      </c>
      <c r="E433" s="44" t="inlineStr">
        <is>
          <t>Listed</t>
        </is>
      </c>
      <c r="F433" s="44" t="inlineStr">
        <is>
          <t>Method summary (AK)</t>
        </is>
      </c>
      <c r="G433" s="44" t="inlineStr">
        <is>
          <t>AK: …both ambient conditions and the more extreme acidification and hypoxia excursions the animals endure wi…</t>
        </is>
      </c>
    </row>
    <row r="434">
      <c r="A434" s="44" t="inlineStr">
        <is>
          <t>george_2019</t>
        </is>
      </c>
      <c r="B434" s="44" t="inlineStr">
        <is>
          <t>WQ 1.2.1 — Dissolved oxygen</t>
        </is>
      </c>
      <c r="C434" s="44" t="inlineStr">
        <is>
          <t>Protocol</t>
        </is>
      </c>
      <c r="D434" s="44" t="inlineStr">
        <is>
          <t>Continuous moored sensors</t>
        </is>
      </c>
      <c r="E434" s="44" t="inlineStr">
        <is>
          <t>Not listed</t>
        </is>
      </c>
      <c r="F434" s="44" t="inlineStr">
        <is>
          <t>Source kit only — Equipment Type (N), not in the protocol</t>
        </is>
      </c>
      <c r="G434" s="44" t="inlineStr">
        <is>
          <t>N: …lascar 4-20 ma logger…</t>
        </is>
      </c>
    </row>
    <row r="435">
      <c r="A435" s="44" t="inlineStr">
        <is>
          <t>nizzoli_2007_hb141</t>
        </is>
      </c>
      <c r="B435" s="44" t="inlineStr">
        <is>
          <t>H&amp;B 1.4.1 — Sediment</t>
        </is>
      </c>
      <c r="C435" s="44" t="inlineStr">
        <is>
          <t>Protocol</t>
        </is>
      </c>
      <c r="D435" s="44" t="inlineStr">
        <is>
          <t>Sediment chemistry (OC / TN / redox / AVS)</t>
        </is>
      </c>
      <c r="E435" s="44" t="inlineStr">
        <is>
          <t>Listed</t>
        </is>
      </c>
      <c r="F435" s="44" t="inlineStr">
        <is>
          <t>Method summary (AK)</t>
        </is>
      </c>
      <c r="G435" s="44" t="inlineStr">
        <is>
          <t>AK: … and smell, and send it to a partner lab for organic matter (loss on ignition) and, if wanted, organic n…</t>
        </is>
      </c>
    </row>
    <row r="436">
      <c r="A436" s="44" t="inlineStr">
        <is>
          <t>nizzoli_2007_hb141</t>
        </is>
      </c>
      <c r="B436" s="44" t="inlineStr">
        <is>
          <t>H&amp;B 1.4.1 — Sediment</t>
        </is>
      </c>
      <c r="C436" s="44" t="inlineStr">
        <is>
          <t>Protocol</t>
        </is>
      </c>
      <c r="D436" s="44" t="inlineStr">
        <is>
          <t>Biodeposition traps</t>
        </is>
      </c>
      <c r="E436" s="44" t="inlineStr">
        <is>
          <t>Listed</t>
        </is>
      </c>
      <c r="F436" s="44" t="inlineStr">
        <is>
          <t>Method summary (AK)</t>
        </is>
      </c>
      <c r="G436" s="44" t="inlineStr">
        <is>
          <t>AK: …ons of similar sediment far enough away that biodeposits do not reach them, twice a year including l…</t>
        </is>
      </c>
    </row>
    <row r="437">
      <c r="A437" s="44" t="inlineStr">
        <is>
          <t>ogilvie_2000</t>
        </is>
      </c>
      <c r="B437" s="44" t="inlineStr">
        <is>
          <t>WQ 2.1.1 — Chlorophyll-a</t>
        </is>
      </c>
      <c r="C437" s="44" t="inlineStr">
        <is>
          <t>Protocol</t>
        </is>
      </c>
      <c r="D437" s="44" t="inlineStr">
        <is>
          <t>Temperature / salinity</t>
        </is>
      </c>
      <c r="E437" s="44" t="inlineStr">
        <is>
          <t>Listed</t>
        </is>
      </c>
      <c r="F437" s="44" t="inlineStr">
        <is>
          <t>Method summary (AK)</t>
        </is>
      </c>
      <c r="G437" s="44" t="inlineStr">
        <is>
          <t>AK: …moor a ctd with a fluorometer on a longline at mid-dept…</t>
        </is>
      </c>
    </row>
    <row r="438">
      <c r="A438" s="44" t="inlineStr">
        <is>
          <t>ogilvie_2000</t>
        </is>
      </c>
      <c r="B438" s="44" t="inlineStr">
        <is>
          <t>WQ 2.1.1 — Chlorophyll-a</t>
        </is>
      </c>
      <c r="C438" s="44" t="inlineStr">
        <is>
          <t>Protocol</t>
        </is>
      </c>
      <c r="D438" s="44" t="inlineStr">
        <is>
          <t>Dissolved nutrients (N &amp; P)</t>
        </is>
      </c>
      <c r="E438" s="44" t="inlineStr">
        <is>
          <t>Listed</t>
        </is>
      </c>
      <c r="F438" s="44" t="inlineStr">
        <is>
          <t>Method summary (AK)</t>
        </is>
      </c>
      <c r="G438" s="44" t="inlineStr">
        <is>
          <t>AK: …ambient chlorophyll and dissolved nutrients (nitrate plus nitrite, reactive phosphorus, ammonium …</t>
        </is>
      </c>
    </row>
    <row r="439">
      <c r="A439" s="44" t="inlineStr">
        <is>
          <t>ogilvie_2000</t>
        </is>
      </c>
      <c r="B439" s="44" t="inlineStr">
        <is>
          <t>WQ 2.1.1 — Chlorophyll-a</t>
        </is>
      </c>
      <c r="C439" s="44" t="inlineStr">
        <is>
          <t>Protocol</t>
        </is>
      </c>
      <c r="D439" s="44" t="inlineStr">
        <is>
          <t>Chlorophyll-a (water)</t>
        </is>
      </c>
      <c r="E439" s="44" t="inlineStr">
        <is>
          <t>Listed</t>
        </is>
      </c>
      <c r="F439" s="44" t="inlineStr">
        <is>
          <t>Method summary (AK)</t>
        </is>
      </c>
      <c r="G439" s="44" t="inlineStr">
        <is>
          <t>AK: …to detect chlorophyll-a depletion by a mussel farm, profile chloro…</t>
        </is>
      </c>
    </row>
    <row r="440">
      <c r="A440" s="44" t="inlineStr">
        <is>
          <t>ogilvie_2000</t>
        </is>
      </c>
      <c r="B440" s="44" t="inlineStr">
        <is>
          <t>WQ 2.1.1 — Chlorophyll-a</t>
        </is>
      </c>
      <c r="C440" s="44" t="inlineStr">
        <is>
          <t>Protocol</t>
        </is>
      </c>
      <c r="D440" s="44" t="inlineStr">
        <is>
          <t>ADCP (currents / waves)</t>
        </is>
      </c>
      <c r="E440" s="44" t="inlineStr">
        <is>
          <t>Listed</t>
        </is>
      </c>
      <c r="F440" s="44" t="inlineStr">
        <is>
          <t>Method summary (AK)</t>
        </is>
      </c>
      <c r="G440" s="44" t="inlineStr">
        <is>
          <t>AK: … several tidal cycles (with a bottom-mounted current profiler for the tide), and on repeat surveys profi…</t>
        </is>
      </c>
    </row>
    <row r="441">
      <c r="A441" s="44" t="inlineStr">
        <is>
          <t>muniz_2019_wq211</t>
        </is>
      </c>
      <c r="B441" s="44" t="inlineStr">
        <is>
          <t>WQ 2.1.1 — Chlorophyll-a</t>
        </is>
      </c>
      <c r="C441" s="44" t="inlineStr">
        <is>
          <t>Protocol</t>
        </is>
      </c>
      <c r="D441" s="44" t="inlineStr">
        <is>
          <t>Temperature / salinity</t>
        </is>
      </c>
      <c r="E441" s="44" t="inlineStr">
        <is>
          <t>Not listed</t>
        </is>
      </c>
      <c r="F441" s="44" t="inlineStr">
        <is>
          <t>Source kit only — Equipment Type (N), not in the protocol</t>
        </is>
      </c>
      <c r="G441" s="44" t="inlineStr">
        <is>
          <t>N: …ctd (seabird 25) with fluorometer and par sensor…</t>
        </is>
      </c>
    </row>
    <row r="442">
      <c r="A442" s="44" t="inlineStr">
        <is>
          <t>muniz_2019_wq211</t>
        </is>
      </c>
      <c r="B442" s="44" t="inlineStr">
        <is>
          <t>WQ 2.1.1 — Chlorophyll-a</t>
        </is>
      </c>
      <c r="C442" s="44" t="inlineStr">
        <is>
          <t>Protocol</t>
        </is>
      </c>
      <c r="D442" s="44" t="inlineStr">
        <is>
          <t>Water clarity / turbidity (Secchi)</t>
        </is>
      </c>
      <c r="E442" s="44" t="inlineStr">
        <is>
          <t>Not listed</t>
        </is>
      </c>
      <c r="F442" s="44" t="inlineStr">
        <is>
          <t>Source kit only — Equipment Type (N), not in the protocol</t>
        </is>
      </c>
      <c r="G442" s="44" t="inlineStr">
        <is>
          <t>N: …ctd (seabird 25) with fluorometer and par sensor…</t>
        </is>
      </c>
    </row>
    <row r="443">
      <c r="A443" s="44" t="inlineStr">
        <is>
          <t>muniz_2019_wq211</t>
        </is>
      </c>
      <c r="B443" s="44" t="inlineStr">
        <is>
          <t>WQ 2.1.1 — Chlorophyll-a</t>
        </is>
      </c>
      <c r="C443" s="44" t="inlineStr">
        <is>
          <t>Protocol</t>
        </is>
      </c>
      <c r="D443" s="44" t="inlineStr">
        <is>
          <t>Chlorophyll-a (water)</t>
        </is>
      </c>
      <c r="E443" s="44" t="inlineStr">
        <is>
          <t>Listed</t>
        </is>
      </c>
      <c r="F443" s="44" t="inlineStr">
        <is>
          <t>Method summary (AK)</t>
        </is>
      </c>
      <c r="G443" s="44" t="inlineStr">
        <is>
          <t>AK: …to track phytoplankton food (chlorophyll-a) at your farm, collect water with a water …</t>
        </is>
      </c>
    </row>
    <row r="444">
      <c r="A444" s="44" t="inlineStr">
        <is>
          <t>muniz_2019_wq211</t>
        </is>
      </c>
      <c r="B444" s="44" t="inlineStr">
        <is>
          <t>WQ 2.1.1 — Chlorophyll-a</t>
        </is>
      </c>
      <c r="C444" s="44" t="inlineStr">
        <is>
          <t>Protocol</t>
        </is>
      </c>
      <c r="D444" s="44" t="inlineStr">
        <is>
          <t>Size-fractionated pigments (HPLC)</t>
        </is>
      </c>
      <c r="E444" s="44" t="inlineStr">
        <is>
          <t>Listed</t>
        </is>
      </c>
      <c r="F444" s="44" t="inlineStr">
        <is>
          <t>Method summary (AK)</t>
        </is>
      </c>
      <c r="G444" s="44" t="inlineStr">
        <is>
          <t>AK: …size fractions (&gt;20, 3-20, &lt;3 um) are optional.…</t>
        </is>
      </c>
    </row>
    <row r="445">
      <c r="A445" s="44" t="inlineStr">
        <is>
          <t>muniz_2019_wq212</t>
        </is>
      </c>
      <c r="B445" s="44" t="inlineStr">
        <is>
          <t>WQ 2.1.2 — Microorganisms</t>
        </is>
      </c>
      <c r="C445" s="44" t="inlineStr">
        <is>
          <t>Protocol</t>
        </is>
      </c>
      <c r="D445" s="44" t="inlineStr">
        <is>
          <t>Temperature / salinity</t>
        </is>
      </c>
      <c r="E445" s="44" t="inlineStr">
        <is>
          <t>Not listed</t>
        </is>
      </c>
      <c r="F445" s="44" t="inlineStr">
        <is>
          <t>Source kit only — Equipment Type (N), not in the protocol</t>
        </is>
      </c>
      <c r="G445" s="44" t="inlineStr">
        <is>
          <t>N: …ctd and nutrient autoanalyser for environmental …</t>
        </is>
      </c>
    </row>
    <row r="446">
      <c r="A446" s="44" t="inlineStr">
        <is>
          <t>muniz_2019_wq212</t>
        </is>
      </c>
      <c r="B446" s="44" t="inlineStr">
        <is>
          <t>WQ 2.1.2 — Microorganisms</t>
        </is>
      </c>
      <c r="C446" s="44" t="inlineStr">
        <is>
          <t>Protocol</t>
        </is>
      </c>
      <c r="D446" s="44" t="inlineStr">
        <is>
          <t>Dissolved nutrients (N &amp; P)</t>
        </is>
      </c>
      <c r="E446" s="44" t="inlineStr">
        <is>
          <t>Not listed</t>
        </is>
      </c>
      <c r="F446" s="44" t="inlineStr">
        <is>
          <t>Source kit only — Equipment Type (N), not in the protocol</t>
        </is>
      </c>
      <c r="G446" s="44" t="inlineStr">
        <is>
          <t>N: …125 ml borosilicate bottles with acidic lugol's (0.4%), dark and…</t>
        </is>
      </c>
    </row>
    <row r="447">
      <c r="A447" s="44" t="inlineStr">
        <is>
          <t>muniz_2019_wq212</t>
        </is>
      </c>
      <c r="B447" s="44" t="inlineStr">
        <is>
          <t>WQ 2.1.2 — Microorganisms</t>
        </is>
      </c>
      <c r="C447" s="44" t="inlineStr">
        <is>
          <t>Protocol</t>
        </is>
      </c>
      <c r="D447" s="44" t="inlineStr">
        <is>
          <t>Phytoplankton community (microscopy)</t>
        </is>
      </c>
      <c r="E447" s="44" t="inlineStr">
        <is>
          <t>Listed</t>
        </is>
      </c>
      <c r="F447" s="44" t="inlineStr">
        <is>
          <t>Method summary (AK)</t>
        </is>
      </c>
      <c r="G447" s="44" t="inlineStr">
        <is>
          <t>AK: …erving [125 ml] per sample at once in acidic lugol's iodine and keeping it dark and cool.…</t>
        </is>
      </c>
    </row>
    <row r="448">
      <c r="A448" s="44" t="inlineStr">
        <is>
          <t>taylor_2024_wq211</t>
        </is>
      </c>
      <c r="B448" s="44" t="inlineStr">
        <is>
          <t>WQ 2.1.1 — Chlorophyll-a</t>
        </is>
      </c>
      <c r="C448" s="44" t="inlineStr">
        <is>
          <t>Protocol</t>
        </is>
      </c>
      <c r="D448" s="44" t="inlineStr">
        <is>
          <t>Temperature / salinity</t>
        </is>
      </c>
      <c r="E448" s="44" t="inlineStr">
        <is>
          <t>Not listed</t>
        </is>
      </c>
      <c r="F448" s="44" t="inlineStr">
        <is>
          <t>Source kit only — Equipment Type (N), not in the protocol</t>
        </is>
      </c>
      <c r="G448" s="44" t="inlineStr">
        <is>
          <t>N: …our moored buoys logging chl a fluorescence, temperature and salinity at 2 m…</t>
        </is>
      </c>
    </row>
    <row r="449">
      <c r="A449" s="44" t="inlineStr">
        <is>
          <t>taylor_2024_wq211</t>
        </is>
      </c>
      <c r="B449" s="44" t="inlineStr">
        <is>
          <t>WQ 2.1.1 — Chlorophyll-a</t>
        </is>
      </c>
      <c r="C449" s="44" t="inlineStr">
        <is>
          <t>Protocol</t>
        </is>
      </c>
      <c r="D449" s="44" t="inlineStr">
        <is>
          <t>Water clarity / turbidity (Secchi)</t>
        </is>
      </c>
      <c r="E449" s="44" t="inlineStr">
        <is>
          <t>Listed</t>
        </is>
      </c>
      <c r="F449" s="44" t="inlineStr">
        <is>
          <t>Method summary (AK)</t>
        </is>
      </c>
      <c r="G449" s="44" t="inlineStr">
        <is>
          <t>AK: …a secchi reading at each station is a cheap extra.…</t>
        </is>
      </c>
    </row>
    <row r="450">
      <c r="A450" s="44" t="inlineStr">
        <is>
          <t>taylor_2024_wq211</t>
        </is>
      </c>
      <c r="B450" s="44" t="inlineStr">
        <is>
          <t>WQ 2.1.1 — Chlorophyll-a</t>
        </is>
      </c>
      <c r="C450" s="44" t="inlineStr">
        <is>
          <t>Protocol</t>
        </is>
      </c>
      <c r="D450" s="44" t="inlineStr">
        <is>
          <t>Chlorophyll-a (water)</t>
        </is>
      </c>
      <c r="E450" s="44" t="inlineStr">
        <is>
          <t>Listed</t>
        </is>
      </c>
      <c r="F450" s="44" t="inlineStr">
        <is>
          <t>Method summary (AK)</t>
        </is>
      </c>
      <c r="G450" s="44" t="inlineStr">
        <is>
          <t>AK: …k and frozen, and have a partner lab measure chlorophyll-a by extraction…</t>
        </is>
      </c>
    </row>
    <row r="451">
      <c r="A451" s="44" t="inlineStr">
        <is>
          <t>taylor_2024_wq211</t>
        </is>
      </c>
      <c r="B451" s="44" t="inlineStr">
        <is>
          <t>WQ 2.1.1 — Chlorophyll-a</t>
        </is>
      </c>
      <c r="C451" s="44" t="inlineStr">
        <is>
          <t>Protocol</t>
        </is>
      </c>
      <c r="D451" s="44" t="inlineStr">
        <is>
          <t>Continuous moored sensors</t>
        </is>
      </c>
      <c r="E451" s="44" t="inlineStr">
        <is>
          <t>Not listed</t>
        </is>
      </c>
      <c r="F451" s="44" t="inlineStr">
        <is>
          <t>Only in a sentence about what the source found</t>
        </is>
      </c>
      <c r="G451" s="44" t="inlineStr">
        <is>
          <t>AK: …the source added moored chlorophyll loggers, boat transects and im…</t>
        </is>
      </c>
    </row>
    <row r="452">
      <c r="A452" s="44" t="inlineStr">
        <is>
          <t>taylor_2024_wq211</t>
        </is>
      </c>
      <c r="B452" s="44" t="inlineStr">
        <is>
          <t>WQ 2.1.1 — Chlorophyll-a</t>
        </is>
      </c>
      <c r="C452" s="44" t="inlineStr">
        <is>
          <t>Protocol</t>
        </is>
      </c>
      <c r="D452" s="44" t="inlineStr">
        <is>
          <t>Drone / UAV imagery</t>
        </is>
      </c>
      <c r="E452" s="44" t="inlineStr">
        <is>
          <t>Not listed</t>
        </is>
      </c>
      <c r="F452" s="44" t="inlineStr">
        <is>
          <t>Source kit only — Equipment Type (N), not in the protocol</t>
        </is>
      </c>
      <c r="G452" s="44" t="inlineStr">
        <is>
          <t>N: …dji phantom 4 drone with white disks (trial remote secchi).…</t>
        </is>
      </c>
    </row>
    <row r="453">
      <c r="A453" s="44" t="inlineStr">
        <is>
          <t>taylor_2024_wq211</t>
        </is>
      </c>
      <c r="B453" s="44" t="inlineStr">
        <is>
          <t>WQ 2.1.1 — Chlorophyll-a</t>
        </is>
      </c>
      <c r="C453" s="44" t="inlineStr">
        <is>
          <t>Protocol</t>
        </is>
      </c>
      <c r="D453" s="44" t="inlineStr">
        <is>
          <t>ADCP (currents / waves)</t>
        </is>
      </c>
      <c r="E453" s="44" t="inlineStr">
        <is>
          <t>Not listed</t>
        </is>
      </c>
      <c r="F453" s="44" t="inlineStr">
        <is>
          <t>Source kit only — Equipment Type (N), not in the protocol</t>
        </is>
      </c>
      <c r="G453" s="44" t="inlineStr">
        <is>
          <t>N: …adcps (rdi workhorse 600 khz, nortek aquadopp)…</t>
        </is>
      </c>
    </row>
    <row r="454">
      <c r="A454" s="44" t="inlineStr">
        <is>
          <t>cugier_2010</t>
        </is>
      </c>
      <c r="B454" s="44" t="inlineStr">
        <is>
          <t>WQ 1.3.1 — Rate of water filtration, WQ 2.1.1 — Chlorophyll-a</t>
        </is>
      </c>
      <c r="C454" s="44" t="inlineStr">
        <is>
          <t>Reference</t>
        </is>
      </c>
      <c r="D454" s="44" t="inlineStr">
        <is>
          <t>Chlorophyll-a (water)</t>
        </is>
      </c>
      <c r="E454" s="44" t="inlineStr">
        <is>
          <t>Listed</t>
        </is>
      </c>
      <c r="F454" s="44" t="inlineStr">
        <is>
          <t>Method summary (AK)</t>
        </is>
      </c>
      <c r="G454" s="44" t="inlineStr">
        <is>
          <t>AK: …ive filter feeders are abundant, attributing chlorophyll depletion specifically to aquaculture requir…</t>
        </is>
      </c>
    </row>
    <row r="455">
      <c r="A455" s="44" t="inlineStr">
        <is>
          <t>cugier_2010</t>
        </is>
      </c>
      <c r="B455" s="44" t="inlineStr">
        <is>
          <t>WQ 1.3.1 — Rate of water filtration, WQ 2.1.1 — Chlorophyll-a</t>
        </is>
      </c>
      <c r="C455" s="44" t="inlineStr">
        <is>
          <t>Reference</t>
        </is>
      </c>
      <c r="D455" s="44" t="inlineStr">
        <is>
          <t>Sediment chemistry (OC / TN / redox / AVS)</t>
        </is>
      </c>
      <c r="E455" s="44" t="inlineStr">
        <is>
          <t>Not listed</t>
        </is>
      </c>
      <c r="F455" s="44" t="inlineStr">
        <is>
          <t>Only in a sentence about what the source found</t>
        </is>
      </c>
      <c r="G455" s="44" t="inlineStr">
        <is>
          <t>AK: … and wild natives, validated against in-situ chlorophyll and nutrients.…</t>
        </is>
      </c>
    </row>
    <row r="456">
      <c r="A456" s="44" t="inlineStr">
        <is>
          <t>cugier_2010</t>
        </is>
      </c>
      <c r="B456" s="44" t="inlineStr">
        <is>
          <t>WQ 1.3.1 — Rate of water filtration, WQ 2.1.1 — Chlorophyll-a</t>
        </is>
      </c>
      <c r="C456" s="44" t="inlineStr">
        <is>
          <t>Reference</t>
        </is>
      </c>
      <c r="D456" s="44" t="inlineStr">
        <is>
          <t>Biodeposition traps</t>
        </is>
      </c>
      <c r="E456" s="44" t="inlineStr">
        <is>
          <t>Not listed</t>
        </is>
      </c>
      <c r="F456" s="44" t="inlineStr">
        <is>
          <t>Source kit only — Equipment Type (N), not in the protocol</t>
        </is>
      </c>
      <c r="G456" s="44" t="inlineStr">
        <is>
          <t>N: …biodeposit + mineralisation modules…</t>
        </is>
      </c>
    </row>
    <row r="457">
      <c r="A457" s="44" t="inlineStr">
        <is>
          <t>cugier_2010</t>
        </is>
      </c>
      <c r="B457" s="44" t="inlineStr">
        <is>
          <t>WQ 1.3.1 — Rate of water filtration, WQ 2.1.1 — Chlorophyll-a</t>
        </is>
      </c>
      <c r="C457" s="44" t="inlineStr">
        <is>
          <t>Reference</t>
        </is>
      </c>
      <c r="D457" s="44" t="inlineStr">
        <is>
          <t>Nets &amp; baited traps</t>
        </is>
      </c>
      <c r="E457" s="44" t="inlineStr">
        <is>
          <t>Listed</t>
        </is>
      </c>
      <c r="F457" s="44" t="inlineStr">
        <is>
          <t>Method summary (AK)</t>
        </is>
      </c>
      <c r="G457" s="44" t="inlineStr">
        <is>
          <t>AK: …n specifically to aquaculture requires disentangling their contributions.…</t>
        </is>
      </c>
    </row>
    <row r="458">
      <c r="A458" s="44" t="inlineStr">
        <is>
          <t>jiang_2019_wq121</t>
        </is>
      </c>
      <c r="B458" s="44" t="inlineStr">
        <is>
          <t>WQ 1.2.1 — Dissolved oxygen</t>
        </is>
      </c>
      <c r="C458" s="44" t="inlineStr">
        <is>
          <t>Protocol</t>
        </is>
      </c>
      <c r="D458" s="44" t="inlineStr">
        <is>
          <t>Temperature / salinity</t>
        </is>
      </c>
      <c r="E458" s="44" t="inlineStr">
        <is>
          <t>Listed</t>
        </is>
      </c>
      <c r="F458" s="44" t="inlineStr">
        <is>
          <t>Method summary (AK)</t>
        </is>
      </c>
      <c r="G458" s="44" t="inlineStr">
        <is>
          <t>AK: …tner lab is the reference method), recording temperature and salinity alongside.…</t>
        </is>
      </c>
    </row>
    <row r="459">
      <c r="A459" s="44" t="inlineStr">
        <is>
          <t>jiang_2019_wq121</t>
        </is>
      </c>
      <c r="B459" s="44" t="inlineStr">
        <is>
          <t>WQ 1.2.1 — Dissolved oxygen</t>
        </is>
      </c>
      <c r="C459" s="44" t="inlineStr">
        <is>
          <t>Protocol</t>
        </is>
      </c>
      <c r="D459" s="44" t="inlineStr">
        <is>
          <t>Dissolved oxygen</t>
        </is>
      </c>
      <c r="E459" s="44" t="inlineStr">
        <is>
          <t>Listed</t>
        </is>
      </c>
      <c r="F459" s="44" t="inlineStr">
        <is>
          <t>Method summary (AK)</t>
        </is>
      </c>
      <c r="G459" s="44" t="inlineStr">
        <is>
          <t>AK: …to see whether your oyster farm affects dissolved oxygen, sample the farm centre and [2] control area…</t>
        </is>
      </c>
    </row>
    <row r="460">
      <c r="A460" s="44" t="inlineStr">
        <is>
          <t>jiang_2019_wq121</t>
        </is>
      </c>
      <c r="B460" s="44" t="inlineStr">
        <is>
          <t>WQ 1.2.1 — Dissolved oxygen</t>
        </is>
      </c>
      <c r="C460" s="44" t="inlineStr">
        <is>
          <t>Protocol</t>
        </is>
      </c>
      <c r="D460" s="44" t="inlineStr">
        <is>
          <t>Water clarity / turbidity (Secchi)</t>
        </is>
      </c>
      <c r="E460" s="44" t="inlineStr">
        <is>
          <t>Not listed</t>
        </is>
      </c>
      <c r="F460" s="44" t="inlineStr">
        <is>
          <t>Source kit only — Equipment Type (N), not in the protocol</t>
        </is>
      </c>
      <c r="G460" s="44" t="inlineStr">
        <is>
          <t>N: …secchi disc.…</t>
        </is>
      </c>
    </row>
    <row r="461">
      <c r="A461" s="44" t="inlineStr">
        <is>
          <t>jiang_2019_wq211</t>
        </is>
      </c>
      <c r="B461" s="44" t="inlineStr">
        <is>
          <t>WQ 2.1.1 — Chlorophyll-a</t>
        </is>
      </c>
      <c r="C461" s="44" t="inlineStr">
        <is>
          <t>Protocol</t>
        </is>
      </c>
      <c r="D461" s="44" t="inlineStr">
        <is>
          <t>Chlorophyll-a (water)</t>
        </is>
      </c>
      <c r="E461" s="44" t="inlineStr">
        <is>
          <t>Listed</t>
        </is>
      </c>
      <c r="F461" s="44" t="inlineStr">
        <is>
          <t>Method summary (AK)</t>
        </is>
      </c>
      <c r="G461" s="44" t="inlineStr">
        <is>
          <t>AK: …partner lab extract them in acetone and read chlorophyll-a and phaeopigments on a fluorometer.…</t>
        </is>
      </c>
    </row>
    <row r="462">
      <c r="A462" s="44" t="inlineStr">
        <is>
          <t>jiang_2019_wq211</t>
        </is>
      </c>
      <c r="B462" s="44" t="inlineStr">
        <is>
          <t>WQ 2.1.1 — Chlorophyll-a</t>
        </is>
      </c>
      <c r="C462" s="44" t="inlineStr">
        <is>
          <t>Protocol</t>
        </is>
      </c>
      <c r="D462" s="44" t="inlineStr">
        <is>
          <t>Size-fractionated pigments (HPLC)</t>
        </is>
      </c>
      <c r="E462" s="44" t="inlineStr">
        <is>
          <t>Listed</t>
        </is>
      </c>
      <c r="F462" s="44" t="inlineStr">
        <is>
          <t>Method summary (AK)</t>
        </is>
      </c>
      <c r="G462" s="44" t="inlineStr">
        <is>
          <t>AK: …compare farm and control chlorophyll-a, by size fraction and depth, and the phaeopigment-to-chlorophy…</t>
        </is>
      </c>
    </row>
    <row r="463">
      <c r="A463" s="44" t="inlineStr">
        <is>
          <t>jiang_2019_wq212</t>
        </is>
      </c>
      <c r="B463" s="44" t="inlineStr">
        <is>
          <t>WQ 2.1.2 — Microorganisms</t>
        </is>
      </c>
      <c r="C463" s="44" t="inlineStr">
        <is>
          <t>Protocol</t>
        </is>
      </c>
      <c r="D463" s="44" t="inlineStr">
        <is>
          <t>Chlorophyll-a (water)</t>
        </is>
      </c>
      <c r="E463" s="44" t="inlineStr">
        <is>
          <t>Listed</t>
        </is>
      </c>
      <c r="F463" s="44" t="inlineStr">
        <is>
          <t>Method summary (AK)</t>
        </is>
      </c>
      <c r="G463" s="44" t="inlineStr">
        <is>
          <t>AK: …size-fractionated chlorophyll-a can track them.…</t>
        </is>
      </c>
    </row>
    <row r="464">
      <c r="A464" s="44" t="inlineStr">
        <is>
          <t>jiang_2019_wq212</t>
        </is>
      </c>
      <c r="B464" s="44" t="inlineStr">
        <is>
          <t>WQ 2.1.2 — Microorganisms</t>
        </is>
      </c>
      <c r="C464" s="44" t="inlineStr">
        <is>
          <t>Protocol</t>
        </is>
      </c>
      <c r="D464" s="44" t="inlineStr">
        <is>
          <t>Phytoplankton community (microscopy)</t>
        </is>
      </c>
      <c r="E464" s="44" t="inlineStr">
        <is>
          <t>Listed</t>
        </is>
      </c>
      <c r="F464" s="44" t="inlineStr">
        <is>
          <t>Method summary (AK)</t>
        </is>
      </c>
      <c r="G464" s="44" t="inlineStr">
        <is>
          <t>AK: …to track the phytoplankton community at your farm, collect water from the surface…</t>
        </is>
      </c>
    </row>
    <row r="465">
      <c r="A465" s="44" t="inlineStr">
        <is>
          <t>jiang_2019_wq212</t>
        </is>
      </c>
      <c r="B465" s="44" t="inlineStr">
        <is>
          <t>WQ 2.1.2 — Microorganisms</t>
        </is>
      </c>
      <c r="C465" s="44" t="inlineStr">
        <is>
          <t>Protocol</t>
        </is>
      </c>
      <c r="D465" s="44" t="inlineStr">
        <is>
          <t>Size-fractionated pigments (HPLC)</t>
        </is>
      </c>
      <c r="E465" s="44" t="inlineStr">
        <is>
          <t>Listed</t>
        </is>
      </c>
      <c r="F465" s="44" t="inlineStr">
        <is>
          <t>Method summary (AK)</t>
        </is>
      </c>
      <c r="G465" s="44" t="inlineStr">
        <is>
          <t>AK: …size-fractionated chlorophyll-a can track them.…</t>
        </is>
      </c>
    </row>
    <row r="466">
      <c r="A466" s="44" t="inlineStr">
        <is>
          <t>jiang_2016_wq211</t>
        </is>
      </c>
      <c r="B466" s="44" t="inlineStr">
        <is>
          <t>WQ 2.1.1 — Chlorophyll-a</t>
        </is>
      </c>
      <c r="C466" s="44" t="inlineStr">
        <is>
          <t>Protocol</t>
        </is>
      </c>
      <c r="D466" s="44" t="inlineStr">
        <is>
          <t>Chlorophyll-a (water)</t>
        </is>
      </c>
      <c r="E466" s="44" t="inlineStr">
        <is>
          <t>Listed</t>
        </is>
      </c>
      <c r="F466" s="44" t="inlineStr">
        <is>
          <t>Method summary (AK)</t>
        </is>
      </c>
      <c r="G466" s="44" t="inlineStr">
        <is>
          <t>AK: …d frozen, and send them to a partner lab for chlorophyll-a.…</t>
        </is>
      </c>
    </row>
    <row r="467">
      <c r="A467" s="44" t="inlineStr">
        <is>
          <t>jiang_2016_wq211</t>
        </is>
      </c>
      <c r="B467" s="44" t="inlineStr">
        <is>
          <t>WQ 2.1.1 — Chlorophyll-a</t>
        </is>
      </c>
      <c r="C467" s="44" t="inlineStr">
        <is>
          <t>Protocol</t>
        </is>
      </c>
      <c r="D467" s="44" t="inlineStr">
        <is>
          <t>Size-fractionated pigments (HPLC)</t>
        </is>
      </c>
      <c r="E467" s="44" t="inlineStr">
        <is>
          <t>Not listed</t>
        </is>
      </c>
      <c r="F467" s="44" t="inlineStr">
        <is>
          <t>Source kit only — Equipment Type (N), not in the protocol</t>
        </is>
      </c>
      <c r="G467" s="44" t="inlineStr">
        <is>
          <t>N: …agilent 1200 hplc with c8 column and diode-array detector (22 …</t>
        </is>
      </c>
    </row>
    <row r="468">
      <c r="A468" s="44" t="inlineStr">
        <is>
          <t>jiang_2016_wq212</t>
        </is>
      </c>
      <c r="B468" s="44" t="inlineStr">
        <is>
          <t>WQ 2.1.2 — Microorganisms</t>
        </is>
      </c>
      <c r="C468" s="44" t="inlineStr">
        <is>
          <t>Protocol</t>
        </is>
      </c>
      <c r="D468" s="44" t="inlineStr">
        <is>
          <t>Chlorophyll-a (water)</t>
        </is>
      </c>
      <c r="E468" s="44" t="inlineStr">
        <is>
          <t>Not listed</t>
        </is>
      </c>
      <c r="F468" s="44" t="inlineStr">
        <is>
          <t>Source kit only — Equipment Type (N), not in the protocol</t>
        </is>
      </c>
      <c r="G468" s="44" t="inlineStr">
        <is>
          <t>N: …ially through 20 um nylon, gf/d (2.7 um) and gf/f (0.7 um) filters…</t>
        </is>
      </c>
    </row>
    <row r="469">
      <c r="A469" s="44" t="inlineStr">
        <is>
          <t>jiang_2016_wq212</t>
        </is>
      </c>
      <c r="B469" s="44" t="inlineStr">
        <is>
          <t>WQ 2.1.2 — Microorganisms</t>
        </is>
      </c>
      <c r="C469" s="44" t="inlineStr">
        <is>
          <t>Protocol</t>
        </is>
      </c>
      <c r="D469" s="44" t="inlineStr">
        <is>
          <t>Phytoplankton community (microscopy)</t>
        </is>
      </c>
      <c r="E469" s="44" t="inlineStr">
        <is>
          <t>Listed</t>
        </is>
      </c>
      <c r="F469" s="44" t="inlineStr">
        <is>
          <t>Method summary (AK)</t>
        </is>
      </c>
      <c r="G469" s="44" t="inlineStr">
        <is>
          <t>AK: …artner lab for hplc pigments, which separate diatoms, dinoflagellates, flagellates, green picopl…</t>
        </is>
      </c>
    </row>
    <row r="470">
      <c r="A470" s="44" t="inlineStr">
        <is>
          <t>jiang_2016_wq212</t>
        </is>
      </c>
      <c r="B470" s="44" t="inlineStr">
        <is>
          <t>WQ 2.1.2 — Microorganisms</t>
        </is>
      </c>
      <c r="C470" s="44" t="inlineStr">
        <is>
          <t>Protocol</t>
        </is>
      </c>
      <c r="D470" s="44" t="inlineStr">
        <is>
          <t>Flow cytometry</t>
        </is>
      </c>
      <c r="E470" s="44" t="inlineStr">
        <is>
          <t>Listed</t>
        </is>
      </c>
      <c r="F470" s="44" t="inlineStr">
        <is>
          <t>Method summary (AK)</t>
        </is>
      </c>
      <c r="G470" s="44" t="inlineStr">
        <is>
          <t>AK: …a fixed sample for flow cytometry adds picoplankton counts.…</t>
        </is>
      </c>
    </row>
    <row r="471">
      <c r="A471" s="44" t="inlineStr">
        <is>
          <t>jiang_2016_wq212</t>
        </is>
      </c>
      <c r="B471" s="44" t="inlineStr">
        <is>
          <t>WQ 2.1.2 — Microorganisms</t>
        </is>
      </c>
      <c r="C471" s="44" t="inlineStr">
        <is>
          <t>Protocol</t>
        </is>
      </c>
      <c r="D471" s="44" t="inlineStr">
        <is>
          <t>Size-fractionated pigments (HPLC)</t>
        </is>
      </c>
      <c r="E471" s="44" t="inlineStr">
        <is>
          <t>Listed</t>
        </is>
      </c>
      <c r="F471" s="44" t="inlineStr">
        <is>
          <t>Method summary (AK)</t>
        </is>
      </c>
      <c r="G471" s="44" t="inlineStr">
        <is>
          <t>AK: …nitrogen) and send them to a partner lab for hplc pigments, which separate diatoms, dinoflagel…</t>
        </is>
      </c>
    </row>
    <row r="472">
      <c r="A472" s="44" t="inlineStr">
        <is>
          <t>rahman_2020_wq131</t>
        </is>
      </c>
      <c r="B472" s="44" t="inlineStr">
        <is>
          <t>WQ 1.3.1 — Rate of water filtration</t>
        </is>
      </c>
      <c r="C472" s="44" t="inlineStr">
        <is>
          <t>Protocol</t>
        </is>
      </c>
      <c r="D472" s="44" t="inlineStr">
        <is>
          <t>Bivalve condition index / growth</t>
        </is>
      </c>
      <c r="E472" s="44" t="inlineStr">
        <is>
          <t>Listed</t>
        </is>
      </c>
      <c r="F472" s="44" t="inlineStr">
        <is>
          <t>Method summary (AK) — inferred from the overall procedure</t>
        </is>
      </c>
      <c r="G472" s="44" t="inlineStr">
        <is>
          <t>AK: size of the stock (mollusc row)</t>
        </is>
      </c>
    </row>
    <row r="473">
      <c r="A473" s="44" t="inlineStr">
        <is>
          <t>rahman_2020_wq131</t>
        </is>
      </c>
      <c r="B473" s="44" t="inlineStr">
        <is>
          <t>WQ 1.3.1 — Rate of water filtration</t>
        </is>
      </c>
      <c r="C473" s="44" t="inlineStr">
        <is>
          <t>Protocol</t>
        </is>
      </c>
      <c r="D473" s="44" t="inlineStr">
        <is>
          <t>Phytoplankton community (microscopy)</t>
        </is>
      </c>
      <c r="E473" s="44" t="inlineStr">
        <is>
          <t>Not listed</t>
        </is>
      </c>
      <c r="F473" s="44" t="inlineStr">
        <is>
          <t>Source kit only — Equipment Type (N), not in the protocol</t>
        </is>
      </c>
      <c r="G473" s="44" t="inlineStr">
        <is>
          <t>N: …5 um polycarbonate filtration, lugol's iodine, sedgewick-rafter chamber and phase…</t>
        </is>
      </c>
    </row>
    <row r="474">
      <c r="A474" s="44" t="inlineStr">
        <is>
          <t>rahman_2020_wq131</t>
        </is>
      </c>
      <c r="B474" s="44" t="inlineStr">
        <is>
          <t>WQ 1.3.1 — Rate of water filtration</t>
        </is>
      </c>
      <c r="C474" s="44" t="inlineStr">
        <is>
          <t>Protocol</t>
        </is>
      </c>
      <c r="D474" s="44" t="inlineStr">
        <is>
          <t>Flow cytometry</t>
        </is>
      </c>
      <c r="E474" s="44" t="inlineStr">
        <is>
          <t>Not listed</t>
        </is>
      </c>
      <c r="F474" s="44" t="inlineStr">
        <is>
          <t>Source kit only — Equipment Type (N), not in the protocol</t>
        </is>
      </c>
      <c r="G474" s="44" t="inlineStr">
        <is>
          <t>N: …facscanto ii flow cytometer (glutaraldehyde-fixed samples, sybr green …</t>
        </is>
      </c>
    </row>
    <row r="475">
      <c r="A475" s="44" t="inlineStr">
        <is>
          <t>ysebaert_2018</t>
        </is>
      </c>
      <c r="B475" s="44" t="inlineStr">
        <is>
          <t>CC 3.1.1 — Wave attenuation / coastal protection, H&amp;B 1.1.1 — Epibiota, H&amp;B 1.4.1 — Sediment, H&amp;B 2.1.1 — Community composition</t>
        </is>
      </c>
      <c r="C475" s="44" t="inlineStr">
        <is>
          <t>Reference</t>
        </is>
      </c>
      <c r="D475" s="44" t="inlineStr">
        <is>
          <t>Benthic infauna community</t>
        </is>
      </c>
      <c r="E475" s="44" t="inlineStr">
        <is>
          <t>Not listed</t>
        </is>
      </c>
      <c r="F475" s="44" t="inlineStr">
        <is>
          <t>Review / framework reference (no procedure)</t>
        </is>
      </c>
      <c r="G475" s="44" t="inlineStr">
        <is>
          <t>AK: …t and monitoring approaches (epibiota cover, infaunal cores, rtk sediment-elevation surveys, bef…</t>
        </is>
      </c>
    </row>
    <row r="476">
      <c r="A476" s="44" t="inlineStr">
        <is>
          <t>ysebaert_2018</t>
        </is>
      </c>
      <c r="B476" s="44" t="inlineStr">
        <is>
          <t>CC 3.1.1 — Wave attenuation / coastal protection, H&amp;B 1.1.1 — Epibiota, H&amp;B 1.4.1 — Sediment, H&amp;B 2.1.1 — Community composition</t>
        </is>
      </c>
      <c r="C476" s="44" t="inlineStr">
        <is>
          <t>Reference</t>
        </is>
      </c>
      <c r="D476" s="44" t="inlineStr">
        <is>
          <t>Epibiota on lines / structures</t>
        </is>
      </c>
      <c r="E476" s="44" t="inlineStr">
        <is>
          <t>Not listed</t>
        </is>
      </c>
      <c r="F476" s="44" t="inlineStr">
        <is>
          <t>Review / framework reference (no procedure)</t>
        </is>
      </c>
      <c r="G476" s="44" t="inlineStr">
        <is>
          <t>AK: …eef-establishment and monitoring approaches (epibiota cover, infaunal cores, rtk sediment-elevati…</t>
        </is>
      </c>
    </row>
    <row r="477">
      <c r="A477" s="44" t="inlineStr">
        <is>
          <t>goedefroo_2022_hb111</t>
        </is>
      </c>
      <c r="B477" s="44" t="inlineStr">
        <is>
          <t>H&amp;B 1.1.1 — Epibiota</t>
        </is>
      </c>
      <c r="C477" s="44" t="inlineStr">
        <is>
          <t>Protocol</t>
        </is>
      </c>
      <c r="D477" s="44" t="inlineStr">
        <is>
          <t>Time-lapse / GoPro cameras</t>
        </is>
      </c>
      <c r="E477" s="44" t="inlineStr">
        <is>
          <t>Listed</t>
        </is>
      </c>
      <c r="F477" s="44" t="inlineStr">
        <is>
          <t>Method summary (AK)</t>
        </is>
      </c>
      <c r="G477" s="44" t="inlineStr">
        <is>
          <t>AK: …diver or camera passes along the lines add a quick picture o…</t>
        </is>
      </c>
    </row>
    <row r="478">
      <c r="A478" s="44" t="inlineStr">
        <is>
          <t>goedefroo_2022_hb111</t>
        </is>
      </c>
      <c r="B478" s="44" t="inlineStr">
        <is>
          <t>H&amp;B 1.1.1 — Epibiota</t>
        </is>
      </c>
      <c r="C478" s="44" t="inlineStr">
        <is>
          <t>Protocol</t>
        </is>
      </c>
      <c r="D478" s="44" t="inlineStr">
        <is>
          <t>Epibiota on lines / structures</t>
        </is>
      </c>
      <c r="E478" s="44" t="inlineStr">
        <is>
          <t>Listed</t>
        </is>
      </c>
      <c r="F478" s="44" t="inlineStr">
        <is>
          <t>Method summary (AK)</t>
        </is>
      </c>
      <c r="G478" s="44" t="inlineStr">
        <is>
          <t>AK: …to measure the fouling community on your mussel lines, cut a [50 cm] segment …</t>
        </is>
      </c>
    </row>
    <row r="479">
      <c r="A479" s="44" t="inlineStr">
        <is>
          <t>goedefroo_2022_hb111</t>
        </is>
      </c>
      <c r="B479" s="44" t="inlineStr">
        <is>
          <t>H&amp;B 1.1.1 — Epibiota</t>
        </is>
      </c>
      <c r="C479" s="44" t="inlineStr">
        <is>
          <t>Protocol</t>
        </is>
      </c>
      <c r="D479" s="44" t="inlineStr">
        <is>
          <t>Epifauna on crop / rope</t>
        </is>
      </c>
      <c r="E479" s="44" t="inlineStr">
        <is>
          <t>Listed</t>
        </is>
      </c>
      <c r="F479" s="44" t="inlineStr">
        <is>
          <t>Method summary (AK)</t>
        </is>
      </c>
      <c r="G479" s="44" t="inlineStr">
        <is>
          <t>AK: …it, subsampling very abundant groups such as amphipods.…</t>
        </is>
      </c>
    </row>
    <row r="480">
      <c r="A480" s="44" t="inlineStr">
        <is>
          <t>goedefroo_2022_hb131</t>
        </is>
      </c>
      <c r="B480" s="44" t="inlineStr">
        <is>
          <t>H&amp;B 1.3.1 — Benthic infauna</t>
        </is>
      </c>
      <c r="C480" s="44" t="inlineStr">
        <is>
          <t>Protocol</t>
        </is>
      </c>
      <c r="D480" s="44" t="inlineStr">
        <is>
          <t>Benthic infauna community</t>
        </is>
      </c>
      <c r="E480" s="44" t="inlineStr">
        <is>
          <t>Listed</t>
        </is>
      </c>
      <c r="F480" s="44" t="inlineStr">
        <is>
          <t>Method summary (AK)</t>
        </is>
      </c>
      <c r="G480" s="44" t="inlineStr">
        <is>
          <t>AK: …to check the bottom-living animals under and around your mussel lines, take gr…</t>
        </is>
      </c>
    </row>
    <row r="481">
      <c r="A481" s="44" t="inlineStr">
        <is>
          <t>goedefroo_2022_hb131</t>
        </is>
      </c>
      <c r="B481" s="44" t="inlineStr">
        <is>
          <t>H&amp;B 1.3.1 — Benthic infauna</t>
        </is>
      </c>
      <c r="C481" s="44" t="inlineStr">
        <is>
          <t>Protocol</t>
        </is>
      </c>
      <c r="D481" s="44" t="inlineStr">
        <is>
          <t>Epifauna on crop / rope</t>
        </is>
      </c>
      <c r="E481" s="44" t="inlineStr">
        <is>
          <t>Listed</t>
        </is>
      </c>
      <c r="F481" s="44" t="inlineStr">
        <is>
          <t>Method summary (AK)</t>
        </is>
      </c>
      <c r="G481" s="44" t="inlineStr">
        <is>
          <t>AK: …t and identify the macrobenthos, leaving out epifauna and meiofauna that a grab samples poorly.…</t>
        </is>
      </c>
    </row>
    <row r="482">
      <c r="A482" s="44" t="inlineStr">
        <is>
          <t>goedefroo_2022_hb211</t>
        </is>
      </c>
      <c r="B482" s="44" t="inlineStr">
        <is>
          <t>H&amp;B 2.1.1 — Community composition</t>
        </is>
      </c>
      <c r="C482" s="44" t="inlineStr">
        <is>
          <t>Protocol</t>
        </is>
      </c>
      <c r="D482" s="44" t="inlineStr">
        <is>
          <t>Benthic infauna community</t>
        </is>
      </c>
      <c r="E482" s="44" t="inlineStr">
        <is>
          <t>Listed</t>
        </is>
      </c>
      <c r="F482" s="44" t="inlineStr">
        <is>
          <t>Method summary (AK)</t>
        </is>
      </c>
      <c r="G482" s="44" t="inlineStr">
        <is>
          <t>AK: …to compare the seabed community under your farm with the surrounding seabed…</t>
        </is>
      </c>
    </row>
    <row r="483">
      <c r="A483" s="44" t="inlineStr">
        <is>
          <t>goedefroo_2022_hb211</t>
        </is>
      </c>
      <c r="B483" s="44" t="inlineStr">
        <is>
          <t>H&amp;B 2.1.1 — Community composition</t>
        </is>
      </c>
      <c r="C483" s="44" t="inlineStr">
        <is>
          <t>Protocol</t>
        </is>
      </c>
      <c r="D483" s="44" t="inlineStr">
        <is>
          <t>Visual census / belt transects</t>
        </is>
      </c>
      <c r="E483" s="44" t="inlineStr">
        <is>
          <t>Listed</t>
        </is>
      </c>
      <c r="F483" s="44" t="inlineStr">
        <is>
          <t>Method summary (AK)</t>
        </is>
      </c>
      <c r="G483" s="44" t="inlineStr">
        <is>
          <t>AK: …ear and record the reef's extent by video or diver survey alongside.…</t>
        </is>
      </c>
    </row>
    <row r="484">
      <c r="A484" s="44" t="inlineStr">
        <is>
          <t>lin_2016_wq211</t>
        </is>
      </c>
      <c r="B484" s="44" t="inlineStr">
        <is>
          <t>WQ 2.1.1 — Chlorophyll-a</t>
        </is>
      </c>
      <c r="C484" s="44" t="inlineStr">
        <is>
          <t>Protocol</t>
        </is>
      </c>
      <c r="D484" s="44" t="inlineStr">
        <is>
          <t>Temperature / salinity</t>
        </is>
      </c>
      <c r="E484" s="44" t="inlineStr">
        <is>
          <t>Listed</t>
        </is>
      </c>
      <c r="F484" s="44" t="inlineStr">
        <is>
          <t>Method summary (AK)</t>
        </is>
      </c>
      <c r="G484" s="44" t="inlineStr">
        <is>
          <t>AK: …hlorophyll fluorescence sensor (ideally with temperature and salinity) from the surface to near the s…</t>
        </is>
      </c>
    </row>
    <row r="485">
      <c r="A485" s="44" t="inlineStr">
        <is>
          <t>lin_2016_wq211</t>
        </is>
      </c>
      <c r="B485" s="44" t="inlineStr">
        <is>
          <t>WQ 2.1.1 — Chlorophyll-a</t>
        </is>
      </c>
      <c r="C485" s="44" t="inlineStr">
        <is>
          <t>Protocol</t>
        </is>
      </c>
      <c r="D485" s="44" t="inlineStr">
        <is>
          <t>Chlorophyll-a (water)</t>
        </is>
      </c>
      <c r="E485" s="44" t="inlineStr">
        <is>
          <t>Listed</t>
        </is>
      </c>
      <c r="F485" s="44" t="inlineStr">
        <is>
          <t>Method summary (AK)</t>
        </is>
      </c>
      <c r="G485" s="44" t="inlineStr">
        <is>
          <t>AK: …ture lines, while deeper water can hold more chlorophyll as particles sink.…</t>
        </is>
      </c>
    </row>
    <row r="486">
      <c r="A486" s="44" t="inlineStr">
        <is>
          <t>lin_2016_wq211</t>
        </is>
      </c>
      <c r="B486" s="44" t="inlineStr">
        <is>
          <t>WQ 2.1.1 — Chlorophyll-a</t>
        </is>
      </c>
      <c r="C486" s="44" t="inlineStr">
        <is>
          <t>Protocol</t>
        </is>
      </c>
      <c r="D486" s="44" t="inlineStr">
        <is>
          <t>Sediment chemistry (OC / TN / redox / AVS)</t>
        </is>
      </c>
      <c r="E486" s="44" t="inlineStr">
        <is>
          <t>Listed</t>
        </is>
      </c>
      <c r="F486" s="44" t="inlineStr">
        <is>
          <t>Method summary (AK)</t>
        </is>
      </c>
      <c r="G486" s="44" t="inlineStr">
        <is>
          <t>AK: …spended farm depletes phytoplankton, lower a chlorophyll fluorescence sensor (ideally with temperatur…</t>
        </is>
      </c>
    </row>
    <row r="487">
      <c r="A487" s="44" t="inlineStr">
        <is>
          <t>briant_2018</t>
        </is>
      </c>
      <c r="B487" s="44" t="inlineStr">
        <is>
          <t>WQ 1.1.1 — N and P bioextraction</t>
        </is>
      </c>
      <c r="C487" s="44" t="inlineStr">
        <is>
          <t>Protocol</t>
        </is>
      </c>
      <c r="D487" s="44" t="inlineStr">
        <is>
          <t>Tissue elemental (CHN) analysis</t>
        </is>
      </c>
      <c r="E487" s="44" t="inlineStr">
        <is>
          <t>Not listed</t>
        </is>
      </c>
      <c r="F487" s="44" t="inlineStr">
        <is>
          <t>Source kit only — Equipment Type (N), not in the protocol</t>
        </is>
      </c>
      <c r="G487" s="44" t="inlineStr">
        <is>
          <t>N: …400 ug aliquots on carlo erba nc2500 elemental analyzer + isoprime gv instruments irms… (indicator → tissue)</t>
        </is>
      </c>
    </row>
    <row r="488">
      <c r="A488" s="44" t="inlineStr">
        <is>
          <t>briant_2018</t>
        </is>
      </c>
      <c r="B488" s="44" t="inlineStr">
        <is>
          <t>WQ 1.1.1 — N and P bioextraction</t>
        </is>
      </c>
      <c r="C488" s="44" t="inlineStr">
        <is>
          <t>Protocol</t>
        </is>
      </c>
      <c r="D488" s="44" t="inlineStr">
        <is>
          <t>Stable isotopes (d13C / d15N)</t>
        </is>
      </c>
      <c r="E488" s="44" t="inlineStr">
        <is>
          <t>Listed</t>
        </is>
      </c>
      <c r="F488" s="44" t="inlineStr">
        <is>
          <t>Method summary (AK)</t>
        </is>
      </c>
      <c r="G488" s="44" t="inlineStr">
        <is>
          <t>AK: …-15-n on an elemental analyser coupled to an irms against certified standards.…</t>
        </is>
      </c>
    </row>
    <row r="489">
      <c r="A489" s="44" t="inlineStr">
        <is>
          <t>smithsonianmarinegeo_2022_hb111</t>
        </is>
      </c>
      <c r="B489" s="44" t="inlineStr">
        <is>
          <t>H&amp;B 1.1.1 — Epibiota</t>
        </is>
      </c>
      <c r="C489" s="44" t="inlineStr">
        <is>
          <t>Protocol</t>
        </is>
      </c>
      <c r="D489" s="44" t="inlineStr">
        <is>
          <t>Temperature / salinity</t>
        </is>
      </c>
      <c r="E489" s="44" t="inlineStr">
        <is>
          <t>Not listed</t>
        </is>
      </c>
      <c r="F489" s="44" t="inlineStr">
        <is>
          <t>Source kit only — Equipment Type (N), not in the protocol</t>
        </is>
      </c>
      <c r="G489" s="44" t="inlineStr">
        <is>
          <t>N: …multiparameter sonde for temperature and salinity…</t>
        </is>
      </c>
    </row>
    <row r="490">
      <c r="A490" s="44" t="inlineStr">
        <is>
          <t>smithsonianmarinegeo_2022_hb111</t>
        </is>
      </c>
      <c r="B490" s="44" t="inlineStr">
        <is>
          <t>H&amp;B 1.1.1 — Epibiota</t>
        </is>
      </c>
      <c r="C490" s="44" t="inlineStr">
        <is>
          <t>Protocol</t>
        </is>
      </c>
      <c r="D490" s="44" t="inlineStr">
        <is>
          <t>Time-lapse / GoPro cameras</t>
        </is>
      </c>
      <c r="E490" s="44" t="inlineStr">
        <is>
          <t>Not listed</t>
        </is>
      </c>
      <c r="F490" s="44" t="inlineStr">
        <is>
          <t>Source kit only — Equipment Type (N), not in the protocol</t>
        </is>
      </c>
      <c r="G490" s="44" t="inlineStr">
        <is>
          <t>N: …camera…</t>
        </is>
      </c>
    </row>
    <row r="491">
      <c r="A491" s="44" t="inlineStr">
        <is>
          <t>smithsonianmarinegeo_2022_hb111</t>
        </is>
      </c>
      <c r="B491" s="44" t="inlineStr">
        <is>
          <t>H&amp;B 1.1.1 — Epibiota</t>
        </is>
      </c>
      <c r="C491" s="44" t="inlineStr">
        <is>
          <t>Protocol</t>
        </is>
      </c>
      <c r="D491" s="44" t="inlineStr">
        <is>
          <t>Settlement plates / artificial substrata</t>
        </is>
      </c>
      <c r="E491" s="44" t="inlineStr">
        <is>
          <t>Listed</t>
        </is>
      </c>
      <c r="F491" s="44" t="inlineStr">
        <is>
          <t>Method summary (AK)</t>
        </is>
      </c>
      <c r="G491" s="44" t="inlineStr">
        <is>
          <t>AK: …what grows among your farmed stock, hang [3] settlement panels - 13 × 13 cm squares of sanded pvc, rough s…</t>
        </is>
      </c>
    </row>
    <row r="492">
      <c r="A492" s="44" t="inlineStr">
        <is>
          <t>smithsonianmarinegeo_2022_hb111</t>
        </is>
      </c>
      <c r="B492" s="44" t="inlineStr">
        <is>
          <t>H&amp;B 1.1.1 — Epibiota</t>
        </is>
      </c>
      <c r="C492" s="44" t="inlineStr">
        <is>
          <t>Protocol</t>
        </is>
      </c>
      <c r="D492" s="44" t="inlineStr">
        <is>
          <t>Bivalve condition index / growth</t>
        </is>
      </c>
      <c r="E492" s="44" t="inlineStr">
        <is>
          <t>Listed</t>
        </is>
      </c>
      <c r="F492" s="44" t="inlineStr">
        <is>
          <t>Method summary (AK)</t>
        </is>
      </c>
      <c r="G492" s="44" t="inlineStr">
        <is>
          <t>AK: …eds, open space - to get percent cover, then weigh the panel for wet biomass and hang clean one…</t>
        </is>
      </c>
    </row>
    <row r="493">
      <c r="A493" s="44" t="inlineStr">
        <is>
          <t>smithsonianmarinegeo_2022_hb221</t>
        </is>
      </c>
      <c r="B493" s="44" t="inlineStr">
        <is>
          <t>H&amp;B 2.2.1 — Spawning</t>
        </is>
      </c>
      <c r="C493" s="44" t="inlineStr">
        <is>
          <t>Protocol</t>
        </is>
      </c>
      <c r="D493" s="44" t="inlineStr">
        <is>
          <t>Temperature / salinity</t>
        </is>
      </c>
      <c r="E493" s="44" t="inlineStr">
        <is>
          <t>Not listed</t>
        </is>
      </c>
      <c r="F493" s="44" t="inlineStr">
        <is>
          <t>Source kit only — Equipment Type (N), not in the protocol</t>
        </is>
      </c>
      <c r="G493" s="44" t="inlineStr">
        <is>
          <t>N: …multiparameter sonde for temperature and salinity…</t>
        </is>
      </c>
    </row>
    <row r="494">
      <c r="A494" s="44" t="inlineStr">
        <is>
          <t>smithsonianmarinegeo_2022_hb221</t>
        </is>
      </c>
      <c r="B494" s="44" t="inlineStr">
        <is>
          <t>H&amp;B 2.2.1 — Spawning</t>
        </is>
      </c>
      <c r="C494" s="44" t="inlineStr">
        <is>
          <t>Protocol</t>
        </is>
      </c>
      <c r="D494" s="44" t="inlineStr">
        <is>
          <t>Time-lapse / GoPro cameras</t>
        </is>
      </c>
      <c r="E494" s="44" t="inlineStr">
        <is>
          <t>Not listed</t>
        </is>
      </c>
      <c r="F494" s="44" t="inlineStr">
        <is>
          <t>Source kit only — Equipment Type (N), not in the protocol</t>
        </is>
      </c>
      <c r="G494" s="44" t="inlineStr">
        <is>
          <t>N: …camera…</t>
        </is>
      </c>
    </row>
    <row r="495">
      <c r="A495" s="44" t="inlineStr">
        <is>
          <t>smithsonianmarinegeo_2022_hb221</t>
        </is>
      </c>
      <c r="B495" s="44" t="inlineStr">
        <is>
          <t>H&amp;B 2.2.1 — Spawning</t>
        </is>
      </c>
      <c r="C495" s="44" t="inlineStr">
        <is>
          <t>Protocol</t>
        </is>
      </c>
      <c r="D495" s="44" t="inlineStr">
        <is>
          <t>Epibiota on lines / structures</t>
        </is>
      </c>
      <c r="E495" s="44" t="inlineStr">
        <is>
          <t>Listed</t>
        </is>
      </c>
      <c r="F495" s="44" t="inlineStr">
        <is>
          <t>Method summary (AK)</t>
        </is>
      </c>
      <c r="G495" s="44" t="inlineStr">
        <is>
          <t>AK: …0 days score 100 random points per photo for percent cover and weigh the panels…</t>
        </is>
      </c>
    </row>
    <row r="496">
      <c r="A496" s="44" t="inlineStr">
        <is>
          <t>smithsonianmarinegeo_2022_hb221</t>
        </is>
      </c>
      <c r="B496" s="44" t="inlineStr">
        <is>
          <t>H&amp;B 2.2.1 — Spawning</t>
        </is>
      </c>
      <c r="C496" s="44" t="inlineStr">
        <is>
          <t>Protocol</t>
        </is>
      </c>
      <c r="D496" s="44" t="inlineStr">
        <is>
          <t>Settlement plates / artificial substrata</t>
        </is>
      </c>
      <c r="E496" s="44" t="inlineStr">
        <is>
          <t>Listed</t>
        </is>
      </c>
      <c r="F496" s="44" t="inlineStr">
        <is>
          <t>Method summary (AK)</t>
        </is>
      </c>
      <c r="G496" s="44" t="inlineStr">
        <is>
          <t>AK: …s and seaweeds settle on your farm, hang [3] settlement panels (13 × 13 cm sanded pvc, rough side down) fr…</t>
        </is>
      </c>
    </row>
    <row r="497">
      <c r="A497" s="44" t="inlineStr">
        <is>
          <t>smithsonianmarinegeo_2022-b_hb111</t>
        </is>
      </c>
      <c r="B497" s="44" t="inlineStr">
        <is>
          <t>H&amp;B 1.1.1 — Epibiota</t>
        </is>
      </c>
      <c r="C497" s="44" t="inlineStr">
        <is>
          <t>Protocol</t>
        </is>
      </c>
      <c r="D497" s="44" t="inlineStr">
        <is>
          <t>Time-lapse / GoPro cameras</t>
        </is>
      </c>
      <c r="E497" s="44" t="inlineStr">
        <is>
          <t>Not listed</t>
        </is>
      </c>
      <c r="F497" s="44" t="inlineStr">
        <is>
          <t>Source kit only — Equipment Type (N), not in the protocol</t>
        </is>
      </c>
      <c r="G497" s="44" t="inlineStr">
        <is>
          <t>N: …camera…</t>
        </is>
      </c>
    </row>
    <row r="498">
      <c r="A498" s="44" t="inlineStr">
        <is>
          <t>smithsonianmarinegeo_2022-b_hb111</t>
        </is>
      </c>
      <c r="B498" s="44" t="inlineStr">
        <is>
          <t>H&amp;B 1.1.1 — Epibiota</t>
        </is>
      </c>
      <c r="C498" s="44" t="inlineStr">
        <is>
          <t>Protocol</t>
        </is>
      </c>
      <c r="D498" s="44" t="inlineStr">
        <is>
          <t>Epibiota on lines / structures</t>
        </is>
      </c>
      <c r="E498" s="44" t="inlineStr">
        <is>
          <t>Listed</t>
        </is>
      </c>
      <c r="F498" s="44" t="inlineStr">
        <is>
          <t>Method summary (AK)</t>
        </is>
      </c>
      <c r="G498" s="44" t="inlineStr">
        <is>
          <t>AK: …at each, lay a 1 m² frame strung into an 81-point grid over the bags, trays or bottom stock and rec…</t>
        </is>
      </c>
    </row>
    <row r="499">
      <c r="A499" s="44" t="inlineStr">
        <is>
          <t>smithsonianmarinegeo_2022-b_hb121</t>
        </is>
      </c>
      <c r="B499" s="44" t="inlineStr">
        <is>
          <t>H&amp;B 1.2.1 — Mobile fauna</t>
        </is>
      </c>
      <c r="C499" s="44" t="inlineStr">
        <is>
          <t>Protocol</t>
        </is>
      </c>
      <c r="D499" s="44" t="inlineStr">
        <is>
          <t>Time-lapse / GoPro cameras</t>
        </is>
      </c>
      <c r="E499" s="44" t="inlineStr">
        <is>
          <t>Listed</t>
        </is>
      </c>
      <c r="F499" s="44" t="inlineStr">
        <is>
          <t>Method summary (AK)</t>
        </is>
      </c>
      <c r="G499" s="44" t="inlineStr">
        <is>
          <t>AK: …dent animals, not passing fish, which need a camera.…</t>
        </is>
      </c>
    </row>
    <row r="500">
      <c r="A500" s="44" t="inlineStr">
        <is>
          <t>smithsonianmarinegeo_2022-b_hb121</t>
        </is>
      </c>
      <c r="B500" s="44" t="inlineStr">
        <is>
          <t>H&amp;B 1.2.1 — Mobile fauna</t>
        </is>
      </c>
      <c r="C500" s="44" t="inlineStr">
        <is>
          <t>Protocol</t>
        </is>
      </c>
      <c r="D500" s="44" t="inlineStr">
        <is>
          <t>Bivalve condition index / growth</t>
        </is>
      </c>
      <c r="E500" s="44" t="inlineStr">
        <is>
          <t>Listed</t>
        </is>
      </c>
      <c r="F500" s="44" t="inlineStr">
        <is>
          <t>Method summary (AK)</t>
        </is>
      </c>
      <c r="G500" s="44" t="inlineStr">
        <is>
          <t>AK: …among your oysters, set [3] bio-boxes - half-size flatware racks (50 × 25 cm) lined with 6 mm …</t>
        </is>
      </c>
    </row>
    <row r="501">
      <c r="A501" s="44" t="inlineStr">
        <is>
          <t>smithsonianmarinegeo_2022-b_hb211</t>
        </is>
      </c>
      <c r="B501" s="44" t="inlineStr">
        <is>
          <t>H&amp;B 2.1.1 — Community composition</t>
        </is>
      </c>
      <c r="C501" s="44" t="inlineStr">
        <is>
          <t>Protocol</t>
        </is>
      </c>
      <c r="D501" s="44" t="inlineStr">
        <is>
          <t>Time-lapse / GoPro cameras</t>
        </is>
      </c>
      <c r="E501" s="44" t="inlineStr">
        <is>
          <t>Not listed</t>
        </is>
      </c>
      <c r="F501" s="44" t="inlineStr">
        <is>
          <t>Source kit only — Equipment Type (N), not in the protocol</t>
        </is>
      </c>
      <c r="G501" s="44" t="inlineStr">
        <is>
          <t>N: …camera…</t>
        </is>
      </c>
    </row>
    <row r="502">
      <c r="A502" s="44" t="inlineStr">
        <is>
          <t>smithsonianmarinegeo_2022-b_hb211</t>
        </is>
      </c>
      <c r="B502" s="44" t="inlineStr">
        <is>
          <t>H&amp;B 2.1.1 — Community composition</t>
        </is>
      </c>
      <c r="C502" s="44" t="inlineStr">
        <is>
          <t>Protocol</t>
        </is>
      </c>
      <c r="D502" s="44" t="inlineStr">
        <is>
          <t>Epibiota on lines / structures</t>
        </is>
      </c>
      <c r="E502" s="44" t="inlineStr">
        <is>
          <t>Listed</t>
        </is>
      </c>
      <c r="F502" s="44" t="inlineStr">
        <is>
          <t>Method summary (AK)</t>
        </is>
      </c>
      <c r="G502" s="44" t="inlineStr">
        <is>
          <t>AK: …at [3] spots per area lay a 1 m² 81-point grid and record what lies under each point - live…</t>
        </is>
      </c>
    </row>
    <row r="503">
      <c r="A503" s="44" t="inlineStr">
        <is>
          <t>baggett_2014_hb111</t>
        </is>
      </c>
      <c r="B503" s="44" t="inlineStr">
        <is>
          <t>H&amp;B 1.1.1 — Epibiota</t>
        </is>
      </c>
      <c r="C503" s="44" t="inlineStr">
        <is>
          <t>Protocol</t>
        </is>
      </c>
      <c r="D503" s="44" t="inlineStr">
        <is>
          <t>Epibiota on lines / structures</t>
        </is>
      </c>
      <c r="E503" s="44" t="inlineStr">
        <is>
          <t>Listed</t>
        </is>
      </c>
      <c r="F503" s="44" t="inlineStr">
        <is>
          <t>Method summary (AK)</t>
        </is>
      </c>
      <c r="G503" s="44" t="inlineStr">
        <is>
          <t>AK: …to measure the animals growing on your oysters, take [3] random samples from t…</t>
        </is>
      </c>
    </row>
    <row r="504">
      <c r="A504" s="44" t="inlineStr">
        <is>
          <t>baggett_2014_hb111</t>
        </is>
      </c>
      <c r="B504" s="44" t="inlineStr">
        <is>
          <t>H&amp;B 1.1.1 — Epibiota</t>
        </is>
      </c>
      <c r="C504" s="44" t="inlineStr">
        <is>
          <t>Protocol</t>
        </is>
      </c>
      <c r="D504" s="44" t="inlineStr">
        <is>
          <t>Bivalve condition index / growth</t>
        </is>
      </c>
      <c r="E504" s="44" t="inlineStr">
        <is>
          <t>Listed</t>
        </is>
      </c>
      <c r="F504" s="44" t="inlineStr">
        <is>
          <t>Method summary (AK) — inferred from the overall procedure</t>
        </is>
      </c>
      <c r="G504" s="44" t="inlineStr">
        <is>
          <t>AK: size of the stock (mollusc row)</t>
        </is>
      </c>
    </row>
    <row r="505">
      <c r="A505" s="44" t="inlineStr">
        <is>
          <t>baggett_2014_hb211</t>
        </is>
      </c>
      <c r="B505" s="44" t="inlineStr">
        <is>
          <t>H&amp;B 2.1.1 — Community composition</t>
        </is>
      </c>
      <c r="C505" s="44" t="inlineStr">
        <is>
          <t>Protocol</t>
        </is>
      </c>
      <c r="D505" s="44" t="inlineStr">
        <is>
          <t>Benthic infauna community</t>
        </is>
      </c>
      <c r="E505" s="44" t="inlineStr">
        <is>
          <t>Listed</t>
        </is>
      </c>
      <c r="F505" s="44" t="inlineStr">
        <is>
          <t>Method summary (AK) — inferred from the overall procedure</t>
        </is>
      </c>
      <c r="G505" s="44" t="inlineStr">
        <is>
          <t>AK: grab/core + sieve + identification</t>
        </is>
      </c>
    </row>
    <row r="506">
      <c r="A506" s="44" t="inlineStr">
        <is>
          <t>baggett_2014_hb211</t>
        </is>
      </c>
      <c r="B506" s="44" t="inlineStr">
        <is>
          <t>H&amp;B 2.1.1 — Community composition</t>
        </is>
      </c>
      <c r="C506" s="44" t="inlineStr">
        <is>
          <t>Protocol</t>
        </is>
      </c>
      <c r="D506" s="44" t="inlineStr">
        <is>
          <t>Epibiota on lines / structures</t>
        </is>
      </c>
      <c r="E506" s="44" t="inlineStr">
        <is>
          <t>Listed</t>
        </is>
      </c>
      <c r="F506" s="44" t="inlineStr">
        <is>
          <t>Method summary (AK)</t>
        </is>
      </c>
      <c r="G506" s="44" t="inlineStr">
        <is>
          <t>AK: …quadrats of shell or stock for attached animals…</t>
        </is>
      </c>
    </row>
    <row r="507">
      <c r="A507" s="44" t="inlineStr">
        <is>
          <t>baggett_2014_hb211</t>
        </is>
      </c>
      <c r="B507" s="44" t="inlineStr">
        <is>
          <t>H&amp;B 2.1.1 — Community composition</t>
        </is>
      </c>
      <c r="C507" s="44" t="inlineStr">
        <is>
          <t>Protocol</t>
        </is>
      </c>
      <c r="D507" s="44" t="inlineStr">
        <is>
          <t>Nets &amp; baited traps</t>
        </is>
      </c>
      <c r="E507" s="44" t="inlineStr">
        <is>
          <t>Listed</t>
        </is>
      </c>
      <c r="F507" s="44" t="inlineStr">
        <is>
          <t>Method summary (AK)</t>
        </is>
      </c>
      <c r="G507" s="44" t="inlineStr">
        <is>
          <t>AK: …and, in water shallower than about 1.5 m, lift nets, throw traps or drop samplers covering at l…</t>
        </is>
      </c>
    </row>
    <row r="508">
      <c r="A508" s="44" t="inlineStr">
        <is>
          <t>baggett_2014_hb211</t>
        </is>
      </c>
      <c r="B508" s="44" t="inlineStr">
        <is>
          <t>H&amp;B 2.1.1 — Community composition</t>
        </is>
      </c>
      <c r="C508" s="44" t="inlineStr">
        <is>
          <t>Protocol</t>
        </is>
      </c>
      <c r="D508" s="44" t="inlineStr">
        <is>
          <t>Bird / shorebird counts</t>
        </is>
      </c>
      <c r="E508" s="44" t="inlineStr">
        <is>
          <t>Not listed</t>
        </is>
      </c>
      <c r="F508" s="44" t="inlineStr">
        <is>
          <t>Source kit only — Equipment Type (N), not in the protocol</t>
        </is>
      </c>
      <c r="G508" s="44" t="inlineStr">
        <is>
          <t>N: …ulars or spotting scope and range finder for waterbirds…</t>
        </is>
      </c>
    </row>
    <row r="509">
      <c r="A509" s="44" t="inlineStr">
        <is>
          <t>baggett_2014_hb221</t>
        </is>
      </c>
      <c r="B509" s="44" t="inlineStr">
        <is>
          <t>H&amp;B 2.2.1 — Spawning</t>
        </is>
      </c>
      <c r="C509" s="44" t="inlineStr">
        <is>
          <t>Protocol</t>
        </is>
      </c>
      <c r="D509" s="44" t="inlineStr">
        <is>
          <t>Epibiota on lines / structures</t>
        </is>
      </c>
      <c r="E509" s="44" t="inlineStr">
        <is>
          <t>Listed</t>
        </is>
      </c>
      <c r="F509" s="44" t="inlineStr">
        <is>
          <t>Method summary (AK)</t>
        </is>
      </c>
      <c r="G509" s="44" t="inlineStr">
        <is>
          <t>AK: …rn oyster) or 3 mm (olympia oyster) - in [3] quadrats on the gear or nearby substrate, as recruit…</t>
        </is>
      </c>
    </row>
    <row r="510">
      <c r="A510" s="44" t="inlineStr">
        <is>
          <t>baggett_2014_hb221</t>
        </is>
      </c>
      <c r="B510" s="44" t="inlineStr">
        <is>
          <t>H&amp;B 2.2.1 — Spawning</t>
        </is>
      </c>
      <c r="C510" s="44" t="inlineStr">
        <is>
          <t>Protocol</t>
        </is>
      </c>
      <c r="D510" s="44" t="inlineStr">
        <is>
          <t>Settlement plates / artificial substrata</t>
        </is>
      </c>
      <c r="E510" s="44" t="inlineStr">
        <is>
          <t>Listed</t>
        </is>
      </c>
      <c r="F510" s="44" t="inlineStr">
        <is>
          <t>Method summary (AK)</t>
        </is>
      </c>
      <c r="G510" s="44" t="inlineStr">
        <is>
          <t>AK: …h) settle and survive on your farm, hang [3] settlement collectors of known area - pvc tiles or mesh bags of c…</t>
        </is>
      </c>
    </row>
    <row r="511">
      <c r="A511" s="44" t="inlineStr">
        <is>
          <t>baggett_2014_wq121</t>
        </is>
      </c>
      <c r="B511" s="44" t="inlineStr">
        <is>
          <t>WQ 1.2.1 — Dissolved oxygen</t>
        </is>
      </c>
      <c r="C511" s="44" t="inlineStr">
        <is>
          <t>Protocol</t>
        </is>
      </c>
      <c r="D511" s="44" t="inlineStr">
        <is>
          <t>Temperature / salinity</t>
        </is>
      </c>
      <c r="E511" s="44" t="inlineStr">
        <is>
          <t>Listed</t>
        </is>
      </c>
      <c r="F511" s="44" t="inlineStr">
        <is>
          <t>Method summary (AK)</t>
        </is>
      </c>
      <c r="G511" s="44" t="inlineStr">
        <is>
          <t>AK: …record the time, tide stage, water temperature and salinity with every reading, and report …</t>
        </is>
      </c>
    </row>
    <row r="512">
      <c r="A512" s="44" t="inlineStr">
        <is>
          <t>baggett_2014_wq121</t>
        </is>
      </c>
      <c r="B512" s="44" t="inlineStr">
        <is>
          <t>WQ 1.2.1 — Dissolved oxygen</t>
        </is>
      </c>
      <c r="C512" s="44" t="inlineStr">
        <is>
          <t>Protocol</t>
        </is>
      </c>
      <c r="D512" s="44" t="inlineStr">
        <is>
          <t>Dissolved oxygen</t>
        </is>
      </c>
      <c r="E512" s="44" t="inlineStr">
        <is>
          <t>Listed</t>
        </is>
      </c>
      <c r="F512" s="44" t="inlineStr">
        <is>
          <t>Method summary (AK)</t>
        </is>
      </c>
      <c r="G512" s="44" t="inlineStr">
        <is>
          <t>AK: …to track dissolved oxygen at your oyster farm, take readings with a ca…</t>
        </is>
      </c>
    </row>
    <row r="513">
      <c r="A513" s="44" t="inlineStr">
        <is>
          <t>baggett_2014_wq121</t>
        </is>
      </c>
      <c r="B513" s="44" t="inlineStr">
        <is>
          <t>WQ 1.2.1 — Dissolved oxygen</t>
        </is>
      </c>
      <c r="C513" s="44" t="inlineStr">
        <is>
          <t>Protocol</t>
        </is>
      </c>
      <c r="D513" s="44" t="inlineStr">
        <is>
          <t>Continuous moored sensors</t>
        </is>
      </c>
      <c r="E513" s="44" t="inlineStr">
        <is>
          <t>Listed</t>
        </is>
      </c>
      <c r="F513" s="44" t="inlineStr">
        <is>
          <t>Method summary (AK)</t>
        </is>
      </c>
      <c r="G513" s="44" t="inlineStr">
        <is>
          <t>AK: …where you can, add a night-time reading or moor a logger recording every 15-60 minutes throu…</t>
        </is>
      </c>
    </row>
    <row r="514">
      <c r="A514" s="44" t="inlineStr">
        <is>
          <t>baggett_2014_cc311</t>
        </is>
      </c>
      <c r="B514" s="44" t="inlineStr">
        <is>
          <t>CC 3.1.1 — Wave attenuation / coastal protection</t>
        </is>
      </c>
      <c r="C514" s="44" t="inlineStr">
        <is>
          <t>Protocol</t>
        </is>
      </c>
      <c r="D514" s="44" t="inlineStr">
        <is>
          <t>Water clarity / turbidity (Secchi)</t>
        </is>
      </c>
      <c r="E514" s="44" t="inlineStr">
        <is>
          <t>Listed</t>
        </is>
      </c>
      <c r="F514" s="44" t="inlineStr">
        <is>
          <t>Method summary (AK)</t>
        </is>
      </c>
      <c r="G514" s="44" t="inlineStr">
        <is>
          <t>AK: …us inshore, and as a wave decay coefficient (kd) from the ratio of the two heights over the …</t>
        </is>
      </c>
    </row>
    <row r="515">
      <c r="A515" s="44" t="inlineStr">
        <is>
          <t>baggett_2014_cc311</t>
        </is>
      </c>
      <c r="B515" s="44" t="inlineStr">
        <is>
          <t>CC 3.1.1 — Wave attenuation / coastal protection</t>
        </is>
      </c>
      <c r="C515" s="44" t="inlineStr">
        <is>
          <t>Protocol</t>
        </is>
      </c>
      <c r="D515" s="44" t="inlineStr">
        <is>
          <t>ADV (turbulent flow / bed shear)</t>
        </is>
      </c>
      <c r="E515" s="44" t="inlineStr">
        <is>
          <t>Not listed</t>
        </is>
      </c>
      <c r="F515" s="44" t="inlineStr">
        <is>
          <t>Source kit only — Equipment Type (N), not in the protocol</t>
        </is>
      </c>
      <c r="G515" s="44" t="inlineStr">
        <is>
          <t>N: …lectromagnetic flow meter / acoustic doppler velocimeter, or a drifter timed over a known distance, f…</t>
        </is>
      </c>
    </row>
    <row r="516">
      <c r="A516" s="44" t="inlineStr">
        <is>
          <t>baggett_2014_cc311</t>
        </is>
      </c>
      <c r="B516" s="44" t="inlineStr">
        <is>
          <t>CC 3.1.1 — Wave attenuation / coastal protection</t>
        </is>
      </c>
      <c r="C516" s="44" t="inlineStr">
        <is>
          <t>Protocol</t>
        </is>
      </c>
      <c r="D516" s="44" t="inlineStr">
        <is>
          <t>Wave-tide recorder</t>
        </is>
      </c>
      <c r="E516" s="44" t="inlineStr">
        <is>
          <t>Listed</t>
        </is>
      </c>
      <c r="F516" s="44" t="inlineStr">
        <is>
          <t>Method summary (AK)</t>
        </is>
      </c>
      <c r="G516" s="44" t="inlineStr">
        <is>
          <t>AK: … same time - ideally with two wave-resolving pressure loggers moored on either side for [several days] at…</t>
        </is>
      </c>
    </row>
    <row r="517">
      <c r="A517" s="44" t="inlineStr">
        <is>
          <t>ukireland_2021_hb111</t>
        </is>
      </c>
      <c r="B517" s="44" t="inlineStr">
        <is>
          <t>H&amp;B 1.1.1 — Epibiota</t>
        </is>
      </c>
      <c r="C517" s="44" t="inlineStr">
        <is>
          <t>Protocol</t>
        </is>
      </c>
      <c r="D517" s="44" t="inlineStr">
        <is>
          <t>Visual census / belt transects</t>
        </is>
      </c>
      <c r="E517" s="44" t="inlineStr">
        <is>
          <t>Not listed</t>
        </is>
      </c>
      <c r="F517" s="44" t="inlineStr">
        <is>
          <t>Source kit only — Equipment Type (N), not in the protocol</t>
        </is>
      </c>
      <c r="G517" s="44" t="inlineStr">
        <is>
          <t>N: …50 × 50 cm) and transect tape for diver surveys (box 4.1)…</t>
        </is>
      </c>
    </row>
    <row r="518">
      <c r="A518" s="44" t="inlineStr">
        <is>
          <t>ukireland_2021_hb111</t>
        </is>
      </c>
      <c r="B518" s="44" t="inlineStr">
        <is>
          <t>H&amp;B 1.1.1 — Epibiota</t>
        </is>
      </c>
      <c r="C518" s="44" t="inlineStr">
        <is>
          <t>Protocol</t>
        </is>
      </c>
      <c r="D518" s="44" t="inlineStr">
        <is>
          <t>Epibiota on lines / structures</t>
        </is>
      </c>
      <c r="E518" s="44" t="inlineStr">
        <is>
          <t>Listed</t>
        </is>
      </c>
      <c r="F518" s="44" t="inlineStr">
        <is>
          <t>Method summary (AK)</t>
        </is>
      </c>
      <c r="G518" s="44" t="inlineStr">
        <is>
          <t>AK: …onges, sea squirts, bryozoans, seaweeds - as percent cover of shell surface, and count solitary animals…</t>
        </is>
      </c>
    </row>
    <row r="519">
      <c r="A519" s="44" t="inlineStr">
        <is>
          <t>ukireland_2021_hb111</t>
        </is>
      </c>
      <c r="B519" s="44" t="inlineStr">
        <is>
          <t>H&amp;B 1.1.1 — Epibiota</t>
        </is>
      </c>
      <c r="C519" s="44" t="inlineStr">
        <is>
          <t>Protocol</t>
        </is>
      </c>
      <c r="D519" s="44" t="inlineStr">
        <is>
          <t>Water eDNA</t>
        </is>
      </c>
      <c r="E519" s="44" t="inlineStr">
        <is>
          <t>Not listed</t>
        </is>
      </c>
      <c r="F519" s="44" t="inlineStr">
        <is>
          <t>Source kit only — Equipment Type (N), not in the protocol</t>
        </is>
      </c>
      <c r="G519" s="44" t="inlineStr">
        <is>
          <t>N: …edna sampling kit (optional)…</t>
        </is>
      </c>
    </row>
    <row r="520">
      <c r="A520" s="44" t="inlineStr">
        <is>
          <t>ukireland_2021_hb211</t>
        </is>
      </c>
      <c r="B520" s="44" t="inlineStr">
        <is>
          <t>H&amp;B 2.1.1 — Community composition</t>
        </is>
      </c>
      <c r="C520" s="44" t="inlineStr">
        <is>
          <t>Protocol</t>
        </is>
      </c>
      <c r="D520" s="44" t="inlineStr">
        <is>
          <t>Benthic infauna community</t>
        </is>
      </c>
      <c r="E520" s="44" t="inlineStr">
        <is>
          <t>Not listed</t>
        </is>
      </c>
      <c r="F520" s="44" t="inlineStr">
        <is>
          <t>Source kit only — Equipment Type (N), not in the protocol</t>
        </is>
      </c>
      <c r="G520" s="44" t="inlineStr">
        <is>
          <t>N: …veen grab, 1 mm sieve, buffered 4% formalin (infauna)…</t>
        </is>
      </c>
    </row>
    <row r="521">
      <c r="A521" s="44" t="inlineStr">
        <is>
          <t>ukireland_2021_hb211</t>
        </is>
      </c>
      <c r="B521" s="44" t="inlineStr">
        <is>
          <t>H&amp;B 2.1.1 — Community composition</t>
        </is>
      </c>
      <c r="C521" s="44" t="inlineStr">
        <is>
          <t>Protocol</t>
        </is>
      </c>
      <c r="D521" s="44" t="inlineStr">
        <is>
          <t>Visual census / belt transects</t>
        </is>
      </c>
      <c r="E521" s="44" t="inlineStr">
        <is>
          <t>Not listed</t>
        </is>
      </c>
      <c r="F521" s="44" t="inlineStr">
        <is>
          <t>Source kit only — Equipment Type (N), not in the protocol</t>
        </is>
      </c>
      <c r="G521" s="44" t="inlineStr">
        <is>
          <t>N: …quadrats and transect line for underwater visual census (box 4.1)…</t>
        </is>
      </c>
    </row>
    <row r="522">
      <c r="A522" s="44" t="inlineStr">
        <is>
          <t>ukireland_2021_hb211</t>
        </is>
      </c>
      <c r="B522" s="44" t="inlineStr">
        <is>
          <t>H&amp;B 2.1.1 — Community composition</t>
        </is>
      </c>
      <c r="C522" s="44" t="inlineStr">
        <is>
          <t>Protocol</t>
        </is>
      </c>
      <c r="D522" s="44" t="inlineStr">
        <is>
          <t>Epibiota on lines / structures</t>
        </is>
      </c>
      <c r="E522" s="44" t="inlineStr">
        <is>
          <t>Listed</t>
        </is>
      </c>
      <c r="F522" s="44" t="inlineStr">
        <is>
          <t>Method summary (AK)</t>
        </is>
      </c>
      <c r="G522" s="44" t="inlineStr">
        <is>
          <t>AK: … solitary animals and score colonial ones as percent cover, then return everything.…</t>
        </is>
      </c>
    </row>
    <row r="523">
      <c r="A523" s="44" t="inlineStr">
        <is>
          <t>ukireland_2021_hb211</t>
        </is>
      </c>
      <c r="B523" s="44" t="inlineStr">
        <is>
          <t>H&amp;B 2.1.1 — Community composition</t>
        </is>
      </c>
      <c r="C523" s="44" t="inlineStr">
        <is>
          <t>Protocol</t>
        </is>
      </c>
      <c r="D523" s="44" t="inlineStr">
        <is>
          <t>Nets &amp; baited traps</t>
        </is>
      </c>
      <c r="E523" s="44" t="inlineStr">
        <is>
          <t>Not listed</t>
        </is>
      </c>
      <c r="F523" s="44" t="inlineStr">
        <is>
          <t>Source kit only — Equipment Type (N), not in the protocol</t>
        </is>
      </c>
      <c r="G523" s="44" t="inlineStr">
        <is>
          <t>N: …fyke or lift nets (intertidal)…</t>
        </is>
      </c>
    </row>
    <row r="524">
      <c r="A524" s="44" t="inlineStr">
        <is>
          <t>ukireland_2021_hb211</t>
        </is>
      </c>
      <c r="B524" s="44" t="inlineStr">
        <is>
          <t>H&amp;B 2.1.1 — Community composition</t>
        </is>
      </c>
      <c r="C524" s="44" t="inlineStr">
        <is>
          <t>Protocol</t>
        </is>
      </c>
      <c r="D524" s="44" t="inlineStr">
        <is>
          <t>Water eDNA</t>
        </is>
      </c>
      <c r="E524" s="44" t="inlineStr">
        <is>
          <t>Not listed</t>
        </is>
      </c>
      <c r="F524" s="44" t="inlineStr">
        <is>
          <t>Source kit only — Equipment Type (N), not in the protocol</t>
        </is>
      </c>
      <c r="G524" s="44" t="inlineStr">
        <is>
          <t>N: …edna sampling kit…</t>
        </is>
      </c>
    </row>
    <row r="525">
      <c r="A525" s="44" t="inlineStr">
        <is>
          <t>ukireland_2021_hb211</t>
        </is>
      </c>
      <c r="B525" s="44" t="inlineStr">
        <is>
          <t>H&amp;B 2.1.1 — Community composition</t>
        </is>
      </c>
      <c r="C525" s="44" t="inlineStr">
        <is>
          <t>Protocol</t>
        </is>
      </c>
      <c r="D525" s="44" t="inlineStr">
        <is>
          <t>Bivalve condition index / growth</t>
        </is>
      </c>
      <c r="E525" s="44" t="inlineStr">
        <is>
          <t>Listed</t>
        </is>
      </c>
      <c r="F525" s="44" t="inlineStr">
        <is>
          <t>Method summary (AK)</t>
        </is>
      </c>
      <c r="G525" s="44" t="inlineStr">
        <is>
          <t>AK: …take [3] samples of oysters or gear of known size…</t>
        </is>
      </c>
    </row>
    <row r="526">
      <c r="A526" s="44" t="inlineStr">
        <is>
          <t>ukireland_2021_hb221</t>
        </is>
      </c>
      <c r="B526" s="44" t="inlineStr">
        <is>
          <t>H&amp;B 2.2.1 — Spawning</t>
        </is>
      </c>
      <c r="C526" s="44" t="inlineStr">
        <is>
          <t>Protocol</t>
        </is>
      </c>
      <c r="D526" s="44" t="inlineStr">
        <is>
          <t>Carbonate system (pH / OA)</t>
        </is>
      </c>
      <c r="E526" s="44" t="inlineStr">
        <is>
          <t>Listed</t>
        </is>
      </c>
      <c r="F526" s="44" t="inlineStr">
        <is>
          <t>Method summary (AK)</t>
        </is>
      </c>
      <c r="G526" s="44" t="inlineStr">
        <is>
          <t>AK: …of known area - a shellfish collector cup or aragonite tile - coated with a thin layer of lime so t…</t>
        </is>
      </c>
    </row>
    <row r="527">
      <c r="A527" s="44" t="inlineStr">
        <is>
          <t>ukireland_2021_hb221</t>
        </is>
      </c>
      <c r="B527" s="44" t="inlineStr">
        <is>
          <t>H&amp;B 2.2.1 — Spawning</t>
        </is>
      </c>
      <c r="C527" s="44" t="inlineStr">
        <is>
          <t>Protocol</t>
        </is>
      </c>
      <c r="D527" s="44" t="inlineStr">
        <is>
          <t>Settlement plates / artificial substrata</t>
        </is>
      </c>
      <c r="E527" s="44" t="inlineStr">
        <is>
          <t>Listed</t>
        </is>
      </c>
      <c r="F527" s="44" t="inlineStr">
        <is>
          <t>Method summary (AK)</t>
        </is>
      </c>
      <c r="G527" s="44" t="inlineStr">
        <is>
          <t>AK: …native oysters settle at your farm, hang [3] spat collectors within the farm at the start of the settlem…</t>
        </is>
      </c>
    </row>
    <row r="528">
      <c r="A528" s="44" t="inlineStr">
        <is>
          <t>smithsonianmarinegeo_2021</t>
        </is>
      </c>
      <c r="B528" s="44" t="inlineStr">
        <is>
          <t>H&amp;B 1.2.1 — Mobile fauna</t>
        </is>
      </c>
      <c r="C528" s="44" t="inlineStr">
        <is>
          <t>Protocol</t>
        </is>
      </c>
      <c r="D528" s="44" t="inlineStr">
        <is>
          <t>Water clarity / turbidity (Secchi)</t>
        </is>
      </c>
      <c r="E528" s="44" t="inlineStr">
        <is>
          <t>Listed</t>
        </is>
      </c>
      <c r="F528" s="44" t="inlineStr">
        <is>
          <t>Method summary (AK)</t>
        </is>
      </c>
      <c r="G528" s="44" t="inlineStr">
        <is>
          <t>AK: …needs dive/snorkel competency and reasonable water clarity…</t>
        </is>
      </c>
    </row>
    <row r="529">
      <c r="A529" s="44" t="inlineStr">
        <is>
          <t>smithsonianmarinegeo_2021</t>
        </is>
      </c>
      <c r="B529" s="44" t="inlineStr">
        <is>
          <t>H&amp;B 1.2.1 — Mobile fauna</t>
        </is>
      </c>
      <c r="C529" s="44" t="inlineStr">
        <is>
          <t>Protocol</t>
        </is>
      </c>
      <c r="D529" s="44" t="inlineStr">
        <is>
          <t>Visual census / belt transects</t>
        </is>
      </c>
      <c r="E529" s="44" t="inlineStr">
        <is>
          <t>Listed</t>
        </is>
      </c>
      <c r="F529" s="44" t="inlineStr">
        <is>
          <t>Method summary (AK)</t>
        </is>
      </c>
      <c r="G529" s="44" t="inlineStr">
        <is>
          <t>AK: …) around a farm, run a standardized diver or snorkel belt-transect visual census:…</t>
        </is>
      </c>
    </row>
    <row r="530">
      <c r="A530" s="44" t="inlineStr">
        <is>
          <t>smithsonianmarinegeo_2021</t>
        </is>
      </c>
      <c r="B530" s="44" t="inlineStr">
        <is>
          <t>H&amp;B 1.2.1 — Mobile fauna</t>
        </is>
      </c>
      <c r="C530" s="44" t="inlineStr">
        <is>
          <t>Protocol</t>
        </is>
      </c>
      <c r="D530" s="44" t="inlineStr">
        <is>
          <t>Epifauna on crop / rope</t>
        </is>
      </c>
      <c r="E530" s="44" t="inlineStr">
        <is>
          <t>Listed</t>
        </is>
      </c>
      <c r="F530" s="44" t="inlineStr">
        <is>
          <t>Method summary (AK)</t>
        </is>
      </c>
      <c r="G530" s="44" t="inlineStr">
        <is>
          <t>AK: …to count mobile fauna (fish and mobile invertebrates) around a farm, run a standardized diver or…</t>
        </is>
      </c>
    </row>
    <row r="531">
      <c r="A531" s="44" t="inlineStr">
        <is>
          <t>smithsonianmarinegeo_2021-b</t>
        </is>
      </c>
      <c r="B531" s="44" t="inlineStr">
        <is>
          <t>H&amp;B 1.2.1 — Mobile fauna</t>
        </is>
      </c>
      <c r="C531" s="44" t="inlineStr">
        <is>
          <t>Protocol</t>
        </is>
      </c>
      <c r="D531" s="44" t="inlineStr">
        <is>
          <t>Nets &amp; baited traps</t>
        </is>
      </c>
      <c r="E531" s="44" t="inlineStr">
        <is>
          <t>Listed</t>
        </is>
      </c>
      <c r="F531" s="44" t="inlineStr">
        <is>
          <t>Method summary (AK)</t>
        </is>
      </c>
      <c r="G531" s="44" t="inlineStr">
        <is>
          <t>AK: …eable farm margins, use a standardized beach-seine haul:…</t>
        </is>
      </c>
    </row>
    <row r="532">
      <c r="A532" s="44" t="inlineStr">
        <is>
          <t>smithsonianmarinegeo_2021-c_hb211</t>
        </is>
      </c>
      <c r="B532" s="44" t="inlineStr">
        <is>
          <t>H&amp;B 2.1.1 — Community composition</t>
        </is>
      </c>
      <c r="C532" s="44" t="inlineStr">
        <is>
          <t>Protocol</t>
        </is>
      </c>
      <c r="D532" s="44" t="inlineStr">
        <is>
          <t>Benthic infauna community</t>
        </is>
      </c>
      <c r="E532" s="44" t="inlineStr">
        <is>
          <t>Listed</t>
        </is>
      </c>
      <c r="F532" s="44" t="inlineStr">
        <is>
          <t>Method summary (AK)</t>
        </is>
      </c>
      <c r="G532" s="44" t="inlineStr">
        <is>
          <t>AK: …to compare the seabed community on your farm with nearby unfarmed seabed, l…</t>
        </is>
      </c>
    </row>
    <row r="533">
      <c r="A533" s="44" t="inlineStr">
        <is>
          <t>smithsonianmarinegeo_2021-c_hb211</t>
        </is>
      </c>
      <c r="B533" s="44" t="inlineStr">
        <is>
          <t>H&amp;B 2.1.1 — Community composition</t>
        </is>
      </c>
      <c r="C533" s="44" t="inlineStr">
        <is>
          <t>Protocol</t>
        </is>
      </c>
      <c r="D533" s="44" t="inlineStr">
        <is>
          <t>Time-lapse / GoPro cameras</t>
        </is>
      </c>
      <c r="E533" s="44" t="inlineStr">
        <is>
          <t>Listed</t>
        </is>
      </c>
      <c r="F533" s="44" t="inlineStr">
        <is>
          <t>Method summary (AK)</t>
        </is>
      </c>
      <c r="G533" s="44" t="inlineStr">
        <is>
          <t>AK: …with a camera fixed to a framer (a pole cut so the photo s…</t>
        </is>
      </c>
    </row>
    <row r="534">
      <c r="A534" s="44" t="inlineStr">
        <is>
          <t>smithsonianmarinegeo_2021-c_hb211</t>
        </is>
      </c>
      <c r="B534" s="44" t="inlineStr">
        <is>
          <t>H&amp;B 2.1.1 — Community composition</t>
        </is>
      </c>
      <c r="C534" s="44" t="inlineStr">
        <is>
          <t>Protocol</t>
        </is>
      </c>
      <c r="D534" s="44" t="inlineStr">
        <is>
          <t>Epibiota on lines / structures</t>
        </is>
      </c>
      <c r="E534" s="44" t="inlineStr">
        <is>
          <t>Listed</t>
        </is>
      </c>
      <c r="F534" s="44" t="inlineStr">
        <is>
          <t>Method summary (AK)</t>
        </is>
      </c>
      <c r="G534" s="44" t="inlineStr">
        <is>
          <t>AK: …(algae, sessile animals, shell, sand) to get percent cover.…</t>
        </is>
      </c>
    </row>
    <row r="535">
      <c r="A535" s="44" t="inlineStr">
        <is>
          <t>smithsonianmarinegeo_2021-d</t>
        </is>
      </c>
      <c r="B535" s="44" t="inlineStr">
        <is>
          <t>H&amp;B 1.4.1 — Sediment</t>
        </is>
      </c>
      <c r="C535" s="44" t="inlineStr">
        <is>
          <t>Protocol</t>
        </is>
      </c>
      <c r="D535" s="44" t="inlineStr">
        <is>
          <t>Sediment chemistry (OC / TN / redox / AVS)</t>
        </is>
      </c>
      <c r="E535" s="44" t="inlineStr">
        <is>
          <t>Listed</t>
        </is>
      </c>
      <c r="F535" s="44" t="inlineStr">
        <is>
          <t>Method summary (AK)</t>
        </is>
      </c>
      <c r="G535" s="44" t="inlineStr">
        <is>
          <t>AK: …for full biogeochemistry (redox, sulphide, nutrient flux) use the sepa or ns…</t>
        </is>
      </c>
    </row>
    <row r="536">
      <c r="A536" s="44" t="inlineStr">
        <is>
          <t>smithsonianmarinegeo_2021-d</t>
        </is>
      </c>
      <c r="B536" s="44" t="inlineStr">
        <is>
          <t>H&amp;B 1.4.1 — Sediment</t>
        </is>
      </c>
      <c r="C536" s="44" t="inlineStr">
        <is>
          <t>Protocol</t>
        </is>
      </c>
      <c r="D536" s="44" t="inlineStr">
        <is>
          <t>Sediment / benthic flux incubation</t>
        </is>
      </c>
      <c r="E536" s="44" t="inlineStr">
        <is>
          <t>Listed</t>
        </is>
      </c>
      <c r="F536" s="44" t="inlineStr">
        <is>
          <t>Method summary (AK)</t>
        </is>
      </c>
      <c r="G536" s="44" t="inlineStr">
        <is>
          <t>AK: …l biogeochemistry (redox, sulphide, nutrient flux) use the sepa or ns 9410 benthic standards.…</t>
        </is>
      </c>
    </row>
    <row r="537">
      <c r="A537" s="44" t="inlineStr">
        <is>
          <t>smithsonianmarinegeo_2021-d</t>
        </is>
      </c>
      <c r="B537" s="44" t="inlineStr">
        <is>
          <t>H&amp;B 1.4.1 — Sediment</t>
        </is>
      </c>
      <c r="C537" s="44" t="inlineStr">
        <is>
          <t>Protocol</t>
        </is>
      </c>
      <c r="D537" s="44" t="inlineStr">
        <is>
          <t>MOM-B condition survey</t>
        </is>
      </c>
      <c r="E537" s="44" t="inlineStr">
        <is>
          <t>Listed</t>
        </is>
      </c>
      <c r="F537" s="44" t="inlineStr">
        <is>
          <t>Method summary (AK)</t>
        </is>
      </c>
      <c r="G537" s="44" t="inlineStr">
        <is>
          <t>AK: …ox, sulphide, nutrient flux) use the sepa or ns 9410 benthic standards.…</t>
        </is>
      </c>
    </row>
    <row r="538">
      <c r="A538" s="44" t="inlineStr">
        <is>
          <t>langlois_2020</t>
        </is>
      </c>
      <c r="B538" s="44" t="inlineStr">
        <is>
          <t>H&amp;B 1.2.1 — Mobile fauna</t>
        </is>
      </c>
      <c r="C538" s="44" t="inlineStr">
        <is>
          <t>Protocol</t>
        </is>
      </c>
      <c r="D538" s="44" t="inlineStr">
        <is>
          <t>Baited remote underwater video (BRUV)</t>
        </is>
      </c>
      <c r="E538" s="44" t="inlineStr">
        <is>
          <t>Listed</t>
        </is>
      </c>
      <c r="F538" s="44" t="inlineStr">
        <is>
          <t>Method summary (AK)</t>
        </is>
      </c>
      <c r="G538" s="44" t="inlineStr">
        <is>
          <t>AK: …aited remote underwater stereo-video (stereo-bruv):…</t>
        </is>
      </c>
    </row>
    <row r="539">
      <c r="A539" s="44" t="inlineStr">
        <is>
          <t>langlois_2020</t>
        </is>
      </c>
      <c r="B539" s="44" t="inlineStr">
        <is>
          <t>H&amp;B 1.2.1 — Mobile fauna</t>
        </is>
      </c>
      <c r="C539" s="44" t="inlineStr">
        <is>
          <t>Protocol</t>
        </is>
      </c>
      <c r="D539" s="44" t="inlineStr">
        <is>
          <t>Time-lapse / GoPro cameras</t>
        </is>
      </c>
      <c r="E539" s="44" t="inlineStr">
        <is>
          <t>Listed</t>
        </is>
      </c>
      <c r="F539" s="44" t="inlineStr">
        <is>
          <t>Method summary (AK)</t>
        </is>
      </c>
      <c r="G539" s="44" t="inlineStr">
        <is>
          <t>AK: …a single-camera bruv is a lower-cost practitioner variant (r…</t>
        </is>
      </c>
    </row>
    <row r="540">
      <c r="A540" s="44" t="inlineStr">
        <is>
          <t>przeslawski_2018</t>
        </is>
      </c>
      <c r="B540" s="44" t="inlineStr">
        <is>
          <t>H&amp;B 1.2.1 — Mobile fauna, H&amp;B 1.3.1 — Benthic infauna, H&amp;B 1.4.1 — Sediment</t>
        </is>
      </c>
      <c r="C540" s="44" t="inlineStr">
        <is>
          <t>Reference</t>
        </is>
      </c>
      <c r="D540" s="44" t="inlineStr">
        <is>
          <t>Benthic infauna community</t>
        </is>
      </c>
      <c r="E540" s="44" t="inlineStr">
        <is>
          <t>Listed</t>
        </is>
      </c>
      <c r="F540" s="44" t="inlineStr">
        <is>
          <t>Method summary (AK)</t>
        </is>
      </c>
      <c r="G540" s="44" t="inlineStr">
        <is>
          <t>AK: …sign standard spanning mobile fauna, benthic infauna and sediment.…</t>
        </is>
      </c>
    </row>
    <row r="541">
      <c r="A541" s="44" t="inlineStr">
        <is>
          <t>przeslawski_2018</t>
        </is>
      </c>
      <c r="B541" s="44" t="inlineStr">
        <is>
          <t>H&amp;B 1.2.1 — Mobile fauna, H&amp;B 1.3.1 — Benthic infauna, H&amp;B 1.4.1 — Sediment</t>
        </is>
      </c>
      <c r="C541" s="44" t="inlineStr">
        <is>
          <t>Reference</t>
        </is>
      </c>
      <c r="D541" s="44" t="inlineStr">
        <is>
          <t>Baited remote underwater video (BRUV)</t>
        </is>
      </c>
      <c r="E541" s="44" t="inlineStr">
        <is>
          <t>Listed</t>
        </is>
      </c>
      <c r="F541" s="44" t="inlineStr">
        <is>
          <t>Method summary (AK)</t>
        </is>
      </c>
      <c r="G541" s="44" t="inlineStr">
        <is>
          <t>AK: …alian field-sampling manuals (benthic stereo-bruvs, grabs and cores, towed video, sleds, multib…</t>
        </is>
      </c>
    </row>
    <row r="542">
      <c r="A542" s="44" t="inlineStr">
        <is>
          <t>przeslawski_2018</t>
        </is>
      </c>
      <c r="B542" s="44" t="inlineStr">
        <is>
          <t>H&amp;B 1.2.1 — Mobile fauna, H&amp;B 1.3.1 — Benthic infauna, H&amp;B 1.4.1 — Sediment</t>
        </is>
      </c>
      <c r="C542" s="44" t="inlineStr">
        <is>
          <t>Reference</t>
        </is>
      </c>
      <c r="D542" s="44" t="inlineStr">
        <is>
          <t>Towed video / ROV</t>
        </is>
      </c>
      <c r="E542" s="44" t="inlineStr">
        <is>
          <t>Listed</t>
        </is>
      </c>
      <c r="F542" s="44" t="inlineStr">
        <is>
          <t>Method summary (AK)</t>
        </is>
      </c>
      <c r="G542" s="44" t="inlineStr">
        <is>
          <t>AK: …uals (benthic stereo-bruvs, grabs and cores, towed video, sleds, multibeam) used as a national design…</t>
        </is>
      </c>
    </row>
    <row r="543">
      <c r="A543" s="44" t="inlineStr">
        <is>
          <t>sepa_2019_hb131</t>
        </is>
      </c>
      <c r="B543" s="44" t="inlineStr">
        <is>
          <t>H&amp;B 1.3.1 — Benthic infauna</t>
        </is>
      </c>
      <c r="C543" s="44" t="inlineStr">
        <is>
          <t>Protocol</t>
        </is>
      </c>
      <c r="D543" s="44" t="inlineStr">
        <is>
          <t>Benthic infauna community</t>
        </is>
      </c>
      <c r="E543" s="44" t="inlineStr">
        <is>
          <t>Listed</t>
        </is>
      </c>
      <c r="F543" s="44" t="inlineStr">
        <is>
          <t>Method summary (AK)</t>
        </is>
      </c>
      <c r="G543" s="44" t="inlineStr">
        <is>
          <t>AK: …to check the seabed animals under and around your farm, take grab sampl…</t>
        </is>
      </c>
    </row>
    <row r="544">
      <c r="A544" s="44" t="inlineStr">
        <is>
          <t>sepa_2019_hb141</t>
        </is>
      </c>
      <c r="B544" s="44" t="inlineStr">
        <is>
          <t>H&amp;B 1.4.1 — Sediment</t>
        </is>
      </c>
      <c r="C544" s="44" t="inlineStr">
        <is>
          <t>Protocol</t>
        </is>
      </c>
      <c r="D544" s="44" t="inlineStr">
        <is>
          <t>Grain size / particle size</t>
        </is>
      </c>
      <c r="E544" s="44" t="inlineStr">
        <is>
          <t>Listed</t>
        </is>
      </c>
      <c r="F544" s="44" t="inlineStr">
        <is>
          <t>Method summary (AK)</t>
        </is>
      </c>
      <c r="G544" s="44" t="inlineStr">
        <is>
          <t>AK: …ic matter (loss on ignition) and ~100 ml for grain size, freeze them and send them to a partner lab.…</t>
        </is>
      </c>
    </row>
    <row r="545">
      <c r="A545" s="44" t="inlineStr">
        <is>
          <t>sepa_2019_hb141</t>
        </is>
      </c>
      <c r="B545" s="44" t="inlineStr">
        <is>
          <t>H&amp;B 1.4.1 — Sediment</t>
        </is>
      </c>
      <c r="C545" s="44" t="inlineStr">
        <is>
          <t>Protocol</t>
        </is>
      </c>
      <c r="D545" s="44" t="inlineStr">
        <is>
          <t>Sediment chemistry (OC / TN / redox / AVS)</t>
        </is>
      </c>
      <c r="E545" s="44" t="inlineStr">
        <is>
          <t>Listed</t>
        </is>
      </c>
      <c r="F545" s="44" t="inlineStr">
        <is>
          <t>Method summary (AK)</t>
        </is>
      </c>
      <c r="G545" s="44" t="inlineStr">
        <is>
          <t>AK: …mats, depth of any waste layer), then push a redox probe into the sediment in the grab at 0, 1,…</t>
        </is>
      </c>
    </row>
    <row r="546">
      <c r="A546" s="44" t="inlineStr">
        <is>
          <t>scottishsalmon_2023</t>
        </is>
      </c>
      <c r="B546" s="44" t="inlineStr">
        <is>
          <t>H&amp;B 2.1.1 — Community composition</t>
        </is>
      </c>
      <c r="C546" s="44" t="inlineStr">
        <is>
          <t>Protocol</t>
        </is>
      </c>
      <c r="D546" s="44" t="inlineStr">
        <is>
          <t>Time-lapse / GoPro cameras</t>
        </is>
      </c>
      <c r="E546" s="44" t="inlineStr">
        <is>
          <t>Not listed</t>
        </is>
      </c>
      <c r="F546" s="44" t="inlineStr">
        <is>
          <t>Source kit only — Equipment Type (N), not in the protocol</t>
        </is>
      </c>
      <c r="G546" s="44" t="inlineStr">
        <is>
          <t>N: …(automated camera systems emerging)…</t>
        </is>
      </c>
    </row>
    <row r="547">
      <c r="A547" s="44" t="inlineStr">
        <is>
          <t>reichertnguyen_2023_wq111</t>
        </is>
      </c>
      <c r="B547" s="44" t="inlineStr">
        <is>
          <t>WQ 1.1.1 — N and P bioextraction</t>
        </is>
      </c>
      <c r="C547" s="44" t="inlineStr">
        <is>
          <t>Protocol</t>
        </is>
      </c>
      <c r="D547" s="44" t="inlineStr">
        <is>
          <t>Bivalve condition index / growth</t>
        </is>
      </c>
      <c r="E547" s="44" t="inlineStr">
        <is>
          <t>Listed</t>
        </is>
      </c>
      <c r="F547" s="44" t="inlineStr">
        <is>
          <t>Method summary (AK)</t>
        </is>
      </c>
      <c r="G547" s="44" t="inlineStr">
        <is>
          <t>AK: … a year, about six months apart, measure the shell height of [50] random oysters from those containers…</t>
        </is>
      </c>
    </row>
    <row r="548">
      <c r="A548" s="44" t="inlineStr">
        <is>
          <t>reichertnguyen_2023_wq112</t>
        </is>
      </c>
      <c r="B548" s="44" t="inlineStr">
        <is>
          <t>WQ 1.1.2 — Rate of denitrification</t>
        </is>
      </c>
      <c r="C548" s="44" t="inlineStr">
        <is>
          <t>Protocol</t>
        </is>
      </c>
      <c r="D548" s="44" t="inlineStr">
        <is>
          <t>Epibiota on lines / structures</t>
        </is>
      </c>
      <c r="E548" s="44" t="inlineStr">
        <is>
          <t>Listed</t>
        </is>
      </c>
      <c r="F548" s="44" t="inlineStr">
        <is>
          <t>Method summary (AK)</t>
        </is>
      </c>
      <c r="G548" s="44" t="inlineStr">
        <is>
          <t>AK: …stocking records or from [10] random 0.25 m² quadrats - count live oysters, measure shell heights…</t>
        </is>
      </c>
    </row>
    <row r="549">
      <c r="A549" s="44" t="inlineStr">
        <is>
          <t>reichertnguyen_2023_wq112</t>
        </is>
      </c>
      <c r="B549" s="44" t="inlineStr">
        <is>
          <t>WQ 1.1.2 — Rate of denitrification</t>
        </is>
      </c>
      <c r="C549" s="44" t="inlineStr">
        <is>
          <t>Protocol</t>
        </is>
      </c>
      <c r="D549" s="44" t="inlineStr">
        <is>
          <t>Bivalve condition index / growth</t>
        </is>
      </c>
      <c r="E549" s="44" t="inlineStr">
        <is>
          <t>Listed</t>
        </is>
      </c>
      <c r="F549" s="44" t="inlineStr">
        <is>
          <t>Method summary (AK)</t>
        </is>
      </c>
      <c r="G549" s="44" t="inlineStr">
        <is>
          <t>AK: …oyster tissue biomass on the lease before stocking, or at a nearby…</t>
        </is>
      </c>
    </row>
    <row r="550">
      <c r="A550" s="44" t="inlineStr">
        <is>
          <t>marylanddepartment_2021</t>
        </is>
      </c>
      <c r="B550" s="44" t="inlineStr">
        <is>
          <t>WQ 1.1.1 — N and P bioextraction</t>
        </is>
      </c>
      <c r="C550" s="44" t="inlineStr">
        <is>
          <t>Protocol</t>
        </is>
      </c>
      <c r="D550" s="44" t="inlineStr">
        <is>
          <t>Bivalve condition index / growth</t>
        </is>
      </c>
      <c r="E550" s="44" t="inlineStr">
        <is>
          <t>Listed</t>
        </is>
      </c>
      <c r="F550" s="44" t="inlineStr">
        <is>
          <t>Method summary (AK)</t>
        </is>
      </c>
      <c r="G550" s="44" t="inlineStr">
        <is>
          <t>AK: …survey the reef for oyster numbers and size, then apply the published lookup tables (exp…</t>
        </is>
      </c>
    </row>
    <row r="551">
      <c r="A551" s="44" t="inlineStr">
        <is>
          <t>hawkins_2013</t>
        </is>
      </c>
      <c r="B551" s="44" t="inlineStr">
        <is>
          <t>WQ 1.3.1 — Rate of water filtration, WQ 1.1.1 — N and P bioextraction, WQ 1.2.1 — Dissolved oxygen</t>
        </is>
      </c>
      <c r="C551" s="44" t="inlineStr">
        <is>
          <t>Reference</t>
        </is>
      </c>
      <c r="D551" s="44" t="inlineStr">
        <is>
          <t>Dissolved nutrients (N &amp; P)</t>
        </is>
      </c>
      <c r="E551" s="44" t="inlineStr">
        <is>
          <t>Not listed</t>
        </is>
      </c>
      <c r="F551" s="44" t="inlineStr">
        <is>
          <t>Review / framework reference (no procedure)</t>
        </is>
      </c>
      <c r="G551" s="44" t="inlineStr">
        <is>
          <t>AK: …tock, it predicts clearance/filtration rate, ammonium and faecal losses, oxygen uptake and growt…</t>
        </is>
      </c>
    </row>
    <row r="552">
      <c r="A552" s="44" t="inlineStr">
        <is>
          <t>hawkins_2013</t>
        </is>
      </c>
      <c r="B552" s="44" t="inlineStr">
        <is>
          <t>WQ 1.3.1 — Rate of water filtration, WQ 1.1.1 — N and P bioextraction, WQ 1.2.1 — Dissolved oxygen</t>
        </is>
      </c>
      <c r="C552" s="44" t="inlineStr">
        <is>
          <t>Reference</t>
        </is>
      </c>
      <c r="D552" s="44" t="inlineStr">
        <is>
          <t>Coupled biogeochemical / DEB model</t>
        </is>
      </c>
      <c r="E552" s="44" t="inlineStr">
        <is>
          <t>Not listed</t>
        </is>
      </c>
      <c r="F552" s="44" t="inlineStr">
        <is>
          <t>Review / framework reference (no procedure)</t>
        </is>
      </c>
      <c r="G552" s="44" t="inlineStr">
        <is>
          <t>N: …software (shellsim)…</t>
        </is>
      </c>
    </row>
    <row r="553">
      <c r="A553" s="44" t="inlineStr">
        <is>
          <t>jamp_2012</t>
        </is>
      </c>
      <c r="B553" s="44" t="inlineStr">
        <is>
          <t>WQ 2.1.1 — Chlorophyll-a</t>
        </is>
      </c>
      <c r="C553" s="44" t="inlineStr">
        <is>
          <t>Protocol</t>
        </is>
      </c>
      <c r="D553" s="44" t="inlineStr">
        <is>
          <t>Chlorophyll-a (water)</t>
        </is>
      </c>
      <c r="E553" s="44" t="inlineStr">
        <is>
          <t>Listed</t>
        </is>
      </c>
      <c r="F553" s="44" t="inlineStr">
        <is>
          <t>Method summary (AK)</t>
        </is>
      </c>
      <c r="G553" s="44" t="inlineStr">
        <is>
          <t>AK: …overnmental sop is the standard route to the chlorophyll-a indicator.…</t>
        </is>
      </c>
    </row>
    <row r="554">
      <c r="A554" s="44" t="inlineStr">
        <is>
          <t>jamp_2012</t>
        </is>
      </c>
      <c r="B554" s="44" t="inlineStr">
        <is>
          <t>WQ 2.1.1 — Chlorophyll-a</t>
        </is>
      </c>
      <c r="C554" s="44" t="inlineStr">
        <is>
          <t>Protocol</t>
        </is>
      </c>
      <c r="D554" s="44" t="inlineStr">
        <is>
          <t>Size-fractionated pigments (HPLC)</t>
        </is>
      </c>
      <c r="E554" s="44" t="inlineStr">
        <is>
          <t>Listed</t>
        </is>
      </c>
      <c r="F554" s="44" t="inlineStr">
        <is>
          <t>Method summary (AK)</t>
        </is>
      </c>
      <c r="G554" s="44" t="inlineStr">
        <is>
          <t>AK: …e chlorophyll-a spectrophotometrically or by hplc (iso 10260), or calibrate an in-situ fluorom…</t>
        </is>
      </c>
    </row>
    <row r="555">
      <c r="A555" s="44" t="inlineStr">
        <is>
          <t>jamp_2012</t>
        </is>
      </c>
      <c r="B555" s="44" t="inlineStr">
        <is>
          <t>WQ 2.1.1 — Chlorophyll-a</t>
        </is>
      </c>
      <c r="C555" s="44" t="inlineStr">
        <is>
          <t>Protocol</t>
        </is>
      </c>
      <c r="D555" s="44" t="inlineStr">
        <is>
          <t>Satellite ocean colour (chl-a)</t>
        </is>
      </c>
      <c r="E555" s="44" t="inlineStr">
        <is>
          <t>Listed</t>
        </is>
      </c>
      <c r="F555" s="44" t="inlineStr">
        <is>
          <t>Method summary (AK)</t>
        </is>
      </c>
      <c r="G555" s="44" t="inlineStr">
        <is>
          <t>AK: … the underpinning analytical references, and satellite ocean-colour chlorophyll is the remote-sensi…</t>
        </is>
      </c>
    </row>
    <row r="556">
      <c r="A556" s="44" t="inlineStr">
        <is>
          <t>karlson_2010</t>
        </is>
      </c>
      <c r="B556" s="44" t="inlineStr">
        <is>
          <t>WQ 2.1.2 — Microorganisms</t>
        </is>
      </c>
      <c r="C556" s="44" t="inlineStr">
        <is>
          <t>Protocol</t>
        </is>
      </c>
      <c r="D556" s="44" t="inlineStr">
        <is>
          <t>Water eDNA</t>
        </is>
      </c>
      <c r="E556" s="44" t="inlineStr">
        <is>
          <t>Listed</t>
        </is>
      </c>
      <c r="F556" s="44" t="inlineStr">
        <is>
          <t>Method summary (AK)</t>
        </is>
      </c>
      <c r="G556" s="44" t="inlineStr">
        <is>
          <t>AK: …roscope (utermohl method), or use molecular (qpcr) enumeration for the community.…</t>
        </is>
      </c>
    </row>
    <row r="557">
      <c r="A557" s="44" t="inlineStr">
        <is>
          <t>karlson_2010</t>
        </is>
      </c>
      <c r="B557" s="44" t="inlineStr">
        <is>
          <t>WQ 2.1.2 — Microorganisms</t>
        </is>
      </c>
      <c r="C557" s="44" t="inlineStr">
        <is>
          <t>Protocol</t>
        </is>
      </c>
      <c r="D557" s="44" t="inlineStr">
        <is>
          <t>Phytoplankton community (microscopy)</t>
        </is>
      </c>
      <c r="E557" s="44" t="inlineStr">
        <is>
          <t>Listed</t>
        </is>
      </c>
      <c r="F557" s="44" t="inlineStr">
        <is>
          <t>Method summary (AK)</t>
        </is>
      </c>
      <c r="G557" s="44" t="inlineStr">
        <is>
          <t>AK: …and count/identify phytoplankton by inverted microscope (utermohl method), or use molecular (qpcr) …</t>
        </is>
      </c>
    </row>
    <row r="558">
      <c r="A558" s="44" t="inlineStr">
        <is>
          <t>karlson_2010</t>
        </is>
      </c>
      <c r="B558" s="44" t="inlineStr">
        <is>
          <t>WQ 2.1.2 — Microorganisms</t>
        </is>
      </c>
      <c r="C558" s="44" t="inlineStr">
        <is>
          <t>Protocol</t>
        </is>
      </c>
      <c r="D558" s="44" t="inlineStr">
        <is>
          <t>Zooplankton net haul</t>
        </is>
      </c>
      <c r="E558" s="44" t="inlineStr">
        <is>
          <t>Not listed</t>
        </is>
      </c>
      <c r="F558" s="44" t="inlineStr">
        <is>
          <t>Source kit only — Equipment Type (N), not in the protocol</t>
        </is>
      </c>
      <c r="G558" s="44" t="inlineStr">
        <is>
          <t>N: …plankton net/niskin, settling chambers, inverted microsco…</t>
        </is>
      </c>
    </row>
    <row r="559">
      <c r="A559" s="44" t="inlineStr">
        <is>
          <t>goaon_2024</t>
        </is>
      </c>
      <c r="B559" s="44" t="inlineStr">
        <is>
          <t>CC 2.1.1 — pH / ocean acidification</t>
        </is>
      </c>
      <c r="C559" s="44" t="inlineStr">
        <is>
          <t>Protocol</t>
        </is>
      </c>
      <c r="D559" s="44" t="inlineStr">
        <is>
          <t>Temperature / salinity</t>
        </is>
      </c>
      <c r="E559" s="44" t="inlineStr">
        <is>
          <t>Not listed</t>
        </is>
      </c>
      <c r="F559" s="44" t="inlineStr">
        <is>
          <t>Source kit only — Equipment Type (N), not in the protocol</t>
        </is>
      </c>
      <c r="G559" s="44" t="inlineStr">
        <is>
          <t>N: …goa-on in a box kit, ctd-diver, isami ph sensor, spectrophotometer, r…</t>
        </is>
      </c>
    </row>
    <row r="560">
      <c r="A560" s="44" t="inlineStr">
        <is>
          <t>goaon_2024</t>
        </is>
      </c>
      <c r="B560" s="44" t="inlineStr">
        <is>
          <t>CC 2.1.1 — pH / ocean acidification</t>
        </is>
      </c>
      <c r="C560" s="44" t="inlineStr">
        <is>
          <t>Protocol</t>
        </is>
      </c>
      <c r="D560" s="44" t="inlineStr">
        <is>
          <t>pH</t>
        </is>
      </c>
      <c r="E560" s="44" t="inlineStr">
        <is>
          <t>Listed</t>
        </is>
      </c>
      <c r="F560" s="44" t="inlineStr">
        <is>
          <t>Method summary (AK)</t>
        </is>
      </c>
      <c r="G560" s="44" t="inlineStr">
        <is>
          <t>AK: …ocol lowers the barrier to carbonate-system (ph / ocean-acidification) monitoring, built aro…</t>
        </is>
      </c>
    </row>
    <row r="561">
      <c r="A561" s="44" t="inlineStr">
        <is>
          <t>goaon_2024</t>
        </is>
      </c>
      <c r="B561" s="44" t="inlineStr">
        <is>
          <t>CC 2.1.1 — pH / ocean acidification</t>
        </is>
      </c>
      <c r="C561" s="44" t="inlineStr">
        <is>
          <t>Protocol</t>
        </is>
      </c>
      <c r="D561" s="44" t="inlineStr">
        <is>
          <t>Carbonate system (pH / OA)</t>
        </is>
      </c>
      <c r="E561" s="44" t="inlineStr">
        <is>
          <t>Listed</t>
        </is>
      </c>
      <c r="F561" s="44" t="inlineStr">
        <is>
          <t>Method summary (AK)</t>
        </is>
      </c>
      <c r="G561" s="44" t="inlineStr">
        <is>
          <t>AK: … the barrier to carbonate-system (ph / ocean-acidification) monitoring, built around the low-cost 'goa-…</t>
        </is>
      </c>
    </row>
    <row r="562">
      <c r="A562" s="44" t="inlineStr">
        <is>
          <t>goaon_2024</t>
        </is>
      </c>
      <c r="B562" s="44" t="inlineStr">
        <is>
          <t>CC 2.1.1 — pH / ocean acidification</t>
        </is>
      </c>
      <c r="C562" s="44" t="inlineStr">
        <is>
          <t>Protocol</t>
        </is>
      </c>
      <c r="D562" s="44" t="inlineStr">
        <is>
          <t>GIS siting / carrying capacity</t>
        </is>
      </c>
      <c r="E562" s="44" t="inlineStr">
        <is>
          <t>Listed</t>
        </is>
      </c>
      <c r="F562" s="44" t="inlineStr">
        <is>
          <t>Method summary (AK)</t>
        </is>
      </c>
      <c r="G562" s="44" t="inlineStr">
        <is>
          <t>AK: …site selection, water sampling, sensor operation, spectroph…</t>
        </is>
      </c>
    </row>
    <row r="563">
      <c r="A563" s="44" t="inlineStr">
        <is>
          <t>dickson_2010</t>
        </is>
      </c>
      <c r="B563" s="44" t="inlineStr">
        <is>
          <t>CC 2.1.1 — pH / ocean acidification</t>
        </is>
      </c>
      <c r="C563" s="44" t="inlineStr">
        <is>
          <t>Reference</t>
        </is>
      </c>
      <c r="D563" s="44" t="inlineStr">
        <is>
          <t>pH</t>
        </is>
      </c>
      <c r="E563" s="44" t="inlineStr">
        <is>
          <t>Listed</t>
        </is>
      </c>
      <c r="F563" s="44" t="inlineStr">
        <is>
          <t>Method summary (AK)</t>
        </is>
      </c>
      <c r="G563" s="44" t="inlineStr">
        <is>
          <t>AK: … the analytical gold standard (high-accuracy ph, dic, total alkalinity, pco2) underpinning t…</t>
        </is>
      </c>
    </row>
    <row r="564">
      <c r="A564" s="44" t="inlineStr">
        <is>
          <t>dickson_2010</t>
        </is>
      </c>
      <c r="B564" s="44" t="inlineStr">
        <is>
          <t>CC 2.1.1 — pH / ocean acidification</t>
        </is>
      </c>
      <c r="C564" s="44" t="inlineStr">
        <is>
          <t>Reference</t>
        </is>
      </c>
      <c r="D564" s="44" t="inlineStr">
        <is>
          <t>Carbonate system (pH / OA)</t>
        </is>
      </c>
      <c r="E564" s="44" t="inlineStr">
        <is>
          <t>Listed</t>
        </is>
      </c>
      <c r="F564" s="44" t="inlineStr">
        <is>
          <t>Method summary (AK)</t>
        </is>
      </c>
      <c r="G564" s="44" t="inlineStr">
        <is>
          <t>AK: …water carbonate-system measurement and ocean-acidification experimental design and data reporting - the…</t>
        </is>
      </c>
    </row>
    <row r="565">
      <c r="A565" s="44" t="inlineStr">
        <is>
          <t>pnnl_2023</t>
        </is>
      </c>
      <c r="B565" s="44" t="inlineStr">
        <is>
          <t>CC 1.2.1 — Cradle-to-grave GHG emissions</t>
        </is>
      </c>
      <c r="C565" s="44" t="inlineStr">
        <is>
          <t>Reference</t>
        </is>
      </c>
      <c r="D565" s="44" t="inlineStr">
        <is>
          <t>Water eDNA</t>
        </is>
      </c>
      <c r="E565" s="44" t="inlineStr">
        <is>
          <t>Not listed</t>
        </is>
      </c>
      <c r="F565" s="44" t="inlineStr">
        <is>
          <t>Review / framework reference (no procedure)</t>
        </is>
      </c>
      <c r="G565" s="44" t="inlineStr">
        <is>
          <t>AK: … removal (remote sensing, sediment sampling, edna-plus-coring for permanence, modelling, foren…</t>
        </is>
      </c>
    </row>
    <row r="566">
      <c r="A566" s="44" t="inlineStr">
        <is>
          <t>pnnl_2023</t>
        </is>
      </c>
      <c r="B566" s="44" t="inlineStr">
        <is>
          <t>CC 1.2.1 — Cradle-to-grave GHG emissions</t>
        </is>
      </c>
      <c r="C566" s="44" t="inlineStr">
        <is>
          <t>Reference</t>
        </is>
      </c>
      <c r="D566" s="44" t="inlineStr">
        <is>
          <t>Nutrient mass-balance / budget</t>
        </is>
      </c>
      <c r="E566" s="44" t="inlineStr">
        <is>
          <t>Not listed</t>
        </is>
      </c>
      <c r="F566" s="44" t="inlineStr">
        <is>
          <t>Review / framework reference (no procedure)</t>
        </is>
      </c>
      <c r="G566" s="44" t="inlineStr">
        <is>
          <t>AK: …ing for permanence, modelling, forensic carbon accounting).…</t>
        </is>
      </c>
    </row>
    <row r="567">
      <c r="A567" s="44" t="inlineStr">
        <is>
          <t>gold_2022</t>
        </is>
      </c>
      <c r="B567" s="44" t="inlineStr">
        <is>
          <t>H&amp;B 1.1.1 — Epibiota, H&amp;B 1.2.1 — Mobile fauna, H&amp;B 2.1.1 — Community composition, WQ 2.1.2 — Microorganisms</t>
        </is>
      </c>
      <c r="C567" s="44" t="inlineStr">
        <is>
          <t>Reference</t>
        </is>
      </c>
      <c r="D567" s="44" t="inlineStr">
        <is>
          <t>Epibiota on lines / structures</t>
        </is>
      </c>
      <c r="E567" s="44" t="inlineStr">
        <is>
          <t>Listed</t>
        </is>
      </c>
      <c r="F567" s="44" t="inlineStr">
        <is>
          <t>Method summary (AK)</t>
        </is>
      </c>
      <c r="G567" s="44" t="inlineStr">
        <is>
          <t>AK: …ving - as a cross-cutting biodiversity tool (epibiota, mobile fauna, community composition, plank…</t>
        </is>
      </c>
    </row>
    <row r="568">
      <c r="A568" s="44" t="inlineStr">
        <is>
          <t>gold_2022</t>
        </is>
      </c>
      <c r="B568" s="44" t="inlineStr">
        <is>
          <t>H&amp;B 1.1.1 — Epibiota, H&amp;B 1.2.1 — Mobile fauna, H&amp;B 2.1.1 — Community composition, WQ 2.1.2 — Microorganisms</t>
        </is>
      </c>
      <c r="C568" s="44" t="inlineStr">
        <is>
          <t>Reference</t>
        </is>
      </c>
      <c r="D568" s="44" t="inlineStr">
        <is>
          <t>Settlement plates / artificial substrata</t>
        </is>
      </c>
      <c r="E568" s="44" t="inlineStr">
        <is>
          <t>Not listed</t>
        </is>
      </c>
      <c r="F568" s="44" t="inlineStr">
        <is>
          <t>Only in a sentence about what the source found</t>
        </is>
      </c>
      <c r="G568" s="44" t="inlineStr">
        <is>
          <t>AK: …it pairs with the marinegeo fouling/arms and ioc phytoplankton methods.…</t>
        </is>
      </c>
    </row>
    <row r="569">
      <c r="A569" s="44" t="inlineStr">
        <is>
          <t>gold_2022</t>
        </is>
      </c>
      <c r="B569" s="44" t="inlineStr">
        <is>
          <t>H&amp;B 1.1.1 — Epibiota, H&amp;B 1.2.1 — Mobile fauna, H&amp;B 2.1.1 — Community composition, WQ 2.1.2 — Microorganisms</t>
        </is>
      </c>
      <c r="C569" s="44" t="inlineStr">
        <is>
          <t>Reference</t>
        </is>
      </c>
      <c r="D569" s="44" t="inlineStr">
        <is>
          <t>Water eDNA</t>
        </is>
      </c>
      <c r="E569" s="44" t="inlineStr">
        <is>
          <t>Listed</t>
        </is>
      </c>
      <c r="F569" s="44" t="inlineStr">
        <is>
          <t>Method summary (AK)</t>
        </is>
      </c>
      <c r="G569" s="44" t="inlineStr">
        <is>
          <t>AK: …nager-facing guide helps design a defensible edna metabarcoding monitoring programme - primer …</t>
        </is>
      </c>
    </row>
    <row r="570">
      <c r="A570" s="44" t="inlineStr">
        <is>
          <t>tncaustralia_2024_hb121</t>
        </is>
      </c>
      <c r="B570" s="44" t="inlineStr">
        <is>
          <t>H&amp;B 1.2.1 — Mobile fauna</t>
        </is>
      </c>
      <c r="C570" s="44" t="inlineStr">
        <is>
          <t>Protocol</t>
        </is>
      </c>
      <c r="D570" s="44" t="inlineStr">
        <is>
          <t>Visual census / belt transects</t>
        </is>
      </c>
      <c r="E570" s="44" t="inlineStr">
        <is>
          <t>Not listed</t>
        </is>
      </c>
      <c r="F570" s="44" t="inlineStr">
        <is>
          <t>Source kit only — Equipment Type (N), not in the protocol</t>
        </is>
      </c>
      <c r="G570" s="44" t="inlineStr">
        <is>
          <t>N: …scuba (or snorkel in shallow water)…</t>
        </is>
      </c>
    </row>
    <row r="571">
      <c r="A571" s="44" t="inlineStr">
        <is>
          <t>tncaustralia_2024_hb121</t>
        </is>
      </c>
      <c r="B571" s="44" t="inlineStr">
        <is>
          <t>H&amp;B 1.2.1 — Mobile fauna</t>
        </is>
      </c>
      <c r="C571" s="44" t="inlineStr">
        <is>
          <t>Protocol</t>
        </is>
      </c>
      <c r="D571" s="44" t="inlineStr">
        <is>
          <t>Baited remote underwater video (BRUV)</t>
        </is>
      </c>
      <c r="E571" s="44" t="inlineStr">
        <is>
          <t>Listed</t>
        </is>
      </c>
      <c r="F571" s="44" t="inlineStr">
        <is>
          <t>Method summary (AK)</t>
        </is>
      </c>
      <c r="G571" s="44" t="inlineStr">
        <is>
          <t>AK: …where water is under 1.5 m deep, set baited cameras for 30 minutes instead and record the most …</t>
        </is>
      </c>
    </row>
    <row r="572">
      <c r="A572" s="44" t="inlineStr">
        <is>
          <t>tncaustralia_2024_hb121</t>
        </is>
      </c>
      <c r="B572" s="44" t="inlineStr">
        <is>
          <t>H&amp;B 1.2.1 — Mobile fauna</t>
        </is>
      </c>
      <c r="C572" s="44" t="inlineStr">
        <is>
          <t>Protocol</t>
        </is>
      </c>
      <c r="D572" s="44" t="inlineStr">
        <is>
          <t>Time-lapse / GoPro cameras</t>
        </is>
      </c>
      <c r="E572" s="44" t="inlineStr">
        <is>
          <t>Not listed</t>
        </is>
      </c>
      <c r="F572" s="44" t="inlineStr">
        <is>
          <t>Source kit only — Equipment Type (N), not in the protocol</t>
        </is>
      </c>
      <c r="G572" s="44" t="inlineStr">
        <is>
          <t>N: …underwater camera for unidentified animals…</t>
        </is>
      </c>
    </row>
    <row r="573">
      <c r="A573" s="44" t="inlineStr">
        <is>
          <t>tncaustralia_2024_hb121</t>
        </is>
      </c>
      <c r="B573" s="44" t="inlineStr">
        <is>
          <t>H&amp;B 1.2.1 — Mobile fauna</t>
        </is>
      </c>
      <c r="C573" s="44" t="inlineStr">
        <is>
          <t>Protocol</t>
        </is>
      </c>
      <c r="D573" s="44" t="inlineStr">
        <is>
          <t>Epifauna on crop / rope</t>
        </is>
      </c>
      <c r="E573" s="44" t="inlineStr">
        <is>
          <t>Listed</t>
        </is>
      </c>
      <c r="F573" s="44" t="inlineStr">
        <is>
          <t>Method summary (AK)</t>
        </is>
      </c>
      <c r="G573" s="44" t="inlineStr">
        <is>
          <t>AK: …a 1 m belt on each side for cryptic fish and mobile invertebrates over 2.5 cm, looking into crevices and unde…</t>
        </is>
      </c>
    </row>
    <row r="574">
      <c r="A574" s="44" t="inlineStr">
        <is>
          <t>tncaustralia_2024_hb211</t>
        </is>
      </c>
      <c r="B574" s="44" t="inlineStr">
        <is>
          <t>H&amp;B 2.1.1 — Community composition</t>
        </is>
      </c>
      <c r="C574" s="44" t="inlineStr">
        <is>
          <t>Protocol</t>
        </is>
      </c>
      <c r="D574" s="44" t="inlineStr">
        <is>
          <t>Visual census / belt transects</t>
        </is>
      </c>
      <c r="E574" s="44" t="inlineStr">
        <is>
          <t>Not listed</t>
        </is>
      </c>
      <c r="F574" s="44" t="inlineStr">
        <is>
          <t>Source kit only — Equipment Type (N), not in the protocol</t>
        </is>
      </c>
      <c r="G574" s="44" t="inlineStr">
        <is>
          <t>N: …scuba or snorkel…</t>
        </is>
      </c>
    </row>
    <row r="575">
      <c r="A575" s="44" t="inlineStr">
        <is>
          <t>tncaustralia_2024_hb211</t>
        </is>
      </c>
      <c r="B575" s="44" t="inlineStr">
        <is>
          <t>H&amp;B 2.1.1 — Community composition</t>
        </is>
      </c>
      <c r="C575" s="44" t="inlineStr">
        <is>
          <t>Protocol</t>
        </is>
      </c>
      <c r="D575" s="44" t="inlineStr">
        <is>
          <t>Time-lapse / GoPro cameras</t>
        </is>
      </c>
      <c r="E575" s="44" t="inlineStr">
        <is>
          <t>Listed</t>
        </is>
      </c>
      <c r="F575" s="44" t="inlineStr">
        <is>
          <t>Method summary (AK)</t>
        </is>
      </c>
      <c r="G575" s="44" t="inlineStr">
        <is>
          <t>AK: …and photograph the bottom every 2.5 m with a camera on a framer.…</t>
        </is>
      </c>
    </row>
    <row r="576">
      <c r="A576" s="44" t="inlineStr">
        <is>
          <t>tncaustralia_2024_hb211</t>
        </is>
      </c>
      <c r="B576" s="44" t="inlineStr">
        <is>
          <t>H&amp;B 2.1.1 — Community composition</t>
        </is>
      </c>
      <c r="C576" s="44" t="inlineStr">
        <is>
          <t>Protocol</t>
        </is>
      </c>
      <c r="D576" s="44" t="inlineStr">
        <is>
          <t>Epibiota on lines / structures</t>
        </is>
      </c>
      <c r="E576" s="44" t="inlineStr">
        <is>
          <t>Not listed</t>
        </is>
      </c>
      <c r="F576" s="44" t="inlineStr">
        <is>
          <t>Source kit only — Equipment Type (N), not in the protocol</t>
        </is>
      </c>
      <c r="G576" s="44" t="inlineStr">
        <is>
          <t>N: …underwater camera on a framer for ~30 cm photoquadrats…</t>
        </is>
      </c>
    </row>
    <row r="577">
      <c r="A577" s="44" t="inlineStr">
        <is>
          <t>tncaustralia_2024_hb211</t>
        </is>
      </c>
      <c r="B577" s="44" t="inlineStr">
        <is>
          <t>H&amp;B 2.1.1 — Community composition</t>
        </is>
      </c>
      <c r="C577" s="44" t="inlineStr">
        <is>
          <t>Protocol</t>
        </is>
      </c>
      <c r="D577" s="44" t="inlineStr">
        <is>
          <t>Epifauna on crop / rope</t>
        </is>
      </c>
      <c r="E577" s="44" t="inlineStr">
        <is>
          <t>Listed</t>
        </is>
      </c>
      <c r="F577" s="44" t="inlineStr">
        <is>
          <t>Method summary (AK)</t>
        </is>
      </c>
      <c r="G577" s="44" t="inlineStr">
        <is>
          <t>AK: …h in a 5 m belt each side of the tape, count mobile invertebrates and cryptic fish in a 1 m belt each side, a…</t>
        </is>
      </c>
    </row>
  </sheetData>
  <autoFilter ref="A1:G57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2026-05-18T21:11:36Z</dcterms:created>
  <dcterms:modified xmlns:dcterms="http://purl.org/dc/terms/" xmlns:xsi="http://www.w3.org/2001/XMLSchema-instance" xsi:type="dcterms:W3CDTF">2026-10-16T20:58:57Z</dcterms:modified>
  <cp:lastModifiedBy>X</cp:lastModifiedBy>
</cp:coreProperties>
</file>